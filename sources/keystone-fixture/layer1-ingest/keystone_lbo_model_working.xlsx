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worksheets/sheet20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puts" sheetId="1" state="visible" r:id="rId1"/>
    <sheet xmlns:r="http://schemas.openxmlformats.org/officeDocument/2006/relationships" name="Hist_3Stmt" sheetId="2" state="visible" r:id="rId2"/>
    <sheet xmlns:r="http://schemas.openxmlformats.org/officeDocument/2006/relationships" name="Hist_Monthly" sheetId="3" state="visible" r:id="rId3"/>
    <sheet xmlns:r="http://schemas.openxmlformats.org/officeDocument/2006/relationships" name="Customer_Data" sheetId="4" state="visible" r:id="rId4"/>
    <sheet xmlns:r="http://schemas.openxmlformats.org/officeDocument/2006/relationships" name="Project_Data" sheetId="5" state="visible" r:id="rId5"/>
    <sheet xmlns:r="http://schemas.openxmlformats.org/officeDocument/2006/relationships" name="Employees" sheetId="6" state="visible" r:id="rId6"/>
    <sheet xmlns:r="http://schemas.openxmlformats.org/officeDocument/2006/relationships" name="AR_WIP" sheetId="7" state="visible" r:id="rId7"/>
    <sheet xmlns:r="http://schemas.openxmlformats.org/officeDocument/2006/relationships" name="QoE_Bridge" sheetId="8" state="visible" r:id="rId8"/>
    <sheet xmlns:r="http://schemas.openxmlformats.org/officeDocument/2006/relationships" name="S&amp;U_Opening" sheetId="9" state="visible" r:id="rId9"/>
    <sheet xmlns:r="http://schemas.openxmlformats.org/officeDocument/2006/relationships" name="Purchase_Accounting" sheetId="10" state="visible" r:id="rId10"/>
    <sheet xmlns:r="http://schemas.openxmlformats.org/officeDocument/2006/relationships" name="Seller_Model" sheetId="11" state="visible" r:id="rId11"/>
    <sheet xmlns:r="http://schemas.openxmlformats.org/officeDocument/2006/relationships" name="Scenario_Drivers" sheetId="12" state="visible" r:id="rId12"/>
    <sheet xmlns:r="http://schemas.openxmlformats.org/officeDocument/2006/relationships" name="SB_Base" sheetId="13" state="visible" r:id="rId13"/>
    <sheet xmlns:r="http://schemas.openxmlformats.org/officeDocument/2006/relationships" name="SB_Down" sheetId="14" state="visible" r:id="rId14"/>
    <sheet xmlns:r="http://schemas.openxmlformats.org/officeDocument/2006/relationships" name="SB_Up" sheetId="15" state="visible" r:id="rId15"/>
    <sheet xmlns:r="http://schemas.openxmlformats.org/officeDocument/2006/relationships" name="Acq_Base" sheetId="16" state="visible" r:id="rId16"/>
    <sheet xmlns:r="http://schemas.openxmlformats.org/officeDocument/2006/relationships" name="Combined_Risk" sheetId="17" state="visible" r:id="rId17"/>
    <sheet xmlns:r="http://schemas.openxmlformats.org/officeDocument/2006/relationships" name="Debt_Covenants" sheetId="18" state="visible" r:id="rId18"/>
    <sheet xmlns:r="http://schemas.openxmlformats.org/officeDocument/2006/relationships" name="Ownership_Returns" sheetId="19" state="visible" r:id="rId19"/>
    <sheet xmlns:r="http://schemas.openxmlformats.org/officeDocument/2006/relationships" name="Cover" sheetId="20" state="visible" r:id="rId20"/>
  </sheets>
  <definedNames/>
</workbook>
</file>

<file path=xl/styles.xml><?xml version="1.0" encoding="utf-8"?>
<styleSheet xmlns="http://schemas.openxmlformats.org/spreadsheetml/2006/main">
  <numFmts count="6">
    <numFmt numFmtId="164" formatCode="0.0%;[Red](0.0%);-"/>
    <numFmt numFmtId="165" formatCode="#,##0.0;[Red](#,##0.0);-"/>
    <numFmt numFmtId="166" formatCode="mmm d, yyyy"/>
    <numFmt numFmtId="167" formatCode="0.0"/>
    <numFmt numFmtId="168" formatCode="0.0x;[Red](0.0x);-"/>
    <numFmt numFmtId="169" formatCode="0.000;[Red](0.000);-"/>
  </numFmts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000000"/>
      <sz val="11"/>
    </font>
    <font>
      <name val="Carlito"/>
      <color rgb="FF0000FF"/>
      <sz val="11"/>
    </font>
    <font>
      <name val="Carlito"/>
      <sz val="11"/>
    </font>
    <font>
      <name val="Carlito"/>
      <b val="1"/>
      <color rgb="FFFFFFFF"/>
      <sz val="11"/>
    </font>
    <font>
      <name val="Carlito"/>
      <color rgb="FF000000"/>
      <sz val="11"/>
    </font>
    <font>
      <name val="Carlito"/>
      <color rgb="FF008000"/>
      <sz val="11"/>
    </font>
    <font>
      <name val="Carlito"/>
      <b val="1"/>
      <sz val="11"/>
    </font>
    <font>
      <name val="Carlito"/>
      <b val="1"/>
      <color rgb="FF17365D"/>
      <sz val="13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6">
    <border/>
    <border/>
    <border>
      <bottom/>
    </border>
    <border>
      <bottom/>
    </border>
    <border>
      <top/>
    </border>
    <border>
      <top/>
    </border>
  </borders>
  <cellStyleXfs count="1">
    <xf numFmtId="0" fontId="4" fillId="0" borderId="1"/>
  </cellStyleXfs>
  <cellXfs count="2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2" fillId="3" borderId="2" applyAlignment="1" pivotButton="0" quotePrefix="0" xfId="0">
      <alignment wrapText="1"/>
    </xf>
    <xf numFmtId="0" fontId="2" fillId="3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2" fillId="3" borderId="3" applyAlignment="1" pivotButton="0" quotePrefix="0" xfId="0">
      <alignment wrapText="1"/>
    </xf>
    <xf numFmtId="0" fontId="2" fillId="3" borderId="3" applyAlignment="1" pivotButton="0" quotePrefix="0" xfId="0">
      <alignment horizontal="center" wrapText="1"/>
    </xf>
    <xf numFmtId="0" fontId="2" fillId="3" borderId="3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pivotButton="0" quotePrefix="0" xfId="0"/>
    <xf numFmtId="164" fontId="3" fillId="0" borderId="0" pivotButton="0" quotePrefix="0" xfId="0"/>
    <xf numFmtId="164" fontId="3" fillId="0" borderId="1" pivotButton="0" quotePrefix="0" xfId="0"/>
    <xf numFmtId="165" fontId="3" fillId="0" borderId="0" pivotButton="0" quotePrefix="0" xfId="0"/>
    <xf numFmtId="165" fontId="3" fillId="0" borderId="1" pivotButton="0" quotePrefix="0" xfId="0"/>
    <xf numFmtId="166" fontId="3" fillId="0" borderId="0" pivotButton="0" quotePrefix="0" xfId="0"/>
    <xf numFmtId="166" fontId="3" fillId="0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left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left" vertical="center"/>
    </xf>
    <xf numFmtId="167" fontId="3" fillId="0" borderId="0" pivotButton="0" quotePrefix="0" xfId="0"/>
    <xf numFmtId="167" fontId="3" fillId="0" borderId="1" pivotButton="0" quotePrefix="0" xfId="0"/>
    <xf numFmtId="168" fontId="3" fillId="0" borderId="0" pivotButton="0" quotePrefix="0" xfId="0"/>
    <xf numFmtId="168" fontId="3" fillId="0" borderId="1" pivotButton="0" quotePrefix="0" xfId="0"/>
    <xf numFmtId="0" fontId="6" fillId="0" borderId="0" pivotButton="0" quotePrefix="0" xfId="0"/>
    <xf numFmtId="0" fontId="6" fillId="0" borderId="1" pivotButton="0" quotePrefix="0" xfId="0"/>
    <xf numFmtId="165" fontId="6" fillId="0" borderId="0" pivotButton="0" quotePrefix="0" xfId="0"/>
    <xf numFmtId="165" fontId="6" fillId="0" borderId="1" pivotButton="0" quotePrefix="0" xfId="0"/>
    <xf numFmtId="0" fontId="0" fillId="0" borderId="4" pivotButton="0" quotePrefix="0" xfId="0"/>
    <xf numFmtId="165" fontId="6" fillId="0" borderId="4" pivotButton="0" quotePrefix="0" xfId="0"/>
    <xf numFmtId="0" fontId="0" fillId="0" borderId="5" pivotButton="0" quotePrefix="0" xfId="0"/>
    <xf numFmtId="165" fontId="6" fillId="0" borderId="5" pivotButton="0" quotePrefix="0" xfId="0"/>
    <xf numFmtId="169" fontId="6" fillId="0" borderId="0" pivotButton="0" quotePrefix="0" xfId="0"/>
    <xf numFmtId="169" fontId="6" fillId="0" borderId="1" pivotButton="0" quotePrefix="0" xfId="0"/>
    <xf numFmtId="169" fontId="6" fillId="0" borderId="4" pivotButton="0" quotePrefix="0" xfId="0"/>
    <xf numFmtId="169" fontId="6" fillId="0" borderId="5" pivotButton="0" quotePrefix="0" xfId="0"/>
    <xf numFmtId="17" fontId="2" fillId="3" borderId="2" applyAlignment="1" pivotButton="0" quotePrefix="0" xfId="0">
      <alignment horizontal="center" vertical="center" wrapText="1"/>
    </xf>
    <xf numFmtId="17" fontId="2" fillId="3" borderId="3" applyAlignment="1" pivotButton="0" quotePrefix="0" xfId="0">
      <alignment horizontal="center" vertical="center" wrapText="1"/>
    </xf>
    <xf numFmtId="165" fontId="0" fillId="0" borderId="0" pivotButton="0" quotePrefix="0" xfId="0"/>
    <xf numFmtId="165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3" fontId="0" fillId="0" borderId="0" pivotButton="0" quotePrefix="0" xfId="0"/>
    <xf numFmtId="3" fontId="0" fillId="0" borderId="1" pivotButton="0" quotePrefix="0" xfId="0"/>
    <xf numFmtId="3" fontId="3" fillId="0" borderId="0" pivotButton="0" quotePrefix="0" xfId="0"/>
    <xf numFmtId="3" fontId="3" fillId="0" borderId="1" pivotButton="0" quotePrefix="0" xfId="0"/>
    <xf numFmtId="165" fontId="0" fillId="0" borderId="4" pivotButton="0" quotePrefix="0" xfId="0"/>
    <xf numFmtId="165" fontId="0" fillId="0" borderId="5" pivotButton="0" quotePrefix="0" xfId="0"/>
    <xf numFmtId="165" fontId="3" fillId="0" borderId="4" pivotButton="0" quotePrefix="0" xfId="0"/>
    <xf numFmtId="165" fontId="3" fillId="0" borderId="5" pivotButton="0" quotePrefix="0" xfId="0"/>
    <xf numFmtId="169" fontId="0" fillId="0" borderId="0" pivotButton="0" quotePrefix="0" xfId="0"/>
    <xf numFmtId="169" fontId="0" fillId="0" borderId="1" pivotButton="0" quotePrefix="0" xfId="0"/>
    <xf numFmtId="0" fontId="3" fillId="0" borderId="4" pivotButton="0" quotePrefix="0" xfId="0"/>
    <xf numFmtId="0" fontId="3" fillId="0" borderId="5" pivotButton="0" quotePrefix="0" xfId="0"/>
    <xf numFmtId="164" fontId="6" fillId="0" borderId="0" pivotButton="0" quotePrefix="0" xfId="0"/>
    <xf numFmtId="164" fontId="6" fillId="0" borderId="1" pivotButton="0" quotePrefix="0" xfId="0"/>
    <xf numFmtId="168" fontId="6" fillId="0" borderId="0" pivotButton="0" quotePrefix="0" xfId="0"/>
    <xf numFmtId="168" fontId="6" fillId="0" borderId="1" pivotButton="0" quotePrefix="0" xfId="0"/>
    <xf numFmtId="165" fontId="7" fillId="0" borderId="0" pivotButton="0" quotePrefix="0" xfId="0"/>
    <xf numFmtId="165" fontId="7" fillId="0" borderId="1" pivotButton="0" quotePrefix="0" xfId="0"/>
    <xf numFmtId="164" fontId="7" fillId="0" borderId="0" pivotButton="0" quotePrefix="0" xfId="0"/>
    <xf numFmtId="164" fontId="7" fillId="0" borderId="1" pivotButton="0" quotePrefix="0" xfId="0"/>
    <xf numFmtId="168" fontId="7" fillId="0" borderId="0" pivotButton="0" quotePrefix="0" xfId="0"/>
    <xf numFmtId="168" fontId="7" fillId="0" borderId="1" pivotButton="0" quotePrefix="0" xfId="0"/>
    <xf numFmtId="165" fontId="6" fillId="4" borderId="0" pivotButton="0" quotePrefix="0" xfId="0"/>
    <xf numFmtId="165" fontId="5" fillId="4" borderId="0" pivotButton="0" quotePrefix="0" xfId="0"/>
    <xf numFmtId="165" fontId="5" fillId="4" borderId="0" applyAlignment="1" pivotButton="0" quotePrefix="0" xfId="0">
      <alignment horizontal="left"/>
    </xf>
    <xf numFmtId="165" fontId="6" fillId="4" borderId="1" pivotButton="0" quotePrefix="0" xfId="0"/>
    <xf numFmtId="165" fontId="5" fillId="4" borderId="1" pivotButton="0" quotePrefix="0" xfId="0"/>
    <xf numFmtId="165" fontId="5" fillId="4" borderId="1" applyAlignment="1" pivotButton="0" quotePrefix="0" xfId="0">
      <alignment horizontal="left"/>
    </xf>
    <xf numFmtId="165" fontId="7" fillId="5" borderId="0" pivotButton="0" quotePrefix="0" xfId="0"/>
    <xf numFmtId="164" fontId="6" fillId="5" borderId="0" pivotButton="0" quotePrefix="0" xfId="0"/>
    <xf numFmtId="164" fontId="7" fillId="5" borderId="0" pivotButton="0" quotePrefix="0" xfId="0"/>
    <xf numFmtId="165" fontId="6" fillId="5" borderId="0" pivotButton="0" quotePrefix="0" xfId="0"/>
    <xf numFmtId="165" fontId="5" fillId="5" borderId="0" applyAlignment="1" pivotButton="0" quotePrefix="0" xfId="0">
      <alignment horizontal="left"/>
    </xf>
    <xf numFmtId="168" fontId="6" fillId="5" borderId="0" pivotButton="0" quotePrefix="0" xfId="0"/>
    <xf numFmtId="168" fontId="7" fillId="5" borderId="0" pivotButton="0" quotePrefix="0" xfId="0"/>
    <xf numFmtId="165" fontId="7" fillId="5" borderId="1" pivotButton="0" quotePrefix="0" xfId="0"/>
    <xf numFmtId="164" fontId="6" fillId="5" borderId="1" pivotButton="0" quotePrefix="0" xfId="0"/>
    <xf numFmtId="164" fontId="7" fillId="5" borderId="1" pivotButton="0" quotePrefix="0" xfId="0"/>
    <xf numFmtId="165" fontId="6" fillId="5" borderId="1" pivotButton="0" quotePrefix="0" xfId="0"/>
    <xf numFmtId="165" fontId="5" fillId="5" borderId="1" applyAlignment="1" pivotButton="0" quotePrefix="0" xfId="0">
      <alignment horizontal="left"/>
    </xf>
    <xf numFmtId="168" fontId="6" fillId="5" borderId="1" pivotButton="0" quotePrefix="0" xfId="0"/>
    <xf numFmtId="168" fontId="7" fillId="5" borderId="1" pivotButton="0" quotePrefix="0" xfId="0"/>
    <xf numFmtId="165" fontId="7" fillId="6" borderId="0" pivotButton="0" quotePrefix="0" xfId="0"/>
    <xf numFmtId="164" fontId="6" fillId="6" borderId="0" pivotButton="0" quotePrefix="0" xfId="0"/>
    <xf numFmtId="164" fontId="7" fillId="6" borderId="0" pivotButton="0" quotePrefix="0" xfId="0"/>
    <xf numFmtId="165" fontId="6" fillId="6" borderId="0" pivotButton="0" quotePrefix="0" xfId="0"/>
    <xf numFmtId="165" fontId="5" fillId="6" borderId="0" applyAlignment="1" pivotButton="0" quotePrefix="0" xfId="0">
      <alignment horizontal="left"/>
    </xf>
    <xf numFmtId="168" fontId="6" fillId="6" borderId="0" pivotButton="0" quotePrefix="0" xfId="0"/>
    <xf numFmtId="168" fontId="7" fillId="6" borderId="0" pivotButton="0" quotePrefix="0" xfId="0"/>
    <xf numFmtId="165" fontId="7" fillId="6" borderId="1" pivotButton="0" quotePrefix="0" xfId="0"/>
    <xf numFmtId="164" fontId="6" fillId="6" borderId="1" pivotButton="0" quotePrefix="0" xfId="0"/>
    <xf numFmtId="164" fontId="7" fillId="6" borderId="1" pivotButton="0" quotePrefix="0" xfId="0"/>
    <xf numFmtId="165" fontId="6" fillId="6" borderId="1" pivotButton="0" quotePrefix="0" xfId="0"/>
    <xf numFmtId="165" fontId="5" fillId="6" borderId="1" applyAlignment="1" pivotButton="0" quotePrefix="0" xfId="0">
      <alignment horizontal="left"/>
    </xf>
    <xf numFmtId="168" fontId="6" fillId="6" borderId="1" pivotButton="0" quotePrefix="0" xfId="0"/>
    <xf numFmtId="168" fontId="7" fillId="6" borderId="1" pivotButton="0" quotePrefix="0" xfId="0"/>
    <xf numFmtId="168" fontId="0" fillId="0" borderId="0" pivotButton="0" quotePrefix="0" xfId="0"/>
    <xf numFmtId="168" fontId="0" fillId="0" borderId="1" pivotButton="0" quotePrefix="0" xfId="0"/>
    <xf numFmtId="0" fontId="0" fillId="7" borderId="0" pivotButton="0" quotePrefix="0" xfId="0"/>
    <xf numFmtId="0" fontId="0" fillId="7" borderId="1" pivotButton="0" quotePrefix="0" xfId="0"/>
    <xf numFmtId="0" fontId="8" fillId="7" borderId="0" pivotButton="0" quotePrefix="0" xfId="0"/>
    <xf numFmtId="0" fontId="8" fillId="7" borderId="1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65" fontId="5" fillId="4" borderId="0" applyAlignment="1" pivotButton="0" quotePrefix="0" xfId="0">
      <alignment horizontal="left" vertical="center"/>
    </xf>
    <xf numFmtId="165" fontId="7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8" fontId="6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5" fillId="4" borderId="1" applyAlignment="1" pivotButton="0" quotePrefix="0" xfId="0">
      <alignment horizontal="left" vertical="center"/>
    </xf>
    <xf numFmtId="165" fontId="7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8" fontId="6" fillId="0" borderId="1" applyAlignment="1" pivotButton="0" quotePrefix="0" xfId="0">
      <alignment vertical="center"/>
    </xf>
    <xf numFmtId="168" fontId="7" fillId="0" borderId="1" applyAlignment="1" pivotButton="0" quotePrefix="0" xfId="0">
      <alignment vertical="center"/>
    </xf>
    <xf numFmtId="17" fontId="2" fillId="3" borderId="2" applyAlignment="1" pivotButton="0" quotePrefix="0" xfId="0">
      <alignment horizontal="right" vertical="center" wrapText="1"/>
    </xf>
    <xf numFmtId="165" fontId="5" fillId="4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7" fontId="2" fillId="3" borderId="3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2" fillId="3" borderId="3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165" fontId="7" fillId="5" borderId="0" applyAlignment="1" pivotButton="0" quotePrefix="0" xfId="0">
      <alignment vertical="center"/>
    </xf>
    <xf numFmtId="165" fontId="7" fillId="6" borderId="0" applyAlignment="1" pivotButton="0" quotePrefix="0" xfId="0">
      <alignment vertical="center"/>
    </xf>
    <xf numFmtId="164" fontId="6" fillId="5" borderId="0" applyAlignment="1" pivotButton="0" quotePrefix="0" xfId="0">
      <alignment vertical="center"/>
    </xf>
    <xf numFmtId="164" fontId="6" fillId="6" borderId="0" applyAlignment="1" pivotButton="0" quotePrefix="0" xfId="0">
      <alignment vertical="center"/>
    </xf>
    <xf numFmtId="164" fontId="7" fillId="5" borderId="0" applyAlignment="1" pivotButton="0" quotePrefix="0" xfId="0">
      <alignment vertical="center"/>
    </xf>
    <xf numFmtId="164" fontId="7" fillId="6" borderId="0" applyAlignment="1" pivotButton="0" quotePrefix="0" xfId="0">
      <alignment vertical="center"/>
    </xf>
    <xf numFmtId="165" fontId="6" fillId="5" borderId="0" applyAlignment="1" pivotButton="0" quotePrefix="0" xfId="0">
      <alignment vertical="center"/>
    </xf>
    <xf numFmtId="165" fontId="6" fillId="6" borderId="0" applyAlignment="1" pivotButton="0" quotePrefix="0" xfId="0">
      <alignment vertical="center"/>
    </xf>
    <xf numFmtId="165" fontId="5" fillId="5" borderId="0" applyAlignment="1" pivotButton="0" quotePrefix="0" xfId="0">
      <alignment horizontal="left" vertical="center"/>
    </xf>
    <xf numFmtId="165" fontId="5" fillId="6" borderId="0" applyAlignment="1" pivotButton="0" quotePrefix="0" xfId="0">
      <alignment horizontal="left" vertical="center"/>
    </xf>
    <xf numFmtId="168" fontId="6" fillId="5" borderId="0" applyAlignment="1" pivotButton="0" quotePrefix="0" xfId="0">
      <alignment vertical="center"/>
    </xf>
    <xf numFmtId="168" fontId="6" fillId="6" borderId="0" applyAlignment="1" pivotButton="0" quotePrefix="0" xfId="0">
      <alignment vertical="center"/>
    </xf>
    <xf numFmtId="168" fontId="7" fillId="5" borderId="0" applyAlignment="1" pivotButton="0" quotePrefix="0" xfId="0">
      <alignment vertical="center"/>
    </xf>
    <xf numFmtId="168" fontId="7" fillId="6" borderId="0" applyAlignment="1" pivotButton="0" quotePrefix="0" xfId="0">
      <alignment vertical="center"/>
    </xf>
    <xf numFmtId="165" fontId="7" fillId="5" borderId="1" applyAlignment="1" pivotButton="0" quotePrefix="0" xfId="0">
      <alignment vertical="center"/>
    </xf>
    <xf numFmtId="165" fontId="7" fillId="6" borderId="1" applyAlignment="1" pivotButton="0" quotePrefix="0" xfId="0">
      <alignment vertical="center"/>
    </xf>
    <xf numFmtId="164" fontId="6" fillId="5" borderId="1" applyAlignment="1" pivotButton="0" quotePrefix="0" xfId="0">
      <alignment vertical="center"/>
    </xf>
    <xf numFmtId="164" fontId="6" fillId="6" borderId="1" applyAlignment="1" pivotButton="0" quotePrefix="0" xfId="0">
      <alignment vertical="center"/>
    </xf>
    <xf numFmtId="164" fontId="7" fillId="5" borderId="1" applyAlignment="1" pivotButton="0" quotePrefix="0" xfId="0">
      <alignment vertical="center"/>
    </xf>
    <xf numFmtId="164" fontId="7" fillId="6" borderId="1" applyAlignment="1" pivotButton="0" quotePrefix="0" xfId="0">
      <alignment vertical="center"/>
    </xf>
    <xf numFmtId="165" fontId="6" fillId="5" borderId="1" applyAlignment="1" pivotButton="0" quotePrefix="0" xfId="0">
      <alignment vertical="center"/>
    </xf>
    <xf numFmtId="165" fontId="6" fillId="6" borderId="1" applyAlignment="1" pivotButton="0" quotePrefix="0" xfId="0">
      <alignment vertical="center"/>
    </xf>
    <xf numFmtId="165" fontId="5" fillId="5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left" vertical="center"/>
    </xf>
    <xf numFmtId="168" fontId="6" fillId="5" borderId="1" applyAlignment="1" pivotButton="0" quotePrefix="0" xfId="0">
      <alignment vertical="center"/>
    </xf>
    <xf numFmtId="168" fontId="6" fillId="6" borderId="1" applyAlignment="1" pivotButton="0" quotePrefix="0" xfId="0">
      <alignment vertical="center"/>
    </xf>
    <xf numFmtId="168" fontId="7" fillId="5" borderId="1" applyAlignment="1" pivotButton="0" quotePrefix="0" xfId="0">
      <alignment vertical="center"/>
    </xf>
    <xf numFmtId="168" fontId="7" fillId="6" borderId="1" applyAlignment="1" pivotButton="0" quotePrefix="0" xfId="0">
      <alignment vertical="center"/>
    </xf>
    <xf numFmtId="165" fontId="7" fillId="5" borderId="0" applyAlignment="1" pivotButton="0" quotePrefix="0" xfId="0">
      <alignment horizontal="right" vertical="center"/>
    </xf>
    <xf numFmtId="165" fontId="7" fillId="6" borderId="0" applyAlignment="1" pivotButton="0" quotePrefix="0" xfId="0">
      <alignment horizontal="right" vertical="center"/>
    </xf>
    <xf numFmtId="164" fontId="6" fillId="5" borderId="0" applyAlignment="1" pivotButton="0" quotePrefix="0" xfId="0">
      <alignment horizontal="right" vertical="center"/>
    </xf>
    <xf numFmtId="164" fontId="6" fillId="6" borderId="0" applyAlignment="1" pivotButton="0" quotePrefix="0" xfId="0">
      <alignment horizontal="right" vertical="center"/>
    </xf>
    <xf numFmtId="164" fontId="7" fillId="5" borderId="0" applyAlignment="1" pivotButton="0" quotePrefix="0" xfId="0">
      <alignment horizontal="right" vertical="center"/>
    </xf>
    <xf numFmtId="164" fontId="7" fillId="6" borderId="0" applyAlignment="1" pivotButton="0" quotePrefix="0" xfId="0">
      <alignment horizontal="right" vertical="center"/>
    </xf>
    <xf numFmtId="165" fontId="6" fillId="5" borderId="0" applyAlignment="1" pivotButton="0" quotePrefix="0" xfId="0">
      <alignment horizontal="right" vertical="center"/>
    </xf>
    <xf numFmtId="165" fontId="6" fillId="6" borderId="0" applyAlignment="1" pivotButton="0" quotePrefix="0" xfId="0">
      <alignment horizontal="right" vertical="center"/>
    </xf>
    <xf numFmtId="165" fontId="5" fillId="5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168" fontId="6" fillId="5" borderId="0" applyAlignment="1" pivotButton="0" quotePrefix="0" xfId="0">
      <alignment horizontal="right" vertical="center"/>
    </xf>
    <xf numFmtId="168" fontId="6" fillId="6" borderId="0" applyAlignment="1" pivotButton="0" quotePrefix="0" xfId="0">
      <alignment horizontal="right" vertical="center"/>
    </xf>
    <xf numFmtId="168" fontId="7" fillId="5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8" fontId="6" fillId="5" borderId="1" applyAlignment="1" pivotButton="0" quotePrefix="0" xfId="0">
      <alignment horizontal="right" vertical="center"/>
    </xf>
    <xf numFmtId="168" fontId="6" fillId="6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5" fontId="6" fillId="0" borderId="4" pivotButton="0" quotePrefix="0" xfId="0"/>
    <xf numFmtId="169" fontId="6" fillId="0" borderId="4" pivotButton="0" quotePrefix="0" xfId="0"/>
    <xf numFmtId="17" fontId="2" fillId="3" borderId="2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3" fontId="3" fillId="0" borderId="0" pivotButton="0" quotePrefix="0" xfId="0"/>
    <xf numFmtId="165" fontId="0" fillId="0" borderId="4" pivotButton="0" quotePrefix="0" xfId="0"/>
    <xf numFmtId="165" fontId="3" fillId="0" borderId="4" pivotButton="0" quotePrefix="0" xfId="0"/>
    <xf numFmtId="169" fontId="0" fillId="0" borderId="0" pivotButton="0" quotePrefix="0" xfId="0"/>
    <xf numFmtId="17" fontId="2" fillId="3" borderId="2" applyAlignment="1" pivotButton="0" quotePrefix="0" xfId="0">
      <alignment horizontal="right" vertical="center" wrapText="1"/>
    </xf>
    <xf numFmtId="165" fontId="7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165" fontId="7" fillId="5" borderId="0" applyAlignment="1" pivotButton="0" quotePrefix="0" xfId="0">
      <alignment horizontal="right" vertical="center"/>
    </xf>
    <xf numFmtId="165" fontId="7" fillId="6" borderId="0" applyAlignment="1" pivotButton="0" quotePrefix="0" xfId="0">
      <alignment horizontal="right" vertical="center"/>
    </xf>
    <xf numFmtId="164" fontId="6" fillId="5" borderId="0" applyAlignment="1" pivotButton="0" quotePrefix="0" xfId="0">
      <alignment horizontal="right" vertical="center"/>
    </xf>
    <xf numFmtId="164" fontId="6" fillId="6" borderId="0" applyAlignment="1" pivotButton="0" quotePrefix="0" xfId="0">
      <alignment horizontal="right" vertical="center"/>
    </xf>
    <xf numFmtId="164" fontId="7" fillId="5" borderId="0" applyAlignment="1" pivotButton="0" quotePrefix="0" xfId="0">
      <alignment horizontal="right" vertical="center"/>
    </xf>
    <xf numFmtId="164" fontId="7" fillId="6" borderId="0" applyAlignment="1" pivotButton="0" quotePrefix="0" xfId="0">
      <alignment horizontal="right" vertical="center"/>
    </xf>
    <xf numFmtId="165" fontId="6" fillId="5" borderId="0" applyAlignment="1" pivotButton="0" quotePrefix="0" xfId="0">
      <alignment horizontal="right" vertical="center"/>
    </xf>
    <xf numFmtId="165" fontId="6" fillId="6" borderId="0" applyAlignment="1" pivotButton="0" quotePrefix="0" xfId="0">
      <alignment horizontal="right" vertical="center"/>
    </xf>
    <xf numFmtId="168" fontId="6" fillId="5" borderId="0" applyAlignment="1" pivotButton="0" quotePrefix="0" xfId="0">
      <alignment horizontal="right" vertical="center"/>
    </xf>
    <xf numFmtId="168" fontId="6" fillId="6" borderId="0" applyAlignment="1" pivotButton="0" quotePrefix="0" xfId="0">
      <alignment horizontal="right" vertical="center"/>
    </xf>
    <xf numFmtId="168" fontId="7" fillId="5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168" fontId="0" fillId="0" borderId="0" pivotButton="0" quotePrefix="0" xfId="0"/>
    <xf numFmtId="165" fontId="6" fillId="0" borderId="0" pivotButton="0" quotePrefix="0" xfId="0"/>
    <xf numFmtId="164" fontId="6" fillId="0" borderId="0" pivotButton="0" quotePrefix="0" xfId="0"/>
    <xf numFmtId="168" fontId="6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Sponsor Gross MOIC by Case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Series 1</v>
          </tx>
          <spPr>
            <a:ln xmlns:a="http://schemas.openxmlformats.org/drawingml/2006/main">
              <a:prstDash val="solid"/>
            </a:ln>
          </spPr>
          <cat>
            <strLit>
              <ptCount val="1"/>
              <pt idx="0">
                <v>Item 1</v>
              </pt>
            </strLit>
          </cat>
          <val>
            <numLit>
              <formatCode>General</formatCode>
              <ptCount val="1"/>
              <pt idx="0">
                <v>0</v>
              </pt>
            </numLit>
          </val>
        </ser>
        <ser>
          <idx val="1"/>
          <order val="1"/>
          <tx>
            <v>MOIC</v>
          </tx>
          <spPr>
            <a:ln xmlns:a="http://schemas.openxmlformats.org/drawingml/2006/main">
              <a:prstDash val="solid"/>
            </a:ln>
          </spPr>
          <cat>
            <strRef>
              <f>'Ownership_Returns'!$A$4:$A$8</f>
              <strCache>
                <ptCount val="1"/>
                <pt idx="0">
                  <v>Item 1</v>
                </pt>
              </strCache>
            </strRef>
          </cat>
          <val>
            <numRef>
              <f>'Ownership_Returns'!$K$4:$K$8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MOIC</v>
          </tx>
          <spPr>
            <a:ln xmlns:a="http://schemas.openxmlformats.org/drawingml/2006/main">
              <a:prstDash val="solid"/>
            </a:ln>
          </spPr>
          <cat>
            <strRef>
              <f>'Cover'!$A$17:$A$21</f>
              <strCache>
                <ptCount val="0"/>
              </strCache>
            </strRef>
          </cat>
          <val>
            <numRef>
              <f>'Cover'!$B$17:$B$21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13</col>
      <colOff>0</colOff>
      <row>2</row>
      <rowOff>0</rowOff>
    </from>
    <to>
      <col>21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7</col>
      <colOff>0</colOff>
      <row>14</row>
      <rowOff>0</rowOff>
    </from>
    <to>
      <col>14</col>
      <colOff>0</colOff>
      <row>30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4" customWidth="1" min="5" max="5"/>
    <col width="46" customWidth="1" min="6" max="6"/>
  </cols>
  <sheetData>
    <row r="1" ht="26" customHeight="1">
      <c r="A1" s="9" t="inlineStr">
        <is>
          <t>Project Keystone - Model Inputs and Locked Deal Ledger v1.2</t>
        </is>
      </c>
      <c r="B1" s="1" t="n"/>
      <c r="C1" s="1" t="n"/>
      <c r="D1" s="1" t="n"/>
      <c r="E1" s="1" t="n"/>
      <c r="F1" s="1" t="n"/>
    </row>
    <row r="2">
      <c r="A2" s="15" t="inlineStr">
        <is>
          <t>Field</t>
        </is>
      </c>
      <c r="B2" s="15" t="inlineStr">
        <is>
          <t>Value</t>
        </is>
      </c>
      <c r="C2" s="15" t="inlineStr">
        <is>
          <t>Unit</t>
        </is>
      </c>
      <c r="D2" s="15" t="inlineStr">
        <is>
          <t>Status</t>
        </is>
      </c>
      <c r="E2" s="15" t="inlineStr">
        <is>
          <t>Source / Ledger ID</t>
        </is>
      </c>
      <c r="F2" s="15" t="inlineStr">
        <is>
          <t>Notes</t>
        </is>
      </c>
    </row>
    <row r="3">
      <c r="A3" s="30" t="inlineStr">
        <is>
          <t>Enterprise value</t>
        </is>
      </c>
      <c r="B3" s="224" t="n">
        <v>108</v>
      </c>
      <c r="C3" t="inlineStr">
        <is>
          <t>$mm</t>
        </is>
      </c>
      <c r="D3" t="inlineStr">
        <is>
          <t>LOCKED</t>
        </is>
      </c>
      <c r="E3" t="inlineStr">
        <is>
          <t>KS-DL-1.2</t>
        </is>
      </c>
      <c r="F3" t="inlineStr">
        <is>
          <t>Cash-free, debt-free</t>
        </is>
      </c>
    </row>
    <row r="4">
      <c r="A4" s="30" t="inlineStr">
        <is>
          <t>Seller net debt and debt-like items</t>
        </is>
      </c>
      <c r="B4" s="224" t="n">
        <v>10.2</v>
      </c>
      <c r="C4" t="inlineStr">
        <is>
          <t>$mm</t>
        </is>
      </c>
      <c r="D4" t="inlineStr">
        <is>
          <t>LOCKED</t>
        </is>
      </c>
      <c r="E4" t="inlineStr">
        <is>
          <t>KS-DL-1.2</t>
        </is>
      </c>
      <c r="F4" t="inlineStr">
        <is>
          <t>Closing estimate</t>
        </is>
      </c>
    </row>
    <row r="5">
      <c r="A5" s="30" t="inlineStr">
        <is>
          <t>Seller equity value</t>
        </is>
      </c>
      <c r="B5" s="224" t="n">
        <v>97.8</v>
      </c>
      <c r="C5" t="inlineStr">
        <is>
          <t>$mm</t>
        </is>
      </c>
      <c r="D5" t="inlineStr">
        <is>
          <t>DERIVED</t>
        </is>
      </c>
      <c r="E5" t="inlineStr">
        <is>
          <t>EV less seller net debt</t>
        </is>
      </c>
    </row>
    <row r="6">
      <c r="A6" s="30" t="inlineStr">
        <is>
          <t>Cash consideration</t>
        </is>
      </c>
      <c r="B6" s="224" t="n">
        <v>85.8</v>
      </c>
      <c r="C6" t="inlineStr">
        <is>
          <t>$mm</t>
        </is>
      </c>
      <c r="D6" t="inlineStr">
        <is>
          <t>DERIVED</t>
        </is>
      </c>
      <c r="E6" t="inlineStr">
        <is>
          <t>Seller equity less rollover</t>
        </is>
      </c>
    </row>
    <row r="7">
      <c r="A7" s="30" t="inlineStr">
        <is>
          <t>Seller rollover</t>
        </is>
      </c>
      <c r="B7" s="224" t="n">
        <v>12</v>
      </c>
      <c r="C7" t="inlineStr">
        <is>
          <t>$mm</t>
        </is>
      </c>
      <c r="D7" t="inlineStr">
        <is>
          <t>LOCKED</t>
        </is>
      </c>
      <c r="E7" t="inlineStr">
        <is>
          <t>KS-DL-1.2</t>
        </is>
      </c>
      <c r="F7" t="inlineStr">
        <is>
          <t>Founder $8.0m; management $4.0m</t>
        </is>
      </c>
    </row>
    <row r="8">
      <c r="A8" s="30" t="inlineStr">
        <is>
          <t>Sponsor initial cash equity</t>
        </is>
      </c>
      <c r="B8" s="224" t="n">
        <v>62</v>
      </c>
      <c r="C8" t="inlineStr">
        <is>
          <t>$mm</t>
        </is>
      </c>
      <c r="D8" t="inlineStr">
        <is>
          <t>LOCKED</t>
        </is>
      </c>
      <c r="E8" t="inlineStr">
        <is>
          <t>KS-DL-1.2</t>
        </is>
      </c>
      <c r="F8" t="inlineStr">
        <is>
          <t>Corrected capitalization</t>
        </is>
      </c>
    </row>
    <row r="9">
      <c r="A9" s="30" t="inlineStr">
        <is>
          <t>First-lien opening debt</t>
        </is>
      </c>
      <c r="B9" s="224" t="n">
        <v>42.8</v>
      </c>
      <c r="C9" t="inlineStr">
        <is>
          <t>$mm</t>
        </is>
      </c>
      <c r="D9" t="inlineStr">
        <is>
          <t>LOCKED</t>
        </is>
      </c>
      <c r="E9" t="inlineStr">
        <is>
          <t>KS-DL-1.2</t>
        </is>
      </c>
    </row>
    <row r="10">
      <c r="A10" s="30" t="inlineStr">
        <is>
          <t>Opening cash</t>
        </is>
      </c>
      <c r="B10" s="224" t="n">
        <v>3</v>
      </c>
      <c r="C10" t="inlineStr">
        <is>
          <t>$mm</t>
        </is>
      </c>
      <c r="D10" t="inlineStr">
        <is>
          <t>LOCKED</t>
        </is>
      </c>
      <c r="E10" t="inlineStr">
        <is>
          <t>KS-DL-1.2</t>
        </is>
      </c>
    </row>
    <row r="11">
      <c r="A11" s="30" t="inlineStr">
        <is>
          <t>Opening firm EBITDA</t>
        </is>
      </c>
      <c r="B11" s="224" t="n">
        <v>11.4</v>
      </c>
      <c r="C11" t="inlineStr">
        <is>
          <t>$mm</t>
        </is>
      </c>
      <c r="D11" t="inlineStr">
        <is>
          <t>LOCKED</t>
        </is>
      </c>
      <c r="E11" t="inlineStr">
        <is>
          <t>KS-DL-1.2</t>
        </is>
      </c>
      <c r="F11" t="inlineStr">
        <is>
          <t>Valuation and internal leverage</t>
        </is>
      </c>
    </row>
    <row r="12">
      <c r="A12" s="30" t="inlineStr">
        <is>
          <t>Opening covenant EBITDA</t>
        </is>
      </c>
      <c r="B12" s="224" t="n">
        <v>12.2</v>
      </c>
      <c r="C12" t="inlineStr">
        <is>
          <t>$mm</t>
        </is>
      </c>
      <c r="D12" t="inlineStr">
        <is>
          <t>LOCKED</t>
        </is>
      </c>
      <c r="E12" t="inlineStr">
        <is>
          <t>KS-DL-1.2</t>
        </is>
      </c>
      <c r="F12" t="inlineStr">
        <is>
          <t>Credit agreement only</t>
        </is>
      </c>
    </row>
    <row r="13">
      <c r="A13" s="30" t="inlineStr">
        <is>
          <t>Largest ultimate-parent concentration</t>
        </is>
      </c>
      <c r="B13" s="225" t="n">
        <v>0.182</v>
      </c>
      <c r="C13" t="inlineStr">
        <is>
          <t>%</t>
        </is>
      </c>
      <c r="D13" t="inlineStr">
        <is>
          <t>LOCKED</t>
        </is>
      </c>
      <c r="E13" t="inlineStr">
        <is>
          <t>KS-DL-1.2</t>
        </is>
      </c>
      <c r="F13" t="inlineStr">
        <is>
          <t>Riverton Industrial Group</t>
        </is>
      </c>
    </row>
    <row r="14">
      <c r="A14" s="30" t="inlineStr">
        <is>
          <t>Normalized NWC target</t>
        </is>
      </c>
      <c r="B14" s="224" t="n">
        <v>8.4</v>
      </c>
      <c r="C14" t="inlineStr">
        <is>
          <t>$mm</t>
        </is>
      </c>
      <c r="D14" t="inlineStr">
        <is>
          <t>LOCKED</t>
        </is>
      </c>
      <c r="E14" t="inlineStr">
        <is>
          <t>KS-DL-1.2</t>
        </is>
      </c>
      <c r="F14" t="inlineStr">
        <is>
          <t>Dollar-for-dollar true-up</t>
        </is>
      </c>
    </row>
    <row r="15">
      <c r="A15" s="30" t="inlineStr">
        <is>
          <t>Tax rate</t>
        </is>
      </c>
      <c r="B15" s="225" t="n">
        <v>0.26</v>
      </c>
      <c r="C15" t="inlineStr">
        <is>
          <t>%</t>
        </is>
      </c>
      <c r="D15" t="inlineStr">
        <is>
          <t>MODEL ASSUMPTION</t>
        </is>
      </c>
      <c r="E15" t="inlineStr">
        <is>
          <t>KS-MA-001</t>
        </is>
      </c>
      <c r="F15" t="inlineStr">
        <is>
          <t>Blended federal/state cash and book rate</t>
        </is>
      </c>
    </row>
    <row r="16">
      <c r="A16" s="30" t="inlineStr">
        <is>
          <t>Cash interest deduction cap</t>
        </is>
      </c>
      <c r="B16" s="225" t="n">
        <v>0.3</v>
      </c>
      <c r="C16" t="inlineStr">
        <is>
          <t>% of EBITDA</t>
        </is>
      </c>
      <c r="D16" t="inlineStr">
        <is>
          <t>MODEL ASSUMPTION</t>
        </is>
      </c>
      <c r="E16" t="inlineStr">
        <is>
          <t>KS-MA-002</t>
        </is>
      </c>
      <c r="F16" t="inlineStr">
        <is>
          <t>Simplified 163(j) treatment</t>
        </is>
      </c>
    </row>
    <row r="17">
      <c r="A17" s="30" t="inlineStr">
        <is>
          <t>Depreciation as % revenue</t>
        </is>
      </c>
      <c r="B17" s="225" t="n">
        <v>0.015</v>
      </c>
      <c r="C17" t="inlineStr">
        <is>
          <t>%</t>
        </is>
      </c>
      <c r="D17" t="inlineStr">
        <is>
          <t>MODEL ASSUMPTION</t>
        </is>
      </c>
      <c r="E17" t="inlineStr">
        <is>
          <t>KS-MA-003</t>
        </is>
      </c>
      <c r="F17" t="inlineStr">
        <is>
          <t>Consistent with historical run-rate</t>
        </is>
      </c>
    </row>
    <row r="18">
      <c r="A18" s="30" t="inlineStr">
        <is>
          <t>Maintenance capex share</t>
        </is>
      </c>
      <c r="B18" s="225" t="n">
        <v>0.75</v>
      </c>
      <c r="C18" t="inlineStr">
        <is>
          <t>% of capex</t>
        </is>
      </c>
      <c r="D18" t="inlineStr">
        <is>
          <t>MODEL ASSUMPTION</t>
        </is>
      </c>
      <c r="E18" t="inlineStr">
        <is>
          <t>KS-MA-004</t>
        </is>
      </c>
      <c r="F18" t="inlineStr">
        <is>
          <t>Growth capex is residual</t>
        </is>
      </c>
    </row>
    <row r="19">
      <c r="A19" s="30" t="inlineStr">
        <is>
          <t>Eligible cash netting cap</t>
        </is>
      </c>
      <c r="B19" s="224" t="n">
        <v>5</v>
      </c>
      <c r="C19" t="inlineStr">
        <is>
          <t>$mm</t>
        </is>
      </c>
      <c r="D19" t="inlineStr">
        <is>
          <t>LOCKED</t>
        </is>
      </c>
      <c r="E19" t="inlineStr">
        <is>
          <t>KS-DL-1.2</t>
        </is>
      </c>
      <c r="F19" t="inlineStr">
        <is>
          <t>Covenant only</t>
        </is>
      </c>
    </row>
    <row r="20">
      <c r="A20" s="30" t="inlineStr">
        <is>
          <t>Revolver commitment</t>
        </is>
      </c>
      <c r="B20" s="224" t="n">
        <v>7.5</v>
      </c>
      <c r="C20" t="inlineStr">
        <is>
          <t>$mm</t>
        </is>
      </c>
      <c r="D20" t="inlineStr">
        <is>
          <t>LOCKED</t>
        </is>
      </c>
      <c r="E20" t="inlineStr">
        <is>
          <t>KS-DL-1.2</t>
        </is>
      </c>
    </row>
    <row r="21">
      <c r="A21" s="30" t="inlineStr">
        <is>
          <t>DDTL commitment</t>
        </is>
      </c>
      <c r="B21" s="224" t="n">
        <v>10</v>
      </c>
      <c r="C21" t="inlineStr">
        <is>
          <t>$mm</t>
        </is>
      </c>
      <c r="D21" t="inlineStr">
        <is>
          <t>LOCKED</t>
        </is>
      </c>
      <c r="E21" t="inlineStr">
        <is>
          <t>KS-DL-1.2</t>
        </is>
      </c>
    </row>
    <row r="22">
      <c r="A22" s="30" t="inlineStr">
        <is>
          <t>LC sublimit</t>
        </is>
      </c>
      <c r="B22" s="224" t="n">
        <v>2</v>
      </c>
      <c r="C22" t="inlineStr">
        <is>
          <t>$mm</t>
        </is>
      </c>
      <c r="D22" t="inlineStr">
        <is>
          <t>LOCKED</t>
        </is>
      </c>
      <c r="E22" t="inlineStr">
        <is>
          <t>KS-DL-1.2</t>
        </is>
      </c>
    </row>
    <row r="23">
      <c r="A23" s="30" t="inlineStr">
        <is>
          <t>Term loan spread</t>
        </is>
      </c>
      <c r="B23" s="225" t="n">
        <v>0.055</v>
      </c>
      <c r="C23" t="inlineStr">
        <is>
          <t>%</t>
        </is>
      </c>
      <c r="D23" t="inlineStr">
        <is>
          <t>LOCKED</t>
        </is>
      </c>
      <c r="E23" t="inlineStr">
        <is>
          <t>KS-DL-1.2</t>
        </is>
      </c>
      <c r="F23" t="inlineStr">
        <is>
          <t>Over adjusted Term SOFR</t>
        </is>
      </c>
    </row>
    <row r="24">
      <c r="A24" s="30" t="inlineStr">
        <is>
          <t>Revolver spread</t>
        </is>
      </c>
      <c r="B24" s="225" t="n">
        <v>0.05</v>
      </c>
      <c r="C24" t="inlineStr">
        <is>
          <t>%</t>
        </is>
      </c>
      <c r="D24" t="inlineStr">
        <is>
          <t>LOCKED</t>
        </is>
      </c>
      <c r="E24" t="inlineStr">
        <is>
          <t>KS-DL-1.2</t>
        </is>
      </c>
    </row>
    <row r="25">
      <c r="A25" s="30" t="inlineStr">
        <is>
          <t>DDTL spread</t>
        </is>
      </c>
      <c r="B25" s="225" t="n">
        <v>0.0575</v>
      </c>
      <c r="C25" t="inlineStr">
        <is>
          <t>%</t>
        </is>
      </c>
      <c r="D25" t="inlineStr">
        <is>
          <t>LOCKED</t>
        </is>
      </c>
      <c r="E25" t="inlineStr">
        <is>
          <t>KS-DL-1.2</t>
        </is>
      </c>
    </row>
    <row r="26">
      <c r="A26" s="30" t="inlineStr">
        <is>
          <t>SOFR floor</t>
        </is>
      </c>
      <c r="B26" s="225" t="n">
        <v>0.01</v>
      </c>
      <c r="C26" t="inlineStr">
        <is>
          <t>%</t>
        </is>
      </c>
      <c r="D26" t="inlineStr">
        <is>
          <t>LOCKED</t>
        </is>
      </c>
      <c r="E26" t="inlineStr">
        <is>
          <t>KS-DL-1.2</t>
        </is>
      </c>
    </row>
    <row r="27">
      <c r="A27" s="30" t="inlineStr">
        <is>
          <t>Annual term amortization</t>
        </is>
      </c>
      <c r="B27" s="225" t="n">
        <v>0.01</v>
      </c>
      <c r="C27" t="inlineStr">
        <is>
          <t>% original principal</t>
        </is>
      </c>
      <c r="D27" t="inlineStr">
        <is>
          <t>LOCKED</t>
        </is>
      </c>
      <c r="E27" t="inlineStr">
        <is>
          <t>KS-DL-1.2</t>
        </is>
      </c>
      <c r="F27" t="inlineStr">
        <is>
          <t>Quarterly payments</t>
        </is>
      </c>
    </row>
    <row r="28">
      <c r="A28" s="30" t="inlineStr">
        <is>
          <t>Annual DDTL amortization</t>
        </is>
      </c>
      <c r="B28" s="225" t="n">
        <v>0.01</v>
      </c>
      <c r="C28" t="inlineStr">
        <is>
          <t>% original principal</t>
        </is>
      </c>
      <c r="D28" t="inlineStr">
        <is>
          <t>LOCKED</t>
        </is>
      </c>
      <c r="E28" t="inlineStr">
        <is>
          <t>KS-DL-1.2</t>
        </is>
      </c>
      <c r="F28" t="inlineStr">
        <is>
          <t>Quarterly after draw</t>
        </is>
      </c>
    </row>
    <row r="29">
      <c r="A29" s="30" t="inlineStr">
        <is>
          <t>Unused revolver fee</t>
        </is>
      </c>
      <c r="B29" s="225" t="n">
        <v>0.005</v>
      </c>
      <c r="C29" t="inlineStr">
        <is>
          <t>%</t>
        </is>
      </c>
      <c r="D29" t="inlineStr">
        <is>
          <t>LOCKED</t>
        </is>
      </c>
      <c r="E29" t="inlineStr">
        <is>
          <t>KS-DL-1.2</t>
        </is>
      </c>
    </row>
    <row r="30">
      <c r="A30" s="30" t="inlineStr">
        <is>
          <t>Unused DDTL fee</t>
        </is>
      </c>
      <c r="B30" s="225" t="n">
        <v>0.01</v>
      </c>
      <c r="C30" t="inlineStr">
        <is>
          <t>%</t>
        </is>
      </c>
      <c r="D30" t="inlineStr">
        <is>
          <t>LOCKED</t>
        </is>
      </c>
      <c r="E30" t="inlineStr">
        <is>
          <t>KS-DL-1.2</t>
        </is>
      </c>
      <c r="F30" t="inlineStr">
        <is>
          <t>After first 90 days</t>
        </is>
      </c>
    </row>
    <row r="31">
      <c r="A31" s="30" t="inlineStr">
        <is>
          <t>Financing fees and OID</t>
        </is>
      </c>
      <c r="B31" s="224" t="n">
        <v>1.4</v>
      </c>
      <c r="C31" t="inlineStr">
        <is>
          <t>$mm</t>
        </is>
      </c>
      <c r="D31" t="inlineStr">
        <is>
          <t>LOCKED</t>
        </is>
      </c>
      <c r="E31" t="inlineStr">
        <is>
          <t>KS-DL-1.2</t>
        </is>
      </c>
      <c r="F31" t="inlineStr">
        <is>
          <t>Amortized over 24 quarters</t>
        </is>
      </c>
    </row>
    <row r="32">
      <c r="A32" s="30" t="inlineStr">
        <is>
          <t>Buyer transaction expenses</t>
        </is>
      </c>
      <c r="B32" s="224" t="n">
        <v>4.4</v>
      </c>
      <c r="C32" t="inlineStr">
        <is>
          <t>$mm</t>
        </is>
      </c>
      <c r="D32" t="inlineStr">
        <is>
          <t>LOCKED</t>
        </is>
      </c>
      <c r="E32" t="inlineStr">
        <is>
          <t>KS-DL-1.2</t>
        </is>
      </c>
      <c r="F32" t="inlineStr">
        <is>
          <t>Expensed at closing</t>
        </is>
      </c>
    </row>
    <row r="33">
      <c r="A33" s="30" t="inlineStr">
        <is>
          <t>Opening equity after transaction expense</t>
        </is>
      </c>
      <c r="B33" s="224" t="n">
        <v>69.59999999999999</v>
      </c>
      <c r="C33" t="inlineStr">
        <is>
          <t>$mm</t>
        </is>
      </c>
      <c r="D33" t="inlineStr">
        <is>
          <t>DERIVED</t>
        </is>
      </c>
      <c r="E33" t="inlineStr">
        <is>
          <t>74.0 less 4.4</t>
        </is>
      </c>
    </row>
    <row r="34">
      <c r="A34" s="30" t="inlineStr">
        <is>
          <t>Exit date</t>
        </is>
      </c>
      <c r="B34" s="226" t="n">
        <v>47938</v>
      </c>
      <c r="C34" t="inlineStr">
        <is>
          <t>date</t>
        </is>
      </c>
      <c r="D34" t="inlineStr">
        <is>
          <t>LOCKED</t>
        </is>
      </c>
      <c r="E34" t="inlineStr">
        <is>
          <t>KS-DL-1.2</t>
        </is>
      </c>
      <c r="F34" t="inlineStr">
        <is>
          <t>Exact LTM basis</t>
        </is>
      </c>
    </row>
    <row r="35"/>
    <row r="36"/>
    <row r="37"/>
    <row r="38" ht="20" customHeight="1">
      <c r="A38" s="39" t="inlineStr">
        <is>
          <t>Annual Operating Assumptions</t>
        </is>
      </c>
      <c r="B38" s="1" t="n"/>
      <c r="C38" s="1" t="n"/>
      <c r="D38" s="1" t="n"/>
      <c r="E38" s="1" t="n"/>
      <c r="F38" s="1" t="n"/>
      <c r="G38" s="1" t="n"/>
      <c r="H38" s="1" t="n"/>
    </row>
    <row r="39">
      <c r="A39" s="15" t="inlineStr">
        <is>
          <t>Case / Driver</t>
        </is>
      </c>
      <c r="B39" s="15" t="inlineStr">
        <is>
          <t>Unit</t>
        </is>
      </c>
      <c r="C39" s="15" t="n">
        <v>2026</v>
      </c>
      <c r="D39" s="15" t="n">
        <v>2027</v>
      </c>
      <c r="E39" s="15" t="n">
        <v>2028</v>
      </c>
      <c r="F39" s="15" t="n">
        <v>2029</v>
      </c>
      <c r="G39" s="15" t="n">
        <v>2030</v>
      </c>
      <c r="H39" s="15" t="n">
        <v>2031</v>
      </c>
    </row>
    <row r="40">
      <c r="A40" t="inlineStr">
        <is>
          <t>Standalone Base - Platform growth</t>
        </is>
      </c>
      <c r="B40" t="inlineStr">
        <is>
          <t>%</t>
        </is>
      </c>
      <c r="C40" s="225" t="n">
        <v>0.07000000000000001</v>
      </c>
      <c r="D40" s="225" t="n">
        <v>0.07000000000000001</v>
      </c>
      <c r="E40" s="225" t="n">
        <v>0.07000000000000001</v>
      </c>
      <c r="F40" s="225" t="n">
        <v>0.07000000000000001</v>
      </c>
      <c r="G40" s="225" t="n">
        <v>0.07000000000000001</v>
      </c>
      <c r="H40" s="225" t="n">
        <v>0.07000000000000001</v>
      </c>
    </row>
    <row r="41">
      <c r="A41" t="inlineStr">
        <is>
          <t>Standalone Base - Gross margin</t>
        </is>
      </c>
      <c r="B41" t="inlineStr">
        <is>
          <t>%</t>
        </is>
      </c>
      <c r="C41" s="225" t="n">
        <v>0.362</v>
      </c>
      <c r="D41" s="225" t="n">
        <v>0.365</v>
      </c>
      <c r="E41" s="225" t="n">
        <v>0.368</v>
      </c>
      <c r="F41" s="225" t="n">
        <v>0.371</v>
      </c>
      <c r="G41" s="225" t="n">
        <v>0.374</v>
      </c>
      <c r="H41" s="225" t="n">
        <v>0.377</v>
      </c>
    </row>
    <row r="42">
      <c r="A42" t="inlineStr">
        <is>
          <t>Standalone Base - Firm EBITDA margin</t>
        </is>
      </c>
      <c r="B42" t="inlineStr">
        <is>
          <t>%</t>
        </is>
      </c>
      <c r="C42" s="225" t="n">
        <v>0.156</v>
      </c>
      <c r="D42" s="225" t="n">
        <v>0.161</v>
      </c>
      <c r="E42" s="225" t="n">
        <v>0.165</v>
      </c>
      <c r="F42" s="225" t="n">
        <v>0.169</v>
      </c>
      <c r="G42" s="225" t="n">
        <v>0.173</v>
      </c>
      <c r="H42" s="225" t="n">
        <v>0.177</v>
      </c>
    </row>
    <row r="43">
      <c r="A43" t="inlineStr">
        <is>
          <t>Standalone Base - DSO</t>
        </is>
      </c>
      <c r="B43" t="inlineStr">
        <is>
          <t>days</t>
        </is>
      </c>
      <c r="C43" s="227" t="n">
        <v>64</v>
      </c>
      <c r="D43" s="227" t="n">
        <v>63</v>
      </c>
      <c r="E43" s="227" t="n">
        <v>62</v>
      </c>
      <c r="F43" s="227" t="n">
        <v>61</v>
      </c>
      <c r="G43" s="227" t="n">
        <v>60</v>
      </c>
      <c r="H43" s="227" t="n">
        <v>60</v>
      </c>
    </row>
    <row r="44">
      <c r="A44" t="inlineStr">
        <is>
          <t>Standalone Base - WIP / revenue</t>
        </is>
      </c>
      <c r="B44" t="inlineStr">
        <is>
          <t>%</t>
        </is>
      </c>
      <c r="C44" s="225" t="n">
        <v>0.067</v>
      </c>
      <c r="D44" s="225" t="n">
        <v>0.065</v>
      </c>
      <c r="E44" s="225" t="n">
        <v>0.063</v>
      </c>
      <c r="F44" s="225" t="n">
        <v>0.061</v>
      </c>
      <c r="G44" s="225" t="n">
        <v>0.06</v>
      </c>
      <c r="H44" s="225" t="n">
        <v>0.06</v>
      </c>
    </row>
    <row r="45">
      <c r="A45" t="inlineStr">
        <is>
          <t>Standalone Base - Capex / revenue</t>
        </is>
      </c>
      <c r="B45" t="inlineStr">
        <is>
          <t>%</t>
        </is>
      </c>
      <c r="C45" s="225" t="n">
        <v>0.016</v>
      </c>
      <c r="D45" s="225" t="n">
        <v>0.016</v>
      </c>
      <c r="E45" s="225" t="n">
        <v>0.016</v>
      </c>
      <c r="F45" s="225" t="n">
        <v>0.016</v>
      </c>
      <c r="G45" s="225" t="n">
        <v>0.016</v>
      </c>
      <c r="H45" s="225" t="n">
        <v>0.016</v>
      </c>
    </row>
    <row r="46">
      <c r="A46" t="inlineStr">
        <is>
          <t>Standalone Base - Exit multiple</t>
        </is>
      </c>
      <c r="B46" t="inlineStr">
        <is>
          <t>x</t>
        </is>
      </c>
      <c r="C46" s="228" t="n">
        <v>9</v>
      </c>
      <c r="D46" s="228" t="n">
        <v>9</v>
      </c>
      <c r="E46" s="228" t="n">
        <v>9</v>
      </c>
      <c r="F46" s="228" t="n">
        <v>9</v>
      </c>
      <c r="G46" s="228" t="n">
        <v>9</v>
      </c>
      <c r="H46" s="228" t="n">
        <v>9</v>
      </c>
    </row>
    <row r="47">
      <c r="A47" t="inlineStr">
        <is>
          <t>Standalone Downside - Platform growth</t>
        </is>
      </c>
      <c r="B47" t="inlineStr">
        <is>
          <t>%</t>
        </is>
      </c>
      <c r="C47" s="225" t="n">
        <v>0.04</v>
      </c>
      <c r="D47" s="225" t="n">
        <v>0.02</v>
      </c>
      <c r="E47" s="225" t="n">
        <v>0.04</v>
      </c>
      <c r="F47" s="225" t="n">
        <v>0.05</v>
      </c>
      <c r="G47" s="225" t="n">
        <v>0.05</v>
      </c>
      <c r="H47" s="225" t="n">
        <v>0.05</v>
      </c>
    </row>
    <row r="48">
      <c r="A48" t="inlineStr">
        <is>
          <t>Standalone Downside - Gross margin</t>
        </is>
      </c>
      <c r="B48" t="inlineStr">
        <is>
          <t>%</t>
        </is>
      </c>
      <c r="C48" s="225" t="n">
        <v>0.355</v>
      </c>
      <c r="D48" s="225" t="n">
        <v>0.345</v>
      </c>
      <c r="E48" s="225" t="n">
        <v>0.35</v>
      </c>
      <c r="F48" s="225" t="n">
        <v>0.355</v>
      </c>
      <c r="G48" s="225" t="n">
        <v>0.36</v>
      </c>
      <c r="H48" s="225" t="n">
        <v>0.362</v>
      </c>
    </row>
    <row r="49">
      <c r="A49" t="inlineStr">
        <is>
          <t>Standalone Downside - Firm EBITDA margin</t>
        </is>
      </c>
      <c r="B49" t="inlineStr">
        <is>
          <t>%</t>
        </is>
      </c>
      <c r="C49" s="225" t="n">
        <v>0.145</v>
      </c>
      <c r="D49" s="225" t="n">
        <v>0.135</v>
      </c>
      <c r="E49" s="225" t="n">
        <v>0.145</v>
      </c>
      <c r="F49" s="225" t="n">
        <v>0.153</v>
      </c>
      <c r="G49" s="225" t="n">
        <v>0.158</v>
      </c>
      <c r="H49" s="225" t="n">
        <v>0.162</v>
      </c>
    </row>
    <row r="50">
      <c r="A50" t="inlineStr">
        <is>
          <t>Standalone Downside - DSO</t>
        </is>
      </c>
      <c r="B50" t="inlineStr">
        <is>
          <t>days</t>
        </is>
      </c>
      <c r="C50" s="227" t="n">
        <v>67</v>
      </c>
      <c r="D50" s="227" t="n">
        <v>75</v>
      </c>
      <c r="E50" s="227" t="n">
        <v>72</v>
      </c>
      <c r="F50" s="227" t="n">
        <v>69</v>
      </c>
      <c r="G50" s="227" t="n">
        <v>67</v>
      </c>
      <c r="H50" s="227" t="n">
        <v>66</v>
      </c>
    </row>
    <row r="51">
      <c r="A51" t="inlineStr">
        <is>
          <t>Standalone Downside - WIP / revenue</t>
        </is>
      </c>
      <c r="B51" t="inlineStr">
        <is>
          <t>%</t>
        </is>
      </c>
      <c r="C51" s="225" t="n">
        <v>0.07000000000000001</v>
      </c>
      <c r="D51" s="225" t="n">
        <v>0.08</v>
      </c>
      <c r="E51" s="225" t="n">
        <v>0.075</v>
      </c>
      <c r="F51" s="225" t="n">
        <v>0.07000000000000001</v>
      </c>
      <c r="G51" s="225" t="n">
        <v>0.068</v>
      </c>
      <c r="H51" s="225" t="n">
        <v>0.066</v>
      </c>
    </row>
    <row r="52">
      <c r="A52" t="inlineStr">
        <is>
          <t>Standalone Downside - Capex / revenue</t>
        </is>
      </c>
      <c r="B52" t="inlineStr">
        <is>
          <t>%</t>
        </is>
      </c>
      <c r="C52" s="225" t="n">
        <v>0.016</v>
      </c>
      <c r="D52" s="225" t="n">
        <v>0.016</v>
      </c>
      <c r="E52" s="225" t="n">
        <v>0.016</v>
      </c>
      <c r="F52" s="225" t="n">
        <v>0.016</v>
      </c>
      <c r="G52" s="225" t="n">
        <v>0.016</v>
      </c>
      <c r="H52" s="225" t="n">
        <v>0.016</v>
      </c>
    </row>
    <row r="53">
      <c r="A53" t="inlineStr">
        <is>
          <t>Standalone Downside - Exit multiple</t>
        </is>
      </c>
      <c r="B53" t="inlineStr">
        <is>
          <t>x</t>
        </is>
      </c>
      <c r="C53" s="228" t="n">
        <v>8</v>
      </c>
      <c r="D53" s="228" t="n">
        <v>8</v>
      </c>
      <c r="E53" s="228" t="n">
        <v>8</v>
      </c>
      <c r="F53" s="228" t="n">
        <v>8</v>
      </c>
      <c r="G53" s="228" t="n">
        <v>8</v>
      </c>
      <c r="H53" s="228" t="n">
        <v>8</v>
      </c>
    </row>
    <row r="54">
      <c r="A54" t="inlineStr">
        <is>
          <t>Standalone Upside - Platform growth</t>
        </is>
      </c>
      <c r="B54" t="inlineStr">
        <is>
          <t>%</t>
        </is>
      </c>
      <c r="C54" s="225" t="n">
        <v>0.08500000000000001</v>
      </c>
      <c r="D54" s="225" t="n">
        <v>0.08500000000000001</v>
      </c>
      <c r="E54" s="225" t="n">
        <v>0.08500000000000001</v>
      </c>
      <c r="F54" s="225" t="n">
        <v>0.08500000000000001</v>
      </c>
      <c r="G54" s="225" t="n">
        <v>0.08500000000000001</v>
      </c>
      <c r="H54" s="225" t="n">
        <v>0.08500000000000001</v>
      </c>
    </row>
    <row r="55">
      <c r="A55" t="inlineStr">
        <is>
          <t>Standalone Upside - Gross margin</t>
        </is>
      </c>
      <c r="B55" t="inlineStr">
        <is>
          <t>%</t>
        </is>
      </c>
      <c r="C55" s="225" t="n">
        <v>0.365</v>
      </c>
      <c r="D55" s="225" t="n">
        <v>0.372</v>
      </c>
      <c r="E55" s="225" t="n">
        <v>0.378</v>
      </c>
      <c r="F55" s="225" t="n">
        <v>0.382</v>
      </c>
      <c r="G55" s="225" t="n">
        <v>0.384</v>
      </c>
      <c r="H55" s="225" t="n">
        <v>0.385</v>
      </c>
    </row>
    <row r="56">
      <c r="A56" t="inlineStr">
        <is>
          <t>Standalone Upside - Firm EBITDA margin</t>
        </is>
      </c>
      <c r="B56" t="inlineStr">
        <is>
          <t>%</t>
        </is>
      </c>
      <c r="C56" s="225" t="n">
        <v>0.16</v>
      </c>
      <c r="D56" s="225" t="n">
        <v>0.168</v>
      </c>
      <c r="E56" s="225" t="n">
        <v>0.174</v>
      </c>
      <c r="F56" s="225" t="n">
        <v>0.18</v>
      </c>
      <c r="G56" s="225" t="n">
        <v>0.183</v>
      </c>
      <c r="H56" s="225" t="n">
        <v>0.185</v>
      </c>
    </row>
    <row r="57">
      <c r="A57" t="inlineStr">
        <is>
          <t>Standalone Upside - DSO</t>
        </is>
      </c>
      <c r="B57" t="inlineStr">
        <is>
          <t>days</t>
        </is>
      </c>
      <c r="C57" s="227" t="n">
        <v>62</v>
      </c>
      <c r="D57" s="227" t="n">
        <v>60</v>
      </c>
      <c r="E57" s="227" t="n">
        <v>59</v>
      </c>
      <c r="F57" s="227" t="n">
        <v>58</v>
      </c>
      <c r="G57" s="227" t="n">
        <v>58</v>
      </c>
      <c r="H57" s="227" t="n">
        <v>58</v>
      </c>
    </row>
    <row r="58">
      <c r="A58" t="inlineStr">
        <is>
          <t>Standalone Upside - WIP / revenue</t>
        </is>
      </c>
      <c r="B58" t="inlineStr">
        <is>
          <t>%</t>
        </is>
      </c>
      <c r="C58" s="225" t="n">
        <v>0.065</v>
      </c>
      <c r="D58" s="225" t="n">
        <v>0.062</v>
      </c>
      <c r="E58" s="225" t="n">
        <v>0.06</v>
      </c>
      <c r="F58" s="225" t="n">
        <v>0.058</v>
      </c>
      <c r="G58" s="225" t="n">
        <v>0.057</v>
      </c>
      <c r="H58" s="225" t="n">
        <v>0.056</v>
      </c>
    </row>
    <row r="59">
      <c r="A59" t="inlineStr">
        <is>
          <t>Standalone Upside - Capex / revenue</t>
        </is>
      </c>
      <c r="B59" t="inlineStr">
        <is>
          <t>%</t>
        </is>
      </c>
      <c r="C59" s="225" t="n">
        <v>0.016</v>
      </c>
      <c r="D59" s="225" t="n">
        <v>0.016</v>
      </c>
      <c r="E59" s="225" t="n">
        <v>0.016</v>
      </c>
      <c r="F59" s="225" t="n">
        <v>0.016</v>
      </c>
      <c r="G59" s="225" t="n">
        <v>0.016</v>
      </c>
      <c r="H59" s="225" t="n">
        <v>0.016</v>
      </c>
    </row>
    <row r="60">
      <c r="A60" t="inlineStr">
        <is>
          <t>Standalone Upside - Exit multiple</t>
        </is>
      </c>
      <c r="B60" t="inlineStr">
        <is>
          <t>x</t>
        </is>
      </c>
      <c r="C60" s="228" t="n">
        <v>9.5</v>
      </c>
      <c r="D60" s="228" t="n">
        <v>9.5</v>
      </c>
      <c r="E60" s="228" t="n">
        <v>9.5</v>
      </c>
      <c r="F60" s="228" t="n">
        <v>9.5</v>
      </c>
      <c r="G60" s="228" t="n">
        <v>9.5</v>
      </c>
      <c r="H60" s="228" t="n">
        <v>9.5</v>
      </c>
    </row>
    <row r="61">
      <c r="A61" t="inlineStr">
        <is>
          <t>Acquisition Base - Platform growth</t>
        </is>
      </c>
      <c r="B61" t="inlineStr">
        <is>
          <t>%</t>
        </is>
      </c>
      <c r="C61" s="225" t="n">
        <v>0.07000000000000001</v>
      </c>
      <c r="D61" s="225" t="n">
        <v>0.07000000000000001</v>
      </c>
      <c r="E61" s="225" t="n">
        <v>0.07000000000000001</v>
      </c>
      <c r="F61" s="225" t="n">
        <v>0.07000000000000001</v>
      </c>
      <c r="G61" s="225" t="n">
        <v>0.07000000000000001</v>
      </c>
      <c r="H61" s="225" t="n">
        <v>0.07000000000000001</v>
      </c>
    </row>
    <row r="62">
      <c r="A62" t="inlineStr">
        <is>
          <t>Acquisition Base - Gross margin</t>
        </is>
      </c>
      <c r="B62" t="inlineStr">
        <is>
          <t>%</t>
        </is>
      </c>
      <c r="C62" s="225" t="n">
        <v>0.362</v>
      </c>
      <c r="D62" s="225" t="n">
        <v>0.365</v>
      </c>
      <c r="E62" s="225" t="n">
        <v>0.368</v>
      </c>
      <c r="F62" s="225" t="n">
        <v>0.371</v>
      </c>
      <c r="G62" s="225" t="n">
        <v>0.374</v>
      </c>
      <c r="H62" s="225" t="n">
        <v>0.377</v>
      </c>
    </row>
    <row r="63">
      <c r="A63" t="inlineStr">
        <is>
          <t>Acquisition Base - Firm EBITDA margin</t>
        </is>
      </c>
      <c r="B63" t="inlineStr">
        <is>
          <t>%</t>
        </is>
      </c>
      <c r="C63" s="225" t="n">
        <v>0.156</v>
      </c>
      <c r="D63" s="225" t="n">
        <v>0.161</v>
      </c>
      <c r="E63" s="225" t="n">
        <v>0.165</v>
      </c>
      <c r="F63" s="225" t="n">
        <v>0.169</v>
      </c>
      <c r="G63" s="225" t="n">
        <v>0.173</v>
      </c>
      <c r="H63" s="225" t="n">
        <v>0.177</v>
      </c>
    </row>
    <row r="64">
      <c r="A64" t="inlineStr">
        <is>
          <t>Acquisition Base - DSO</t>
        </is>
      </c>
      <c r="B64" t="inlineStr">
        <is>
          <t>days</t>
        </is>
      </c>
      <c r="C64" s="227" t="n">
        <v>64</v>
      </c>
      <c r="D64" s="227" t="n">
        <v>63</v>
      </c>
      <c r="E64" s="227" t="n">
        <v>62</v>
      </c>
      <c r="F64" s="227" t="n">
        <v>61</v>
      </c>
      <c r="G64" s="227" t="n">
        <v>60</v>
      </c>
      <c r="H64" s="227" t="n">
        <v>60</v>
      </c>
    </row>
    <row r="65">
      <c r="A65" t="inlineStr">
        <is>
          <t>Acquisition Base - WIP / revenue</t>
        </is>
      </c>
      <c r="B65" t="inlineStr">
        <is>
          <t>%</t>
        </is>
      </c>
      <c r="C65" s="225" t="n">
        <v>0.067</v>
      </c>
      <c r="D65" s="225" t="n">
        <v>0.065</v>
      </c>
      <c r="E65" s="225" t="n">
        <v>0.063</v>
      </c>
      <c r="F65" s="225" t="n">
        <v>0.061</v>
      </c>
      <c r="G65" s="225" t="n">
        <v>0.06</v>
      </c>
      <c r="H65" s="225" t="n">
        <v>0.06</v>
      </c>
    </row>
    <row r="66">
      <c r="A66" t="inlineStr">
        <is>
          <t>Acquisition Base - Capex / revenue</t>
        </is>
      </c>
      <c r="B66" t="inlineStr">
        <is>
          <t>%</t>
        </is>
      </c>
      <c r="C66" s="225" t="n">
        <v>0.016</v>
      </c>
      <c r="D66" s="225" t="n">
        <v>0.016</v>
      </c>
      <c r="E66" s="225" t="n">
        <v>0.016</v>
      </c>
      <c r="F66" s="225" t="n">
        <v>0.016</v>
      </c>
      <c r="G66" s="225" t="n">
        <v>0.016</v>
      </c>
      <c r="H66" s="225" t="n">
        <v>0.016</v>
      </c>
    </row>
    <row r="67">
      <c r="A67" t="inlineStr">
        <is>
          <t>Acquisition Base - Exit multiple</t>
        </is>
      </c>
      <c r="B67" t="inlineStr">
        <is>
          <t>x</t>
        </is>
      </c>
      <c r="C67" s="228" t="n">
        <v>9</v>
      </c>
      <c r="D67" s="228" t="n">
        <v>9</v>
      </c>
      <c r="E67" s="228" t="n">
        <v>9</v>
      </c>
      <c r="F67" s="228" t="n">
        <v>9</v>
      </c>
      <c r="G67" s="228" t="n">
        <v>9</v>
      </c>
      <c r="H67" s="228" t="n">
        <v>9</v>
      </c>
    </row>
    <row r="68">
      <c r="A68" t="inlineStr">
        <is>
          <t>Combined Risk - Platform growth</t>
        </is>
      </c>
      <c r="B68" t="inlineStr">
        <is>
          <t>%</t>
        </is>
      </c>
      <c r="C68" s="225" t="n">
        <v>0.07000000000000001</v>
      </c>
      <c r="D68" s="225" t="n">
        <v>-0.01</v>
      </c>
      <c r="E68" s="225" t="n">
        <v>0.095</v>
      </c>
      <c r="F68" s="225" t="n">
        <v>0.11</v>
      </c>
      <c r="G68" s="225" t="n">
        <v>0.11</v>
      </c>
      <c r="H68" s="225" t="n">
        <v>0.07000000000000001</v>
      </c>
    </row>
    <row r="69">
      <c r="A69" t="inlineStr">
        <is>
          <t>Combined Risk - Gross margin</t>
        </is>
      </c>
      <c r="B69" t="inlineStr">
        <is>
          <t>%</t>
        </is>
      </c>
      <c r="C69" s="225" t="n">
        <v>0.355</v>
      </c>
      <c r="D69" s="225" t="n">
        <v>0.32</v>
      </c>
      <c r="E69" s="225" t="n">
        <v>0.345</v>
      </c>
      <c r="F69" s="225" t="n">
        <v>0.355</v>
      </c>
      <c r="G69" s="225" t="n">
        <v>0.365</v>
      </c>
      <c r="H69" s="225" t="n">
        <v>0.37</v>
      </c>
    </row>
    <row r="70">
      <c r="A70" t="inlineStr">
        <is>
          <t>Combined Risk - Firm EBITDA margin</t>
        </is>
      </c>
      <c r="B70" t="inlineStr">
        <is>
          <t>%</t>
        </is>
      </c>
      <c r="C70" s="225" t="n">
        <v>0.145</v>
      </c>
      <c r="D70" s="225" t="n">
        <v>0.105</v>
      </c>
      <c r="E70" s="225" t="n">
        <v>0.135</v>
      </c>
      <c r="F70" s="225" t="n">
        <v>0.145</v>
      </c>
      <c r="G70" s="225" t="n">
        <v>0.155</v>
      </c>
      <c r="H70" s="225" t="n">
        <v>0.165</v>
      </c>
    </row>
    <row r="71">
      <c r="A71" t="inlineStr">
        <is>
          <t>Combined Risk - DSO</t>
        </is>
      </c>
      <c r="B71" t="inlineStr">
        <is>
          <t>days</t>
        </is>
      </c>
      <c r="C71" s="227" t="n">
        <v>68</v>
      </c>
      <c r="D71" s="227" t="n">
        <v>82</v>
      </c>
      <c r="E71" s="227" t="n">
        <v>74</v>
      </c>
      <c r="F71" s="227" t="n">
        <v>68</v>
      </c>
      <c r="G71" s="227" t="n">
        <v>64</v>
      </c>
      <c r="H71" s="227" t="n">
        <v>62</v>
      </c>
    </row>
    <row r="72">
      <c r="A72" t="inlineStr">
        <is>
          <t>Combined Risk - WIP / revenue</t>
        </is>
      </c>
      <c r="B72" t="inlineStr">
        <is>
          <t>%</t>
        </is>
      </c>
      <c r="C72" s="225" t="n">
        <v>0.078</v>
      </c>
      <c r="D72" s="225" t="n">
        <v>0.105</v>
      </c>
      <c r="E72" s="225" t="n">
        <v>0.08500000000000001</v>
      </c>
      <c r="F72" s="225" t="n">
        <v>0.07199999999999999</v>
      </c>
      <c r="G72" s="225" t="n">
        <v>0.065</v>
      </c>
      <c r="H72" s="225" t="n">
        <v>0.062</v>
      </c>
    </row>
    <row r="73">
      <c r="A73" t="inlineStr">
        <is>
          <t>Combined Risk - Capex / revenue</t>
        </is>
      </c>
      <c r="B73" t="inlineStr">
        <is>
          <t>%</t>
        </is>
      </c>
      <c r="C73" s="225" t="n">
        <v>0.016</v>
      </c>
      <c r="D73" s="225" t="n">
        <v>0.016</v>
      </c>
      <c r="E73" s="225" t="n">
        <v>0.016</v>
      </c>
      <c r="F73" s="225" t="n">
        <v>0.016</v>
      </c>
      <c r="G73" s="225" t="n">
        <v>0.016</v>
      </c>
      <c r="H73" s="225" t="n">
        <v>0.016</v>
      </c>
    </row>
    <row r="74">
      <c r="A74" t="inlineStr">
        <is>
          <t>Combined Risk - Exit multiple</t>
        </is>
      </c>
      <c r="B74" t="inlineStr">
        <is>
          <t>x</t>
        </is>
      </c>
      <c r="C74" s="228" t="n">
        <v>8.5</v>
      </c>
      <c r="D74" s="228" t="n">
        <v>8.5</v>
      </c>
      <c r="E74" s="228" t="n">
        <v>8.5</v>
      </c>
      <c r="F74" s="228" t="n">
        <v>8.5</v>
      </c>
      <c r="G74" s="228" t="n">
        <v>8.5</v>
      </c>
      <c r="H74" s="228" t="n">
        <v>8.5</v>
      </c>
    </row>
    <row r="75"/>
    <row r="76" ht="20" customHeight="1">
      <c r="A76" s="39" t="inlineStr">
        <is>
          <t>SOFR and Exit Assumptions</t>
        </is>
      </c>
      <c r="B76" s="1" t="n"/>
      <c r="C76" s="1" t="n"/>
      <c r="D76" s="1" t="n"/>
      <c r="E76" s="1" t="n"/>
      <c r="F76" s="1" t="n"/>
      <c r="G76" s="1" t="n"/>
      <c r="H76" s="1" t="n"/>
    </row>
    <row r="77">
      <c r="A77" s="15" t="inlineStr">
        <is>
          <t>Driver</t>
        </is>
      </c>
      <c r="B77" s="15" t="inlineStr">
        <is>
          <t>Unit</t>
        </is>
      </c>
      <c r="C77" s="15" t="n">
        <v>2026</v>
      </c>
      <c r="D77" s="15" t="n">
        <v>2027</v>
      </c>
      <c r="E77" s="15" t="n">
        <v>2028</v>
      </c>
      <c r="F77" s="15" t="n">
        <v>2029</v>
      </c>
      <c r="G77" s="15" t="n">
        <v>2030</v>
      </c>
      <c r="H77" s="15" t="n">
        <v>2031</v>
      </c>
    </row>
    <row r="78">
      <c r="A78" t="inlineStr">
        <is>
          <t>Adjusted Term SOFR</t>
        </is>
      </c>
      <c r="B78" t="inlineStr">
        <is>
          <t>%</t>
        </is>
      </c>
      <c r="C78" s="225" t="n">
        <v>0.0425</v>
      </c>
      <c r="D78" s="225" t="n">
        <v>0.0375</v>
      </c>
      <c r="E78" s="225" t="n">
        <v>0.035</v>
      </c>
      <c r="F78" s="225" t="n">
        <v>0.0325</v>
      </c>
      <c r="G78" s="225" t="n">
        <v>0.03</v>
      </c>
      <c r="H78" s="225" t="n">
        <v>0.03</v>
      </c>
    </row>
  </sheetData>
  <mergeCells count="3">
    <mergeCell ref="A76:H76"/>
    <mergeCell ref="A38:H38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4" customWidth="1" min="4" max="4"/>
    <col width="14" customWidth="1" min="5" max="5"/>
    <col width="28" customWidth="1" min="7" max="7"/>
    <col width="26" customWidth="1" min="8" max="8"/>
    <col width="26" customWidth="1" min="9" max="9"/>
    <col width="26" customWidth="1" min="10" max="10"/>
  </cols>
  <sheetData>
    <row r="1" ht="26" customHeight="1">
      <c r="A1" s="9" t="inlineStr">
        <is>
          <t>Historical Three-Statement Financials ($mm)</t>
        </is>
      </c>
      <c r="B1" s="1" t="n"/>
      <c r="C1" s="1" t="n"/>
      <c r="D1" s="1" t="n"/>
      <c r="E1" s="1" t="n"/>
    </row>
    <row r="2"/>
    <row r="3">
      <c r="A3" s="15" t="inlineStr">
        <is>
          <t>Income Statement</t>
        </is>
      </c>
      <c r="B3" s="15" t="inlineStr">
        <is>
          <t>Unit</t>
        </is>
      </c>
      <c r="C3" s="15" t="inlineStr">
        <is>
          <t>FY2023A</t>
        </is>
      </c>
      <c r="D3" s="15" t="inlineStr">
        <is>
          <t>FY2024A</t>
        </is>
      </c>
      <c r="E3" s="15" t="inlineStr">
        <is>
          <t>FY2025A</t>
        </is>
      </c>
      <c r="G3" s="33" t="inlineStr">
        <is>
          <t>Historical data source map</t>
        </is>
      </c>
      <c r="H3" s="33" t="str"/>
      <c r="I3" s="33" t="str"/>
      <c r="J3" s="33" t="str"/>
    </row>
    <row r="4">
      <c r="A4" t="inlineStr">
        <is>
          <t>Revenue</t>
        </is>
      </c>
      <c r="B4" t="inlineStr">
        <is>
          <t>$mm</t>
        </is>
      </c>
      <c r="C4" s="224" t="n">
        <v>56.8</v>
      </c>
      <c r="D4" s="224" t="n">
        <v>65.40000000000001</v>
      </c>
      <c r="E4" s="224" t="n">
        <v>74</v>
      </c>
      <c r="G4" t="inlineStr">
        <is>
          <t>Revenue / GP / EBITDA</t>
        </is>
      </c>
      <c r="H4" t="inlineStr">
        <is>
          <t>KS-DL-1.2</t>
        </is>
      </c>
    </row>
    <row r="5">
      <c r="A5" t="inlineStr">
        <is>
          <t>Growth</t>
        </is>
      </c>
      <c r="B5" t="inlineStr">
        <is>
          <t>%</t>
        </is>
      </c>
      <c r="C5" s="225" t="n"/>
      <c r="D5" s="225" t="n">
        <v>0.151</v>
      </c>
      <c r="E5" s="225" t="n">
        <v>0.131</v>
      </c>
      <c r="G5" t="inlineStr">
        <is>
          <t>D&amp;A / interest / tax</t>
        </is>
      </c>
      <c r="H5" t="inlineStr">
        <is>
          <t>KS-MA-HIST-001</t>
        </is>
      </c>
      <c r="I5" t="inlineStr">
        <is>
          <t>Synthetic statement completion assumptions</t>
        </is>
      </c>
    </row>
    <row r="6">
      <c r="A6" t="inlineStr">
        <is>
          <t>COGS</t>
        </is>
      </c>
      <c r="B6" t="inlineStr">
        <is>
          <t>$mm</t>
        </is>
      </c>
      <c r="C6" s="224" t="n">
        <v>-37.4</v>
      </c>
      <c r="D6" s="224" t="n">
        <v>-42.5</v>
      </c>
      <c r="E6" s="224" t="n">
        <v>-47.4</v>
      </c>
      <c r="G6" t="inlineStr">
        <is>
          <t>Balance-sheet detail</t>
        </is>
      </c>
      <c r="H6" t="inlineStr">
        <is>
          <t>KS-MA-HIST-002</t>
        </is>
      </c>
      <c r="I6" t="inlineStr">
        <is>
          <t>Constructed to tie to locked NWC, cash and debt</t>
        </is>
      </c>
    </row>
    <row r="7">
      <c r="A7" t="inlineStr">
        <is>
          <t>Gross profit</t>
        </is>
      </c>
      <c r="B7" t="inlineStr">
        <is>
          <t>$mm</t>
        </is>
      </c>
      <c r="C7" s="224" t="n">
        <v>19.4</v>
      </c>
      <c r="D7" s="224" t="n">
        <v>22.9</v>
      </c>
      <c r="E7" s="224" t="n">
        <v>26.6</v>
      </c>
      <c r="G7" t="inlineStr">
        <is>
          <t>Cash-flow financing</t>
        </is>
      </c>
      <c r="H7" t="inlineStr">
        <is>
          <t>KS-MA-HIST-003</t>
        </is>
      </c>
      <c r="I7" t="inlineStr">
        <is>
          <t>Owner activity reconciles equity and cash</t>
        </is>
      </c>
    </row>
    <row r="8">
      <c r="A8" t="inlineStr">
        <is>
          <t>Gross margin</t>
        </is>
      </c>
      <c r="B8" t="inlineStr">
        <is>
          <t>%</t>
        </is>
      </c>
      <c r="C8" s="225" t="n">
        <v>0.342</v>
      </c>
      <c r="D8" s="225" t="n">
        <v>0.35</v>
      </c>
      <c r="E8" s="225" t="n">
        <v>0.359</v>
      </c>
      <c r="G8" t="inlineStr">
        <is>
          <t>All figures fictional</t>
        </is>
      </c>
      <c r="H8" t="inlineStr">
        <is>
          <t>Yes</t>
        </is>
      </c>
    </row>
    <row r="9">
      <c r="A9" t="inlineStr">
        <is>
          <t>SG&amp;A</t>
        </is>
      </c>
      <c r="B9" t="inlineStr">
        <is>
          <t>$mm</t>
        </is>
      </c>
      <c r="C9" s="224" t="n">
        <v>-11.9</v>
      </c>
      <c r="D9" s="224" t="n">
        <v>-14.1</v>
      </c>
      <c r="E9" s="224" t="n">
        <v>-16.4</v>
      </c>
    </row>
    <row r="10">
      <c r="A10" t="inlineStr">
        <is>
          <t>Reported EBITDA</t>
        </is>
      </c>
      <c r="B10" t="inlineStr">
        <is>
          <t>$mm</t>
        </is>
      </c>
      <c r="C10" s="224" t="n">
        <v>7.5</v>
      </c>
      <c r="D10" s="224" t="n">
        <v>8.800000000000001</v>
      </c>
      <c r="E10" s="224" t="n">
        <v>10.2</v>
      </c>
    </row>
    <row r="11">
      <c r="A11" t="inlineStr">
        <is>
          <t>EBITDA margin</t>
        </is>
      </c>
      <c r="B11" t="inlineStr">
        <is>
          <t>%</t>
        </is>
      </c>
      <c r="C11" s="225" t="n">
        <v>0.132</v>
      </c>
      <c r="D11" s="225" t="n">
        <v>0.135</v>
      </c>
      <c r="E11" s="225" t="n">
        <v>0.138</v>
      </c>
    </row>
    <row r="12">
      <c r="A12" t="inlineStr">
        <is>
          <t>D&amp;A</t>
        </is>
      </c>
      <c r="B12" t="inlineStr">
        <is>
          <t>$mm</t>
        </is>
      </c>
      <c r="C12" s="224" t="n">
        <v>-1.1</v>
      </c>
      <c r="D12" s="224" t="n">
        <v>-1.3</v>
      </c>
      <c r="E12" s="224" t="n">
        <v>-1.5</v>
      </c>
    </row>
    <row r="13">
      <c r="A13" t="inlineStr">
        <is>
          <t>EBIT</t>
        </is>
      </c>
      <c r="B13" t="inlineStr">
        <is>
          <t>$mm</t>
        </is>
      </c>
      <c r="C13" s="224" t="n">
        <v>6.4</v>
      </c>
      <c r="D13" s="224" t="n">
        <v>7.5</v>
      </c>
      <c r="E13" s="224" t="n">
        <v>8.699999999999999</v>
      </c>
    </row>
    <row r="14">
      <c r="A14" t="inlineStr">
        <is>
          <t>Cash interest</t>
        </is>
      </c>
      <c r="B14" t="inlineStr">
        <is>
          <t>$mm</t>
        </is>
      </c>
      <c r="C14" s="224" t="n">
        <v>-0.75</v>
      </c>
      <c r="D14" s="224" t="n">
        <v>-0.85</v>
      </c>
      <c r="E14" s="224" t="n">
        <v>-0.95</v>
      </c>
    </row>
    <row r="15">
      <c r="A15" t="inlineStr">
        <is>
          <t>Pre-tax income</t>
        </is>
      </c>
      <c r="B15" t="inlineStr">
        <is>
          <t>$mm</t>
        </is>
      </c>
      <c r="C15" s="224" t="n">
        <v>5.65</v>
      </c>
      <c r="D15" s="224" t="n">
        <v>6.65</v>
      </c>
      <c r="E15" s="224" t="n">
        <v>7.75</v>
      </c>
    </row>
    <row r="16">
      <c r="A16" t="inlineStr">
        <is>
          <t>Book tax expense</t>
        </is>
      </c>
      <c r="B16" t="inlineStr">
        <is>
          <t>$mm</t>
        </is>
      </c>
      <c r="C16" s="224" t="n">
        <v>-1.47</v>
      </c>
      <c r="D16" s="224" t="n">
        <v>-1.73</v>
      </c>
      <c r="E16" s="224" t="n">
        <v>-2.02</v>
      </c>
    </row>
    <row r="17">
      <c r="A17" t="inlineStr">
        <is>
          <t>Net income</t>
        </is>
      </c>
      <c r="B17" t="inlineStr">
        <is>
          <t>$mm</t>
        </is>
      </c>
      <c r="C17" s="224" t="n">
        <v>4.18</v>
      </c>
      <c r="D17" s="224" t="n">
        <v>4.92</v>
      </c>
      <c r="E17" s="224" t="n">
        <v>5.73</v>
      </c>
    </row>
    <row r="18"/>
    <row r="19"/>
    <row r="20" ht="20" customHeight="1">
      <c r="A20" s="39" t="inlineStr">
        <is>
          <t>Balance Sheet</t>
        </is>
      </c>
      <c r="B20" s="1" t="n"/>
      <c r="C20" s="1" t="n"/>
      <c r="D20" s="1" t="n"/>
      <c r="E20" s="1" t="n"/>
    </row>
    <row r="21">
      <c r="A21" s="15" t="inlineStr">
        <is>
          <t>Balance Sheet</t>
        </is>
      </c>
      <c r="B21" s="15" t="inlineStr">
        <is>
          <t>Unit</t>
        </is>
      </c>
      <c r="C21" s="15" t="inlineStr">
        <is>
          <t>FY2023A</t>
        </is>
      </c>
      <c r="D21" s="15" t="inlineStr">
        <is>
          <t>FY2024A</t>
        </is>
      </c>
      <c r="E21" s="15" t="inlineStr">
        <is>
          <t>FY2025A</t>
        </is>
      </c>
    </row>
    <row r="22">
      <c r="A22" t="inlineStr">
        <is>
          <t>Cash</t>
        </is>
      </c>
      <c r="B22" t="inlineStr">
        <is>
          <t>$mm</t>
        </is>
      </c>
      <c r="C22" s="224" t="n">
        <v>2.5</v>
      </c>
      <c r="D22" s="224" t="n">
        <v>3.2</v>
      </c>
      <c r="E22" s="224" t="n">
        <v>4.2</v>
      </c>
    </row>
    <row r="23">
      <c r="A23" t="inlineStr">
        <is>
          <t>Accounts receivable</t>
        </is>
      </c>
      <c r="B23" t="inlineStr">
        <is>
          <t>$mm</t>
        </is>
      </c>
      <c r="C23" s="224" t="n">
        <v>9.800000000000001</v>
      </c>
      <c r="D23" s="224" t="n">
        <v>11.3</v>
      </c>
      <c r="E23" s="224" t="n">
        <v>13.2</v>
      </c>
    </row>
    <row r="24">
      <c r="A24" t="inlineStr">
        <is>
          <t>Unbilled WIP</t>
        </is>
      </c>
      <c r="B24" t="inlineStr">
        <is>
          <t>$mm</t>
        </is>
      </c>
      <c r="C24" s="224" t="n">
        <v>3.4</v>
      </c>
      <c r="D24" s="224" t="n">
        <v>4.2</v>
      </c>
      <c r="E24" s="224" t="n">
        <v>5.1</v>
      </c>
    </row>
    <row r="25">
      <c r="A25" t="inlineStr">
        <is>
          <t>Prepaids</t>
        </is>
      </c>
      <c r="B25" t="inlineStr">
        <is>
          <t>$mm</t>
        </is>
      </c>
      <c r="C25" s="224" t="n">
        <v>0.7</v>
      </c>
      <c r="D25" s="224" t="n">
        <v>0.8</v>
      </c>
      <c r="E25" s="224" t="n">
        <v>0.9</v>
      </c>
    </row>
    <row r="26">
      <c r="A26" t="inlineStr">
        <is>
          <t>PP&amp;E, net</t>
        </is>
      </c>
      <c r="B26" t="inlineStr">
        <is>
          <t>$mm</t>
        </is>
      </c>
      <c r="C26" s="224" t="n">
        <v>4</v>
      </c>
      <c r="D26" s="224" t="n">
        <v>3.7</v>
      </c>
      <c r="E26" s="224" t="n">
        <v>3.4</v>
      </c>
    </row>
    <row r="27">
      <c r="A27" t="inlineStr">
        <is>
          <t>Goodwill</t>
        </is>
      </c>
      <c r="B27" t="inlineStr">
        <is>
          <t>$mm</t>
        </is>
      </c>
      <c r="C27" s="224" t="n">
        <v>18</v>
      </c>
      <c r="D27" s="224" t="n">
        <v>23</v>
      </c>
      <c r="E27" s="224" t="n">
        <v>28</v>
      </c>
    </row>
    <row r="28">
      <c r="A28" t="inlineStr">
        <is>
          <t>Other intangibles</t>
        </is>
      </c>
      <c r="B28" t="inlineStr">
        <is>
          <t>$mm</t>
        </is>
      </c>
      <c r="C28" s="224" t="n">
        <v>6</v>
      </c>
      <c r="D28" s="224" t="n">
        <v>8.5</v>
      </c>
      <c r="E28" s="224" t="n">
        <v>10</v>
      </c>
    </row>
    <row r="29">
      <c r="A29" t="inlineStr">
        <is>
          <t>Other assets</t>
        </is>
      </c>
      <c r="B29" t="inlineStr">
        <is>
          <t>$mm</t>
        </is>
      </c>
      <c r="C29" s="224" t="n">
        <v>1</v>
      </c>
      <c r="D29" s="224" t="n">
        <v>1.2</v>
      </c>
      <c r="E29" s="224" t="n">
        <v>1.3</v>
      </c>
    </row>
    <row r="30">
      <c r="A30" s="48" t="inlineStr">
        <is>
          <t>Total assets</t>
        </is>
      </c>
      <c r="B30" s="48" t="inlineStr">
        <is>
          <t>$mm</t>
        </is>
      </c>
      <c r="C30" s="229" t="n">
        <v>45.4</v>
      </c>
      <c r="D30" s="229" t="n">
        <v>55.9</v>
      </c>
      <c r="E30" s="229" t="n">
        <v>66.09999999999999</v>
      </c>
    </row>
    <row r="31">
      <c r="A31" t="inlineStr">
        <is>
          <t>Accounts payable</t>
        </is>
      </c>
      <c r="B31" t="inlineStr">
        <is>
          <t>$mm</t>
        </is>
      </c>
      <c r="C31" s="224" t="n">
        <v>2.9</v>
      </c>
      <c r="D31" s="224" t="n">
        <v>3.5</v>
      </c>
      <c r="E31" s="224" t="n">
        <v>4.1</v>
      </c>
    </row>
    <row r="32">
      <c r="A32" t="inlineStr">
        <is>
          <t>Accrued liabilities</t>
        </is>
      </c>
      <c r="B32" t="inlineStr">
        <is>
          <t>$mm</t>
        </is>
      </c>
      <c r="C32" s="224" t="n">
        <v>4.1</v>
      </c>
      <c r="D32" s="224" t="n">
        <v>4.8</v>
      </c>
      <c r="E32" s="224" t="n">
        <v>5.6</v>
      </c>
    </row>
    <row r="33">
      <c r="A33" t="inlineStr">
        <is>
          <t>Deferred revenue</t>
        </is>
      </c>
      <c r="B33" t="inlineStr">
        <is>
          <t>$mm</t>
        </is>
      </c>
      <c r="C33" s="224" t="n">
        <v>0.6</v>
      </c>
      <c r="D33" s="224" t="n">
        <v>0.8</v>
      </c>
      <c r="E33" s="224" t="n">
        <v>0.9</v>
      </c>
    </row>
    <row r="34">
      <c r="A34" t="inlineStr">
        <is>
          <t>Bank debt</t>
        </is>
      </c>
      <c r="B34" t="inlineStr">
        <is>
          <t>$mm</t>
        </is>
      </c>
      <c r="C34" s="224" t="n">
        <v>9</v>
      </c>
      <c r="D34" s="224" t="n">
        <v>9.5</v>
      </c>
      <c r="E34" s="224" t="n">
        <v>10.1</v>
      </c>
    </row>
    <row r="35">
      <c r="A35" t="inlineStr">
        <is>
          <t>Finance leases</t>
        </is>
      </c>
      <c r="B35" t="inlineStr">
        <is>
          <t>$mm</t>
        </is>
      </c>
      <c r="C35" s="224" t="n">
        <v>0.4</v>
      </c>
      <c r="D35" s="224" t="n">
        <v>0.5</v>
      </c>
      <c r="E35" s="224" t="n">
        <v>0.55</v>
      </c>
    </row>
    <row r="36">
      <c r="A36" t="inlineStr">
        <is>
          <t>Deferred taxes</t>
        </is>
      </c>
      <c r="B36" t="inlineStr">
        <is>
          <t>$mm</t>
        </is>
      </c>
      <c r="C36" s="224" t="n">
        <v>0.5</v>
      </c>
      <c r="D36" s="224" t="n">
        <v>0.7</v>
      </c>
      <c r="E36" s="224" t="n">
        <v>0.9</v>
      </c>
    </row>
    <row r="37">
      <c r="A37" t="inlineStr">
        <is>
          <t>Other liabilities</t>
        </is>
      </c>
      <c r="B37" t="inlineStr">
        <is>
          <t>$mm</t>
        </is>
      </c>
      <c r="C37" s="224" t="n">
        <v>1.2</v>
      </c>
      <c r="D37" s="224" t="n">
        <v>1.4</v>
      </c>
      <c r="E37" s="224" t="n">
        <v>1.6</v>
      </c>
    </row>
    <row r="38">
      <c r="A38" s="48" t="inlineStr">
        <is>
          <t>Total liabilities</t>
        </is>
      </c>
      <c r="B38" s="48" t="inlineStr">
        <is>
          <t>$mm</t>
        </is>
      </c>
      <c r="C38" s="229" t="n">
        <v>18.7</v>
      </c>
      <c r="D38" s="229" t="n">
        <v>21.2</v>
      </c>
      <c r="E38" s="229" t="n">
        <v>23.75</v>
      </c>
    </row>
    <row r="39">
      <c r="A39" t="inlineStr">
        <is>
          <t>Equity</t>
        </is>
      </c>
      <c r="B39" t="inlineStr">
        <is>
          <t>$mm</t>
        </is>
      </c>
      <c r="C39" s="224" t="n">
        <v>26.7</v>
      </c>
      <c r="D39" s="224" t="n">
        <v>34.7</v>
      </c>
      <c r="E39" s="224" t="n">
        <v>42.35</v>
      </c>
    </row>
    <row r="40">
      <c r="A40" s="48" t="inlineStr">
        <is>
          <t>Total liabilities &amp; equity</t>
        </is>
      </c>
      <c r="B40" s="48" t="inlineStr">
        <is>
          <t>$mm</t>
        </is>
      </c>
      <c r="C40" s="229" t="n">
        <v>45.4</v>
      </c>
      <c r="D40" s="229" t="n">
        <v>55.9</v>
      </c>
      <c r="E40" s="229" t="n">
        <v>66.09999999999999</v>
      </c>
    </row>
    <row r="41">
      <c r="A41" s="48" t="inlineStr">
        <is>
          <t>Balance check</t>
        </is>
      </c>
      <c r="B41" s="48" t="inlineStr">
        <is>
          <t>$mm</t>
        </is>
      </c>
      <c r="C41" s="230" t="n">
        <v>0</v>
      </c>
      <c r="D41" s="230" t="n">
        <v>0</v>
      </c>
      <c r="E41" s="230" t="n">
        <v>0</v>
      </c>
    </row>
    <row r="42"/>
    <row r="43"/>
    <row r="44" ht="20" customHeight="1">
      <c r="A44" s="39" t="inlineStr">
        <is>
          <t>Cash Flow Statement</t>
        </is>
      </c>
      <c r="B44" s="1" t="n"/>
      <c r="C44" s="1" t="n"/>
      <c r="D44" s="1" t="n"/>
      <c r="E44" s="1" t="n"/>
    </row>
    <row r="45">
      <c r="A45" s="15" t="inlineStr">
        <is>
          <t>Cash Flow Statement</t>
        </is>
      </c>
      <c r="B45" s="15" t="inlineStr">
        <is>
          <t>Unit</t>
        </is>
      </c>
      <c r="C45" s="15" t="inlineStr">
        <is>
          <t>FY2023A</t>
        </is>
      </c>
      <c r="D45" s="15" t="inlineStr">
        <is>
          <t>FY2024A</t>
        </is>
      </c>
      <c r="E45" s="15" t="inlineStr">
        <is>
          <t>FY2025A</t>
        </is>
      </c>
    </row>
    <row r="46">
      <c r="A46" t="inlineStr">
        <is>
          <t>Net income</t>
        </is>
      </c>
      <c r="B46" t="inlineStr">
        <is>
          <t>$mm</t>
        </is>
      </c>
      <c r="C46" s="224" t="n">
        <v>4.18</v>
      </c>
      <c r="D46" s="224" t="n">
        <v>4.92</v>
      </c>
      <c r="E46" s="224" t="n">
        <v>5.73</v>
      </c>
    </row>
    <row r="47">
      <c r="A47" t="inlineStr">
        <is>
          <t>D&amp;A</t>
        </is>
      </c>
      <c r="B47" t="inlineStr">
        <is>
          <t>$mm</t>
        </is>
      </c>
      <c r="C47" s="224" t="n">
        <v>1.1</v>
      </c>
      <c r="D47" s="224" t="n">
        <v>1.3</v>
      </c>
      <c r="E47" s="224" t="n">
        <v>1.5</v>
      </c>
    </row>
    <row r="48">
      <c r="A48" t="inlineStr">
        <is>
          <t>Change in operating NWC</t>
        </is>
      </c>
      <c r="B48" t="inlineStr">
        <is>
          <t>$mm</t>
        </is>
      </c>
      <c r="C48" s="224" t="n">
        <v>-0.5</v>
      </c>
      <c r="D48" s="224" t="n">
        <v>-0.9</v>
      </c>
      <c r="E48" s="224" t="n">
        <v>-1.4</v>
      </c>
    </row>
    <row r="49">
      <c r="A49" s="48" t="inlineStr">
        <is>
          <t>Cash from operations</t>
        </is>
      </c>
      <c r="B49" s="48" t="inlineStr">
        <is>
          <t>$mm</t>
        </is>
      </c>
      <c r="C49" s="229" t="n">
        <v>4.78</v>
      </c>
      <c r="D49" s="229" t="n">
        <v>5.32</v>
      </c>
      <c r="E49" s="229" t="n">
        <v>5.83</v>
      </c>
    </row>
    <row r="50">
      <c r="A50" t="inlineStr">
        <is>
          <t>Capital expenditure</t>
        </is>
      </c>
      <c r="B50" t="inlineStr">
        <is>
          <t>$mm</t>
        </is>
      </c>
      <c r="C50" s="224" t="n">
        <v>-0.8</v>
      </c>
      <c r="D50" s="224" t="n">
        <v>-1</v>
      </c>
      <c r="E50" s="224" t="n">
        <v>-1.2</v>
      </c>
    </row>
    <row r="51">
      <c r="A51" t="inlineStr">
        <is>
          <t>Acquisitions, net</t>
        </is>
      </c>
      <c r="B51" t="inlineStr">
        <is>
          <t>$mm</t>
        </is>
      </c>
      <c r="C51" s="224" t="n">
        <v>-5</v>
      </c>
      <c r="D51" s="224" t="n">
        <v>-7</v>
      </c>
      <c r="E51" s="224" t="n">
        <v>0</v>
      </c>
    </row>
    <row r="52">
      <c r="A52" s="48" t="inlineStr">
        <is>
          <t>Cash from investing</t>
        </is>
      </c>
      <c r="B52" s="48" t="inlineStr">
        <is>
          <t>$mm</t>
        </is>
      </c>
      <c r="C52" s="229" t="n">
        <v>-5.8</v>
      </c>
      <c r="D52" s="229" t="n">
        <v>-8</v>
      </c>
      <c r="E52" s="229" t="n">
        <v>-1.2</v>
      </c>
    </row>
    <row r="53">
      <c r="A53" t="inlineStr">
        <is>
          <t>Debt issuance / (repayment)</t>
        </is>
      </c>
      <c r="B53" t="inlineStr">
        <is>
          <t>$mm</t>
        </is>
      </c>
      <c r="C53" s="224" t="n">
        <v>1</v>
      </c>
      <c r="D53" s="224" t="n">
        <v>0.5</v>
      </c>
      <c r="E53" s="224" t="n">
        <v>0.6</v>
      </c>
    </row>
    <row r="54">
      <c r="A54" t="inlineStr">
        <is>
          <t>Owner equity activity</t>
        </is>
      </c>
      <c r="B54" t="inlineStr">
        <is>
          <t>$mm</t>
        </is>
      </c>
      <c r="C54" s="224" t="n">
        <v>0.52</v>
      </c>
      <c r="D54" s="224" t="n">
        <v>3.88</v>
      </c>
      <c r="E54" s="224" t="n">
        <v>-4.23</v>
      </c>
    </row>
    <row r="55">
      <c r="A55" s="48" t="inlineStr">
        <is>
          <t>Cash from financing</t>
        </is>
      </c>
      <c r="B55" s="48" t="inlineStr">
        <is>
          <t>$mm</t>
        </is>
      </c>
      <c r="C55" s="229" t="n">
        <v>1.52</v>
      </c>
      <c r="D55" s="229" t="n">
        <v>4.38</v>
      </c>
      <c r="E55" s="229" t="n">
        <v>-3.63</v>
      </c>
    </row>
    <row r="56">
      <c r="A56" s="48" t="inlineStr">
        <is>
          <t>Net change in cash</t>
        </is>
      </c>
      <c r="B56" s="48" t="inlineStr">
        <is>
          <t>$mm</t>
        </is>
      </c>
      <c r="C56" s="229" t="n">
        <v>0.5</v>
      </c>
      <c r="D56" s="229" t="n">
        <v>0.7</v>
      </c>
      <c r="E56" s="229" t="n">
        <v>1</v>
      </c>
    </row>
    <row r="57">
      <c r="A57" t="inlineStr">
        <is>
          <t>Beginning cash</t>
        </is>
      </c>
      <c r="B57" t="inlineStr">
        <is>
          <t>$mm</t>
        </is>
      </c>
      <c r="C57" s="224" t="n">
        <v>2</v>
      </c>
      <c r="D57" s="224" t="n">
        <v>2.5</v>
      </c>
      <c r="E57" s="224" t="n">
        <v>3.2</v>
      </c>
    </row>
    <row r="58">
      <c r="A58" s="48" t="inlineStr">
        <is>
          <t>Ending cash</t>
        </is>
      </c>
      <c r="B58" s="48" t="inlineStr">
        <is>
          <t>$mm</t>
        </is>
      </c>
      <c r="C58" s="229" t="n">
        <v>2.5</v>
      </c>
      <c r="D58" s="229" t="n">
        <v>3.2</v>
      </c>
      <c r="E58" s="229" t="n">
        <v>4.2</v>
      </c>
    </row>
    <row r="59">
      <c r="A59" s="48" t="inlineStr">
        <is>
          <t>Cash flow check</t>
        </is>
      </c>
      <c r="B59" s="48" t="inlineStr">
        <is>
          <t>$mm</t>
        </is>
      </c>
      <c r="C59" s="230" t="n">
        <v>0</v>
      </c>
      <c r="D59" s="230" t="n">
        <v>0</v>
      </c>
      <c r="E59" s="230" t="n">
        <v>0</v>
      </c>
    </row>
  </sheetData>
  <mergeCells count="3">
    <mergeCell ref="A44:E44"/>
    <mergeCell ref="A1:E1"/>
    <mergeCell ref="A20:E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 ht="26" customHeight="1">
      <c r="A1" s="9" t="inlineStr">
        <is>
          <t>Monthly Management Accounts - FY2023A to FY2025A ($mm)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</row>
    <row r="2"/>
    <row r="3">
      <c r="A3" s="15" t="inlineStr">
        <is>
          <t>Line Item</t>
        </is>
      </c>
      <c r="B3" s="15" t="inlineStr">
        <is>
          <t>Unit</t>
        </is>
      </c>
      <c r="C3" s="231" t="n">
        <v>44927</v>
      </c>
      <c r="D3" s="231" t="n">
        <v>44958</v>
      </c>
      <c r="E3" s="231" t="n">
        <v>44986</v>
      </c>
      <c r="F3" s="231" t="n">
        <v>45017</v>
      </c>
      <c r="G3" s="231" t="n">
        <v>45047</v>
      </c>
      <c r="H3" s="231" t="n">
        <v>45078</v>
      </c>
      <c r="I3" s="231" t="n">
        <v>45108</v>
      </c>
      <c r="J3" s="231" t="n">
        <v>45139</v>
      </c>
      <c r="K3" s="231" t="n">
        <v>45170</v>
      </c>
      <c r="L3" s="231" t="n">
        <v>45200</v>
      </c>
      <c r="M3" s="231" t="n">
        <v>45231</v>
      </c>
      <c r="N3" s="231" t="n">
        <v>45261</v>
      </c>
      <c r="O3" s="231" t="n">
        <v>45292</v>
      </c>
      <c r="P3" s="231" t="n">
        <v>45323</v>
      </c>
      <c r="Q3" s="231" t="n">
        <v>45352</v>
      </c>
      <c r="R3" s="231" t="n">
        <v>45383</v>
      </c>
      <c r="S3" s="231" t="n">
        <v>45413</v>
      </c>
      <c r="T3" s="231" t="n">
        <v>45444</v>
      </c>
      <c r="U3" s="231" t="n">
        <v>45474</v>
      </c>
      <c r="V3" s="231" t="n">
        <v>45505</v>
      </c>
      <c r="W3" s="231" t="n">
        <v>45536</v>
      </c>
      <c r="X3" s="231" t="n">
        <v>45566</v>
      </c>
      <c r="Y3" s="231" t="n">
        <v>45597</v>
      </c>
      <c r="Z3" s="231" t="n">
        <v>45627</v>
      </c>
      <c r="AA3" s="231" t="n">
        <v>45658</v>
      </c>
      <c r="AB3" s="231" t="n">
        <v>45689</v>
      </c>
      <c r="AC3" s="231" t="n">
        <v>45717</v>
      </c>
      <c r="AD3" s="231" t="n">
        <v>45748</v>
      </c>
      <c r="AE3" s="231" t="n">
        <v>45778</v>
      </c>
      <c r="AF3" s="231" t="n">
        <v>45809</v>
      </c>
      <c r="AG3" s="231" t="n">
        <v>45839</v>
      </c>
      <c r="AH3" s="231" t="n">
        <v>45870</v>
      </c>
      <c r="AI3" s="231" t="n">
        <v>45901</v>
      </c>
      <c r="AJ3" s="231" t="n">
        <v>45931</v>
      </c>
      <c r="AK3" s="231" t="n">
        <v>45962</v>
      </c>
      <c r="AL3" s="231" t="n">
        <v>45992</v>
      </c>
    </row>
    <row r="4">
      <c r="A4" t="inlineStr">
        <is>
          <t>Revenue</t>
        </is>
      </c>
      <c r="B4" t="inlineStr">
        <is>
          <t>$mm</t>
        </is>
      </c>
      <c r="C4" s="224" t="n">
        <v>4.26</v>
      </c>
      <c r="D4" s="224" t="n">
        <v>4.3736</v>
      </c>
      <c r="E4" s="224" t="n">
        <v>4.4304</v>
      </c>
      <c r="F4" s="224" t="n">
        <v>4.544</v>
      </c>
      <c r="G4" s="224" t="n">
        <v>4.6576</v>
      </c>
      <c r="H4" s="224" t="n">
        <v>4.7144</v>
      </c>
      <c r="I4" s="224" t="n">
        <v>4.7712</v>
      </c>
      <c r="J4" s="224" t="n">
        <v>4.828</v>
      </c>
      <c r="K4" s="224" t="n">
        <v>4.828</v>
      </c>
      <c r="L4" s="224" t="n">
        <v>4.941599999999999</v>
      </c>
      <c r="M4" s="224" t="n">
        <v>5.168799999999999</v>
      </c>
      <c r="N4" s="224" t="n">
        <v>5.2824</v>
      </c>
      <c r="O4" s="224" t="n">
        <v>4.905</v>
      </c>
      <c r="P4" s="224" t="n">
        <v>5.0358</v>
      </c>
      <c r="Q4" s="224" t="n">
        <v>5.1012</v>
      </c>
      <c r="R4" s="224" t="n">
        <v>5.232</v>
      </c>
      <c r="S4" s="224" t="n">
        <v>5.362800000000001</v>
      </c>
      <c r="T4" s="224" t="n">
        <v>5.4282</v>
      </c>
      <c r="U4" s="224" t="n">
        <v>5.493600000000001</v>
      </c>
      <c r="V4" s="224" t="n">
        <v>5.559000000000001</v>
      </c>
      <c r="W4" s="224" t="n">
        <v>5.559000000000001</v>
      </c>
      <c r="X4" s="224" t="n">
        <v>5.6898</v>
      </c>
      <c r="Y4" s="224" t="n">
        <v>5.9514</v>
      </c>
      <c r="Z4" s="224" t="n">
        <v>6.0822</v>
      </c>
      <c r="AA4" s="224" t="n">
        <v>5.55</v>
      </c>
      <c r="AB4" s="224" t="n">
        <v>5.698</v>
      </c>
      <c r="AC4" s="224" t="n">
        <v>5.772</v>
      </c>
      <c r="AD4" s="224" t="n">
        <v>5.92</v>
      </c>
      <c r="AE4" s="224" t="n">
        <v>6.068000000000001</v>
      </c>
      <c r="AF4" s="224" t="n">
        <v>6.142</v>
      </c>
      <c r="AG4" s="224" t="n">
        <v>6.216</v>
      </c>
      <c r="AH4" s="224" t="n">
        <v>6.29</v>
      </c>
      <c r="AI4" s="224" t="n">
        <v>6.29</v>
      </c>
      <c r="AJ4" s="224" t="n">
        <v>6.438</v>
      </c>
      <c r="AK4" s="224" t="n">
        <v>6.734</v>
      </c>
      <c r="AL4" s="224" t="n">
        <v>6.882</v>
      </c>
      <c r="AM4" s="224" t="n"/>
    </row>
    <row r="5">
      <c r="A5" t="inlineStr">
        <is>
          <t>Gross profit</t>
        </is>
      </c>
      <c r="B5" t="inlineStr">
        <is>
          <t>$mm</t>
        </is>
      </c>
      <c r="C5" s="224" t="n">
        <v>1.455</v>
      </c>
      <c r="D5" s="224" t="n">
        <v>1.4938</v>
      </c>
      <c r="E5" s="224" t="n">
        <v>1.5132</v>
      </c>
      <c r="F5" s="224" t="n">
        <v>1.552</v>
      </c>
      <c r="G5" s="224" t="n">
        <v>1.5908</v>
      </c>
      <c r="H5" s="224" t="n">
        <v>1.6102</v>
      </c>
      <c r="I5" s="224" t="n">
        <v>1.6296</v>
      </c>
      <c r="J5" s="224" t="n">
        <v>1.649</v>
      </c>
      <c r="K5" s="224" t="n">
        <v>1.649</v>
      </c>
      <c r="L5" s="224" t="n">
        <v>1.6878</v>
      </c>
      <c r="M5" s="224" t="n">
        <v>1.7654</v>
      </c>
      <c r="N5" s="224" t="n">
        <v>1.8042</v>
      </c>
      <c r="O5" s="224" t="n">
        <v>1.7175</v>
      </c>
      <c r="P5" s="224" t="n">
        <v>1.7633</v>
      </c>
      <c r="Q5" s="224" t="n">
        <v>1.7862</v>
      </c>
      <c r="R5" s="224" t="n">
        <v>1.832</v>
      </c>
      <c r="S5" s="224" t="n">
        <v>1.8778</v>
      </c>
      <c r="T5" s="224" t="n">
        <v>1.9007</v>
      </c>
      <c r="U5" s="224" t="n">
        <v>1.9236</v>
      </c>
      <c r="V5" s="224" t="n">
        <v>1.9465</v>
      </c>
      <c r="W5" s="224" t="n">
        <v>1.9465</v>
      </c>
      <c r="X5" s="224" t="n">
        <v>1.9923</v>
      </c>
      <c r="Y5" s="224" t="n">
        <v>2.0839</v>
      </c>
      <c r="Z5" s="224" t="n">
        <v>2.1297</v>
      </c>
      <c r="AA5" s="224" t="n">
        <v>1.995</v>
      </c>
      <c r="AB5" s="224" t="n">
        <v>2.0482</v>
      </c>
      <c r="AC5" s="224" t="n">
        <v>2.0748</v>
      </c>
      <c r="AD5" s="224" t="n">
        <v>2.128</v>
      </c>
      <c r="AE5" s="224" t="n">
        <v>2.1812</v>
      </c>
      <c r="AF5" s="224" t="n">
        <v>2.2078</v>
      </c>
      <c r="AG5" s="224" t="n">
        <v>2.2344</v>
      </c>
      <c r="AH5" s="224" t="n">
        <v>2.261</v>
      </c>
      <c r="AI5" s="224" t="n">
        <v>2.261</v>
      </c>
      <c r="AJ5" s="224" t="n">
        <v>2.3142</v>
      </c>
      <c r="AK5" s="224" t="n">
        <v>2.4206</v>
      </c>
      <c r="AL5" s="224" t="n">
        <v>2.4738</v>
      </c>
      <c r="AM5" s="224" t="n"/>
    </row>
    <row r="6">
      <c r="A6" t="inlineStr">
        <is>
          <t>Gross margin</t>
        </is>
      </c>
      <c r="B6" t="inlineStr">
        <is>
          <t>%</t>
        </is>
      </c>
      <c r="C6" s="225" t="n">
        <v>0.3415492957746479</v>
      </c>
      <c r="D6" s="225" t="n">
        <v>0.3415492957746479</v>
      </c>
      <c r="E6" s="225" t="n">
        <v>0.3415492957746479</v>
      </c>
      <c r="F6" s="225" t="n">
        <v>0.3415492957746479</v>
      </c>
      <c r="G6" s="225" t="n">
        <v>0.3415492957746479</v>
      </c>
      <c r="H6" s="225" t="n">
        <v>0.3415492957746479</v>
      </c>
      <c r="I6" s="225" t="n">
        <v>0.3415492957746479</v>
      </c>
      <c r="J6" s="225" t="n">
        <v>0.3415492957746479</v>
      </c>
      <c r="K6" s="225" t="n">
        <v>0.3415492957746479</v>
      </c>
      <c r="L6" s="225" t="n">
        <v>0.3415492957746479</v>
      </c>
      <c r="M6" s="225" t="n">
        <v>0.3415492957746479</v>
      </c>
      <c r="N6" s="225" t="n">
        <v>0.3415492957746479</v>
      </c>
      <c r="O6" s="225" t="n">
        <v>0.3501529051987767</v>
      </c>
      <c r="P6" s="225" t="n">
        <v>0.3501529051987767</v>
      </c>
      <c r="Q6" s="225" t="n">
        <v>0.3501529051987767</v>
      </c>
      <c r="R6" s="225" t="n">
        <v>0.3501529051987767</v>
      </c>
      <c r="S6" s="225" t="n">
        <v>0.3501529051987767</v>
      </c>
      <c r="T6" s="225" t="n">
        <v>0.3501529051987767</v>
      </c>
      <c r="U6" s="225" t="n">
        <v>0.3501529051987767</v>
      </c>
      <c r="V6" s="225" t="n">
        <v>0.3501529051987767</v>
      </c>
      <c r="W6" s="225" t="n">
        <v>0.3501529051987767</v>
      </c>
      <c r="X6" s="225" t="n">
        <v>0.3501529051987767</v>
      </c>
      <c r="Y6" s="225" t="n">
        <v>0.3501529051987767</v>
      </c>
      <c r="Z6" s="225" t="n">
        <v>0.3501529051987767</v>
      </c>
      <c r="AA6" s="225" t="n">
        <v>0.3594594594594595</v>
      </c>
      <c r="AB6" s="225" t="n">
        <v>0.3594594594594595</v>
      </c>
      <c r="AC6" s="225" t="n">
        <v>0.3594594594594595</v>
      </c>
      <c r="AD6" s="225" t="n">
        <v>0.3594594594594595</v>
      </c>
      <c r="AE6" s="225" t="n">
        <v>0.3594594594594595</v>
      </c>
      <c r="AF6" s="225" t="n">
        <v>0.3594594594594595</v>
      </c>
      <c r="AG6" s="225" t="n">
        <v>0.3594594594594595</v>
      </c>
      <c r="AH6" s="225" t="n">
        <v>0.3594594594594595</v>
      </c>
      <c r="AI6" s="225" t="n">
        <v>0.3594594594594595</v>
      </c>
      <c r="AJ6" s="225" t="n">
        <v>0.3594594594594595</v>
      </c>
      <c r="AK6" s="225" t="n">
        <v>0.3594594594594595</v>
      </c>
      <c r="AL6" s="225" t="n">
        <v>0.3594594594594595</v>
      </c>
      <c r="AM6" s="225" t="n"/>
    </row>
    <row r="7">
      <c r="A7" t="inlineStr">
        <is>
          <t>Reported EBITDA</t>
        </is>
      </c>
      <c r="B7" t="inlineStr">
        <is>
          <t>$mm</t>
        </is>
      </c>
      <c r="C7" s="224" t="n">
        <v>0.5625</v>
      </c>
      <c r="D7" s="224" t="n">
        <v>0.5775</v>
      </c>
      <c r="E7" s="224" t="n">
        <v>0.585</v>
      </c>
      <c r="F7" s="224" t="n">
        <v>0.6</v>
      </c>
      <c r="G7" s="224" t="n">
        <v>0.615</v>
      </c>
      <c r="H7" s="224" t="n">
        <v>0.6225000000000001</v>
      </c>
      <c r="I7" s="224" t="n">
        <v>0.63</v>
      </c>
      <c r="J7" s="224" t="n">
        <v>0.6375000000000001</v>
      </c>
      <c r="K7" s="224" t="n">
        <v>0.6375000000000001</v>
      </c>
      <c r="L7" s="224" t="n">
        <v>0.6525</v>
      </c>
      <c r="M7" s="224" t="n">
        <v>0.6825</v>
      </c>
      <c r="N7" s="224" t="n">
        <v>0.6975</v>
      </c>
      <c r="O7" s="224" t="n">
        <v>0.66</v>
      </c>
      <c r="P7" s="224" t="n">
        <v>0.6776000000000001</v>
      </c>
      <c r="Q7" s="224" t="n">
        <v>0.6864</v>
      </c>
      <c r="R7" s="224" t="n">
        <v>0.7040000000000001</v>
      </c>
      <c r="S7" s="224" t="n">
        <v>0.7216000000000001</v>
      </c>
      <c r="T7" s="224" t="n">
        <v>0.7304</v>
      </c>
      <c r="U7" s="224" t="n">
        <v>0.7392000000000001</v>
      </c>
      <c r="V7" s="224" t="n">
        <v>0.7480000000000001</v>
      </c>
      <c r="W7" s="224" t="n">
        <v>0.7480000000000001</v>
      </c>
      <c r="X7" s="224" t="n">
        <v>0.7656000000000001</v>
      </c>
      <c r="Y7" s="224" t="n">
        <v>0.8008000000000001</v>
      </c>
      <c r="Z7" s="224" t="n">
        <v>0.8184</v>
      </c>
      <c r="AA7" s="224" t="n">
        <v>0.7649999999999999</v>
      </c>
      <c r="AB7" s="224" t="n">
        <v>0.7854</v>
      </c>
      <c r="AC7" s="224" t="n">
        <v>0.7956</v>
      </c>
      <c r="AD7" s="224" t="n">
        <v>0.8159999999999999</v>
      </c>
      <c r="AE7" s="224" t="n">
        <v>0.8364</v>
      </c>
      <c r="AF7" s="224" t="n">
        <v>0.8466</v>
      </c>
      <c r="AG7" s="224" t="n">
        <v>0.8568</v>
      </c>
      <c r="AH7" s="224" t="n">
        <v>0.867</v>
      </c>
      <c r="AI7" s="224" t="n">
        <v>0.867</v>
      </c>
      <c r="AJ7" s="224" t="n">
        <v>0.8873999999999999</v>
      </c>
      <c r="AK7" s="224" t="n">
        <v>0.9281999999999999</v>
      </c>
      <c r="AL7" s="224" t="n">
        <v>0.9485999999999999</v>
      </c>
      <c r="AM7" s="224" t="n"/>
    </row>
    <row r="8">
      <c r="A8" t="inlineStr">
        <is>
          <t>EBITDA margin</t>
        </is>
      </c>
      <c r="B8" t="inlineStr">
        <is>
          <t>%</t>
        </is>
      </c>
      <c r="C8" s="225" t="n">
        <v>0.1320422535211268</v>
      </c>
      <c r="D8" s="225" t="n">
        <v>0.1320422535211268</v>
      </c>
      <c r="E8" s="225" t="n">
        <v>0.1320422535211268</v>
      </c>
      <c r="F8" s="225" t="n">
        <v>0.1320422535211268</v>
      </c>
      <c r="G8" s="225" t="n">
        <v>0.1320422535211268</v>
      </c>
      <c r="H8" s="225" t="n">
        <v>0.1320422535211268</v>
      </c>
      <c r="I8" s="225" t="n">
        <v>0.1320422535211268</v>
      </c>
      <c r="J8" s="225" t="n">
        <v>0.1320422535211268</v>
      </c>
      <c r="K8" s="225" t="n">
        <v>0.1320422535211268</v>
      </c>
      <c r="L8" s="225" t="n">
        <v>0.1320422535211268</v>
      </c>
      <c r="M8" s="225" t="n">
        <v>0.1320422535211268</v>
      </c>
      <c r="N8" s="225" t="n">
        <v>0.1320422535211268</v>
      </c>
      <c r="O8" s="225" t="n">
        <v>0.1345565749235474</v>
      </c>
      <c r="P8" s="225" t="n">
        <v>0.1345565749235474</v>
      </c>
      <c r="Q8" s="225" t="n">
        <v>0.1345565749235474</v>
      </c>
      <c r="R8" s="225" t="n">
        <v>0.1345565749235474</v>
      </c>
      <c r="S8" s="225" t="n">
        <v>0.1345565749235474</v>
      </c>
      <c r="T8" s="225" t="n">
        <v>0.1345565749235474</v>
      </c>
      <c r="U8" s="225" t="n">
        <v>0.1345565749235474</v>
      </c>
      <c r="V8" s="225" t="n">
        <v>0.1345565749235474</v>
      </c>
      <c r="W8" s="225" t="n">
        <v>0.1345565749235474</v>
      </c>
      <c r="X8" s="225" t="n">
        <v>0.1345565749235474</v>
      </c>
      <c r="Y8" s="225" t="n">
        <v>0.1345565749235474</v>
      </c>
      <c r="Z8" s="225" t="n">
        <v>0.1345565749235474</v>
      </c>
      <c r="AA8" s="225" t="n">
        <v>0.1378378378378378</v>
      </c>
      <c r="AB8" s="225" t="n">
        <v>0.1378378378378378</v>
      </c>
      <c r="AC8" s="225" t="n">
        <v>0.1378378378378378</v>
      </c>
      <c r="AD8" s="225" t="n">
        <v>0.1378378378378378</v>
      </c>
      <c r="AE8" s="225" t="n">
        <v>0.1378378378378378</v>
      </c>
      <c r="AF8" s="225" t="n">
        <v>0.1378378378378378</v>
      </c>
      <c r="AG8" s="225" t="n">
        <v>0.1378378378378378</v>
      </c>
      <c r="AH8" s="225" t="n">
        <v>0.1378378378378378</v>
      </c>
      <c r="AI8" s="225" t="n">
        <v>0.1378378378378378</v>
      </c>
      <c r="AJ8" s="225" t="n">
        <v>0.1378378378378378</v>
      </c>
      <c r="AK8" s="225" t="n">
        <v>0.1378378378378378</v>
      </c>
      <c r="AL8" s="225" t="n">
        <v>0.1378378378378378</v>
      </c>
      <c r="AM8" s="225" t="n"/>
    </row>
    <row r="9">
      <c r="A9" t="inlineStr">
        <is>
          <t>Capex</t>
        </is>
      </c>
      <c r="B9" t="inlineStr">
        <is>
          <t>$mm</t>
        </is>
      </c>
      <c r="C9" s="224" t="n">
        <v>0.06</v>
      </c>
      <c r="D9" s="224" t="n">
        <v>0.0616</v>
      </c>
      <c r="E9" s="224" t="n">
        <v>0.0624</v>
      </c>
      <c r="F9" s="224" t="n">
        <v>0.064</v>
      </c>
      <c r="G9" s="224" t="n">
        <v>0.06560000000000001</v>
      </c>
      <c r="H9" s="224" t="n">
        <v>0.0664</v>
      </c>
      <c r="I9" s="224" t="n">
        <v>0.06720000000000001</v>
      </c>
      <c r="J9" s="224" t="n">
        <v>0.068</v>
      </c>
      <c r="K9" s="224" t="n">
        <v>0.068</v>
      </c>
      <c r="L9" s="224" t="n">
        <v>0.0696</v>
      </c>
      <c r="M9" s="224" t="n">
        <v>0.0728</v>
      </c>
      <c r="N9" s="224" t="n">
        <v>0.07440000000000001</v>
      </c>
      <c r="O9" s="224" t="n">
        <v>0.075</v>
      </c>
      <c r="P9" s="224" t="n">
        <v>0.077</v>
      </c>
      <c r="Q9" s="224" t="n">
        <v>0.078</v>
      </c>
      <c r="R9" s="224" t="n">
        <v>0.08</v>
      </c>
      <c r="S9" s="224" t="n">
        <v>0.082</v>
      </c>
      <c r="T9" s="224" t="n">
        <v>0.083</v>
      </c>
      <c r="U9" s="224" t="n">
        <v>0.08400000000000001</v>
      </c>
      <c r="V9" s="224" t="n">
        <v>0.08500000000000001</v>
      </c>
      <c r="W9" s="224" t="n">
        <v>0.08500000000000001</v>
      </c>
      <c r="X9" s="224" t="n">
        <v>0.08699999999999999</v>
      </c>
      <c r="Y9" s="224" t="n">
        <v>0.091</v>
      </c>
      <c r="Z9" s="224" t="n">
        <v>0.093</v>
      </c>
      <c r="AA9" s="224" t="n">
        <v>0.09</v>
      </c>
      <c r="AB9" s="224" t="n">
        <v>0.0924</v>
      </c>
      <c r="AC9" s="224" t="n">
        <v>0.0936</v>
      </c>
      <c r="AD9" s="224" t="n">
        <v>0.096</v>
      </c>
      <c r="AE9" s="224" t="n">
        <v>0.0984</v>
      </c>
      <c r="AF9" s="224" t="n">
        <v>0.09960000000000001</v>
      </c>
      <c r="AG9" s="224" t="n">
        <v>0.1008</v>
      </c>
      <c r="AH9" s="224" t="n">
        <v>0.102</v>
      </c>
      <c r="AI9" s="224" t="n">
        <v>0.102</v>
      </c>
      <c r="AJ9" s="224" t="n">
        <v>0.1044</v>
      </c>
      <c r="AK9" s="224" t="n">
        <v>0.1092</v>
      </c>
      <c r="AL9" s="224" t="n">
        <v>0.1116</v>
      </c>
      <c r="AM9" s="224" t="n"/>
    </row>
  </sheetData>
  <mergeCells count="1">
    <mergeCell ref="A1:A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8" customWidth="1" min="15" max="15"/>
  </cols>
  <sheetData>
    <row r="1" ht="26" customHeight="1">
      <c r="A1" s="9" t="inlineStr">
        <is>
          <t>Raw Customer Revenue Schedule - FY2025A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/>
    <row r="3">
      <c r="A3" s="15" t="inlineStr">
        <is>
          <t>Billing Account ID</t>
        </is>
      </c>
      <c r="B3" s="15" t="inlineStr">
        <is>
          <t>Billing Account</t>
        </is>
      </c>
      <c r="C3" s="15" t="inlineStr">
        <is>
          <t>Ultimate Parent</t>
        </is>
      </c>
      <c r="D3" s="15" t="inlineStr">
        <is>
          <t>Service Line</t>
        </is>
      </c>
      <c r="E3" s="15" t="inlineStr">
        <is>
          <t>End Market</t>
        </is>
      </c>
      <c r="F3" s="15" t="inlineStr">
        <is>
          <t>Region</t>
        </is>
      </c>
      <c r="G3" s="15" t="inlineStr">
        <is>
          <t>2025 Revenue ($mm)</t>
        </is>
      </c>
      <c r="H3" s="15" t="inlineStr">
        <is>
          <t>% Revenue</t>
        </is>
      </c>
      <c r="I3" s="15" t="inlineStr">
        <is>
          <t>Recurring / Repeat / Project</t>
        </is>
      </c>
      <c r="J3" s="15" t="inlineStr">
        <is>
          <t>Contract Start</t>
        </is>
      </c>
      <c r="K3" s="15" t="inlineStr">
        <is>
          <t>Termination Notice (days)</t>
        </is>
      </c>
      <c r="L3" s="15" t="inlineStr">
        <is>
          <t>Minimum Volume</t>
        </is>
      </c>
      <c r="M3" s="15" t="inlineStr">
        <is>
          <t>Change of Control</t>
        </is>
      </c>
      <c r="N3" s="15" t="inlineStr">
        <is>
          <t>Relationship Tenure (yrs)</t>
        </is>
      </c>
      <c r="O3" s="15" t="inlineStr">
        <is>
          <t>Source</t>
        </is>
      </c>
    </row>
    <row r="4">
      <c r="A4" s="22" t="inlineStr">
        <is>
          <t>RIV-DEC</t>
        </is>
      </c>
      <c r="B4" s="22" t="inlineStr">
        <is>
          <t>Riverton Advanced Materials - Decatur</t>
        </is>
      </c>
      <c r="C4" s="22" t="inlineStr">
        <is>
          <t>Riverton Industrial Group</t>
        </is>
      </c>
      <c r="D4" s="22" t="inlineStr">
        <is>
          <t>EHS Compliance</t>
        </is>
      </c>
      <c r="E4" s="22" t="inlineStr">
        <is>
          <t>Industrial manufacturing</t>
        </is>
      </c>
      <c r="F4" s="22" t="inlineStr">
        <is>
          <t>Midwest</t>
        </is>
      </c>
      <c r="G4" s="224" t="n">
        <v>5.624</v>
      </c>
      <c r="H4" s="225" t="n">
        <v>0.076</v>
      </c>
      <c r="I4" s="22" t="inlineStr">
        <is>
          <t>Repeat</t>
        </is>
      </c>
      <c r="J4" s="226" t="n">
        <v>42767</v>
      </c>
      <c r="K4" s="22" t="n">
        <v>60</v>
      </c>
      <c r="L4" s="22" t="inlineStr">
        <is>
          <t>No</t>
        </is>
      </c>
      <c r="M4" s="22" t="inlineStr">
        <is>
          <t>Notice</t>
        </is>
      </c>
      <c r="N4" s="22" t="n">
        <v>9</v>
      </c>
      <c r="O4" s="22" t="inlineStr">
        <is>
          <t>Customer ledger / KS-DL-1.2</t>
        </is>
      </c>
    </row>
    <row r="5">
      <c r="A5" s="22" t="inlineStr">
        <is>
          <t>MET-N</t>
        </is>
      </c>
      <c r="B5" s="22" t="inlineStr">
        <is>
          <t>Metro Utility - North</t>
        </is>
      </c>
      <c r="C5" s="22" t="inlineStr">
        <is>
          <t>Metro Utility Holdings</t>
        </is>
      </c>
      <c r="D5" s="22" t="inlineStr">
        <is>
          <t>Field Inspection</t>
        </is>
      </c>
      <c r="E5" s="22" t="inlineStr">
        <is>
          <t>Infrastructure and utilities</t>
        </is>
      </c>
      <c r="F5" s="22" t="inlineStr">
        <is>
          <t>Midwest</t>
        </is>
      </c>
      <c r="G5" s="224" t="n">
        <v>3.2</v>
      </c>
      <c r="H5" s="225" t="n">
        <v>0.04324324324324325</v>
      </c>
      <c r="I5" s="22" t="inlineStr">
        <is>
          <t>Recurring</t>
        </is>
      </c>
      <c r="J5" s="226" t="n">
        <v>43160</v>
      </c>
      <c r="K5" s="22" t="n">
        <v>90</v>
      </c>
      <c r="L5" s="22" t="inlineStr">
        <is>
          <t>No</t>
        </is>
      </c>
      <c r="M5" s="22" t="inlineStr">
        <is>
          <t>Consent</t>
        </is>
      </c>
      <c r="N5" s="22" t="n">
        <v>7</v>
      </c>
      <c r="O5" s="22" t="inlineStr">
        <is>
          <t>Customer ledger / KS-DL-1.2</t>
        </is>
      </c>
    </row>
    <row r="6">
      <c r="A6" s="22" t="inlineStr">
        <is>
          <t>STA-01</t>
        </is>
      </c>
      <c r="B6" s="22" t="inlineStr">
        <is>
          <t>State Infrastructure Department</t>
        </is>
      </c>
      <c r="C6" s="22" t="inlineStr">
        <is>
          <t>State Infrastructure Authority</t>
        </is>
      </c>
      <c r="D6" s="22" t="inlineStr">
        <is>
          <t>Permitting &amp; Advisory</t>
        </is>
      </c>
      <c r="E6" s="22" t="inlineStr">
        <is>
          <t>Municipal and public sector</t>
        </is>
      </c>
      <c r="F6" s="22" t="inlineStr">
        <is>
          <t>Southeast</t>
        </is>
      </c>
      <c r="G6" s="224" t="n">
        <v>2.8</v>
      </c>
      <c r="H6" s="225" t="n">
        <v>0.03783783783783783</v>
      </c>
      <c r="I6" s="22" t="inlineStr">
        <is>
          <t>Repeat</t>
        </is>
      </c>
      <c r="J6" s="226" t="n">
        <v>43556</v>
      </c>
      <c r="K6" s="22" t="n">
        <v>30</v>
      </c>
      <c r="L6" s="22" t="inlineStr">
        <is>
          <t>No</t>
        </is>
      </c>
      <c r="M6" s="22" t="inlineStr">
        <is>
          <t>Notice</t>
        </is>
      </c>
      <c r="N6" s="22" t="n">
        <v>11</v>
      </c>
      <c r="O6" s="22" t="inlineStr">
        <is>
          <t>Customer ledger / KS-DL-1.2</t>
        </is>
      </c>
    </row>
    <row r="7">
      <c r="A7" s="22" t="inlineStr">
        <is>
          <t>MED-01</t>
        </is>
      </c>
      <c r="B7" s="22" t="inlineStr">
        <is>
          <t>MedCore Hospital System</t>
        </is>
      </c>
      <c r="C7" s="22" t="inlineStr">
        <is>
          <t>MedCore Health</t>
        </is>
      </c>
      <c r="D7" s="22" t="inlineStr">
        <is>
          <t>Industrial Hygiene</t>
        </is>
      </c>
      <c r="E7" s="22" t="inlineStr">
        <is>
          <t>Healthcare and life sciences</t>
        </is>
      </c>
      <c r="F7" s="22" t="inlineStr">
        <is>
          <t>Midwest</t>
        </is>
      </c>
      <c r="G7" s="224" t="n">
        <v>2.3</v>
      </c>
      <c r="H7" s="225" t="n">
        <v>0.03108108108108108</v>
      </c>
      <c r="I7" s="22" t="inlineStr">
        <is>
          <t>Recurring</t>
        </is>
      </c>
      <c r="J7" s="226" t="n">
        <v>43952</v>
      </c>
      <c r="K7" s="22" t="n">
        <v>60</v>
      </c>
      <c r="L7" s="22" t="inlineStr">
        <is>
          <t>No</t>
        </is>
      </c>
      <c r="M7" s="22" t="inlineStr">
        <is>
          <t>Notice</t>
        </is>
      </c>
      <c r="N7" s="22" t="n">
        <v>8</v>
      </c>
      <c r="O7" s="22" t="inlineStr">
        <is>
          <t>Customer ledger / KS-DL-1.2</t>
        </is>
      </c>
    </row>
    <row r="8">
      <c r="A8" s="22" t="inlineStr">
        <is>
          <t>RIV-CORP</t>
        </is>
      </c>
      <c r="B8" s="22" t="inlineStr">
        <is>
          <t>Riverton Corporate EHS</t>
        </is>
      </c>
      <c r="C8" s="22" t="inlineStr">
        <is>
          <t>Riverton Industrial Group</t>
        </is>
      </c>
      <c r="D8" s="22" t="inlineStr">
        <is>
          <t>EHS Compliance</t>
        </is>
      </c>
      <c r="E8" s="22" t="inlineStr">
        <is>
          <t>Industrial manufacturing</t>
        </is>
      </c>
      <c r="F8" s="22" t="inlineStr">
        <is>
          <t>Midwest</t>
        </is>
      </c>
      <c r="G8" s="224" t="n">
        <v>1.912</v>
      </c>
      <c r="H8" s="225" t="n">
        <v>0.02583783783783784</v>
      </c>
      <c r="I8" s="22" t="inlineStr">
        <is>
          <t>Recurring</t>
        </is>
      </c>
      <c r="J8" s="226" t="n">
        <v>44348</v>
      </c>
      <c r="K8" s="22" t="n">
        <v>60</v>
      </c>
      <c r="L8" s="22" t="inlineStr">
        <is>
          <t>No</t>
        </is>
      </c>
      <c r="M8" s="22" t="inlineStr">
        <is>
          <t>Notice</t>
        </is>
      </c>
      <c r="N8" s="22" t="n">
        <v>9</v>
      </c>
      <c r="O8" s="22" t="inlineStr">
        <is>
          <t>Customer ledger / KS-DL-1.2</t>
        </is>
      </c>
    </row>
    <row r="9">
      <c r="A9" s="22" t="inlineStr">
        <is>
          <t>BIO-01</t>
        </is>
      </c>
      <c r="B9" s="22" t="inlineStr">
        <is>
          <t>BioHealth Laboratories</t>
        </is>
      </c>
      <c r="C9" s="22" t="inlineStr">
        <is>
          <t>BioHealth Laboratories</t>
        </is>
      </c>
      <c r="D9" s="22" t="inlineStr">
        <is>
          <t>Industrial Hygiene</t>
        </is>
      </c>
      <c r="E9" s="22" t="inlineStr">
        <is>
          <t>Healthcare and life sciences</t>
        </is>
      </c>
      <c r="F9" s="22" t="inlineStr">
        <is>
          <t>Southeast</t>
        </is>
      </c>
      <c r="G9" s="224" t="n">
        <v>1.7</v>
      </c>
      <c r="H9" s="225" t="n">
        <v>0.02297297297297297</v>
      </c>
      <c r="I9" s="22" t="inlineStr">
        <is>
          <t>Recurring</t>
        </is>
      </c>
      <c r="J9" s="226" t="n">
        <v>44743</v>
      </c>
      <c r="K9" s="22" t="n">
        <v>60</v>
      </c>
      <c r="L9" s="22" t="inlineStr">
        <is>
          <t>No</t>
        </is>
      </c>
      <c r="M9" s="22" t="inlineStr">
        <is>
          <t>Notice</t>
        </is>
      </c>
      <c r="N9" s="22" t="n">
        <v>6</v>
      </c>
      <c r="O9" s="22" t="inlineStr">
        <is>
          <t>Customer ledger / KS-DL-1.2</t>
        </is>
      </c>
    </row>
    <row r="10">
      <c r="A10" s="22" t="inlineStr">
        <is>
          <t>APX-01</t>
        </is>
      </c>
      <c r="B10" s="22" t="inlineStr">
        <is>
          <t>Apex Manufacturing - Main</t>
        </is>
      </c>
      <c r="C10" s="22" t="inlineStr">
        <is>
          <t>Apex Manufacturing</t>
        </is>
      </c>
      <c r="D10" s="22" t="inlineStr">
        <is>
          <t>EHS Compliance</t>
        </is>
      </c>
      <c r="E10" s="22" t="inlineStr">
        <is>
          <t>Industrial manufacturing</t>
        </is>
      </c>
      <c r="F10" s="22" t="inlineStr">
        <is>
          <t>Midwest</t>
        </is>
      </c>
      <c r="G10" s="224" t="n">
        <v>1.6</v>
      </c>
      <c r="H10" s="225" t="n">
        <v>0.02162162162162162</v>
      </c>
      <c r="I10" s="22" t="inlineStr">
        <is>
          <t>Repeat</t>
        </is>
      </c>
      <c r="J10" s="226" t="n">
        <v>45139</v>
      </c>
      <c r="K10" s="22" t="n">
        <v>30</v>
      </c>
      <c r="L10" s="22" t="inlineStr">
        <is>
          <t>No</t>
        </is>
      </c>
      <c r="M10" s="22" t="inlineStr">
        <is>
          <t>None</t>
        </is>
      </c>
      <c r="N10" s="22" t="n">
        <v>5</v>
      </c>
      <c r="O10" s="22" t="inlineStr">
        <is>
          <t>Customer ledger / KS-DL-1.2</t>
        </is>
      </c>
    </row>
    <row r="11">
      <c r="A11" s="22" t="inlineStr">
        <is>
          <t>RIV-GRN</t>
        </is>
      </c>
      <c r="B11" s="22" t="inlineStr">
        <is>
          <t>Riverton Components - Greenville</t>
        </is>
      </c>
      <c r="C11" s="22" t="inlineStr">
        <is>
          <t>Riverton Industrial Group</t>
        </is>
      </c>
      <c r="D11" s="22" t="inlineStr">
        <is>
          <t>Field Inspection</t>
        </is>
      </c>
      <c r="E11" s="22" t="inlineStr">
        <is>
          <t>Industrial manufacturing</t>
        </is>
      </c>
      <c r="F11" s="22" t="inlineStr">
        <is>
          <t>Southeast</t>
        </is>
      </c>
      <c r="G11" s="224" t="n">
        <v>1.5</v>
      </c>
      <c r="H11" s="225" t="n">
        <v>0.02027027027027027</v>
      </c>
      <c r="I11" s="22" t="inlineStr">
        <is>
          <t>Repeat</t>
        </is>
      </c>
      <c r="J11" s="226" t="n">
        <v>42614</v>
      </c>
      <c r="K11" s="22" t="n">
        <v>60</v>
      </c>
      <c r="L11" s="22" t="inlineStr">
        <is>
          <t>No</t>
        </is>
      </c>
      <c r="M11" s="22" t="inlineStr">
        <is>
          <t>Notice</t>
        </is>
      </c>
      <c r="N11" s="22" t="n">
        <v>7</v>
      </c>
      <c r="O11" s="22" t="inlineStr">
        <is>
          <t>Customer ledger / KS-DL-1.2</t>
        </is>
      </c>
    </row>
    <row r="12">
      <c r="A12" s="22" t="inlineStr">
        <is>
          <t>MET-S</t>
        </is>
      </c>
      <c r="B12" s="22" t="inlineStr">
        <is>
          <t>Metro Utility - South</t>
        </is>
      </c>
      <c r="C12" s="22" t="inlineStr">
        <is>
          <t>Metro Utility Holdings</t>
        </is>
      </c>
      <c r="D12" s="22" t="inlineStr">
        <is>
          <t>Field Inspection</t>
        </is>
      </c>
      <c r="E12" s="22" t="inlineStr">
        <is>
          <t>Infrastructure and utilities</t>
        </is>
      </c>
      <c r="F12" s="22" t="inlineStr">
        <is>
          <t>Southeast</t>
        </is>
      </c>
      <c r="G12" s="224" t="n">
        <v>1.4</v>
      </c>
      <c r="H12" s="225" t="n">
        <v>0.01891891891891892</v>
      </c>
      <c r="I12" s="22" t="inlineStr">
        <is>
          <t>Recurring</t>
        </is>
      </c>
      <c r="J12" s="226" t="n">
        <v>43009</v>
      </c>
      <c r="K12" s="22" t="n">
        <v>90</v>
      </c>
      <c r="L12" s="22" t="inlineStr">
        <is>
          <t>No</t>
        </is>
      </c>
      <c r="M12" s="22" t="inlineStr">
        <is>
          <t>Consent</t>
        </is>
      </c>
      <c r="N12" s="22" t="n">
        <v>6</v>
      </c>
      <c r="O12" s="22" t="inlineStr">
        <is>
          <t>Customer ledger / KS-DL-1.2</t>
        </is>
      </c>
    </row>
    <row r="13">
      <c r="A13" s="22" t="inlineStr">
        <is>
          <t>STA-02</t>
        </is>
      </c>
      <c r="B13" s="22" t="inlineStr">
        <is>
          <t>State Infrastructure District 2</t>
        </is>
      </c>
      <c r="C13" s="22" t="inlineStr">
        <is>
          <t>State Infrastructure Authority</t>
        </is>
      </c>
      <c r="D13" s="22" t="inlineStr">
        <is>
          <t>Permitting &amp; Advisory</t>
        </is>
      </c>
      <c r="E13" s="22" t="inlineStr">
        <is>
          <t>Municipal and public sector</t>
        </is>
      </c>
      <c r="F13" s="22" t="inlineStr">
        <is>
          <t>Southeast</t>
        </is>
      </c>
      <c r="G13" s="224" t="n">
        <v>1.274</v>
      </c>
      <c r="H13" s="225" t="n">
        <v>0.01721621621621622</v>
      </c>
      <c r="I13" s="22" t="inlineStr">
        <is>
          <t>Repeat</t>
        </is>
      </c>
      <c r="J13" s="226" t="n">
        <v>43405</v>
      </c>
      <c r="K13" s="22" t="n">
        <v>30</v>
      </c>
      <c r="L13" s="22" t="inlineStr">
        <is>
          <t>No</t>
        </is>
      </c>
      <c r="M13" s="22" t="inlineStr">
        <is>
          <t>Notice</t>
        </is>
      </c>
      <c r="N13" s="22" t="n">
        <v>10</v>
      </c>
      <c r="O13" s="22" t="inlineStr">
        <is>
          <t>Customer ledger / KS-DL-1.2</t>
        </is>
      </c>
    </row>
    <row r="14">
      <c r="A14" s="22" t="inlineStr">
        <is>
          <t>RIV-MIL</t>
        </is>
      </c>
      <c r="B14" s="22" t="inlineStr">
        <is>
          <t>Riverton Metals - Milltown</t>
        </is>
      </c>
      <c r="C14" s="22" t="inlineStr">
        <is>
          <t>Riverton Industrial Group</t>
        </is>
      </c>
      <c r="D14" s="22" t="inlineStr">
        <is>
          <t>Industrial Hygiene</t>
        </is>
      </c>
      <c r="E14" s="22" t="inlineStr">
        <is>
          <t>Industrial manufacturing</t>
        </is>
      </c>
      <c r="F14" s="22" t="inlineStr">
        <is>
          <t>Midwest</t>
        </is>
      </c>
      <c r="G14" s="224" t="n">
        <v>1.3</v>
      </c>
      <c r="H14" s="225" t="n">
        <v>0.01756756756756757</v>
      </c>
      <c r="I14" s="22" t="inlineStr">
        <is>
          <t>Recurring</t>
        </is>
      </c>
      <c r="J14" s="226" t="n">
        <v>43800</v>
      </c>
      <c r="K14" s="22" t="n">
        <v>60</v>
      </c>
      <c r="L14" s="22" t="inlineStr">
        <is>
          <t>No</t>
        </is>
      </c>
      <c r="M14" s="22" t="inlineStr">
        <is>
          <t>Notice</t>
        </is>
      </c>
      <c r="N14" s="22" t="n">
        <v>8</v>
      </c>
      <c r="O14" s="22" t="inlineStr">
        <is>
          <t>Customer ledger / KS-DL-1.2</t>
        </is>
      </c>
    </row>
    <row r="15">
      <c r="A15" s="22" t="inlineStr">
        <is>
          <t>RIV-CHEM</t>
        </is>
      </c>
      <c r="B15" s="22" t="inlineStr">
        <is>
          <t>Riverton Chemicals - East</t>
        </is>
      </c>
      <c r="C15" s="22" t="inlineStr">
        <is>
          <t>Riverton Industrial Group</t>
        </is>
      </c>
      <c r="D15" s="22" t="inlineStr">
        <is>
          <t>EHS Compliance</t>
        </is>
      </c>
      <c r="E15" s="22" t="inlineStr">
        <is>
          <t>Industrial manufacturing</t>
        </is>
      </c>
      <c r="F15" s="22" t="inlineStr">
        <is>
          <t>Midwest</t>
        </is>
      </c>
      <c r="G15" s="224" t="n">
        <v>1.2</v>
      </c>
      <c r="H15" s="225" t="n">
        <v>0.01621621621621622</v>
      </c>
      <c r="I15" s="22" t="inlineStr">
        <is>
          <t>Repeat</t>
        </is>
      </c>
      <c r="J15" s="226" t="n">
        <v>43831</v>
      </c>
      <c r="K15" s="22" t="n">
        <v>60</v>
      </c>
      <c r="L15" s="22" t="inlineStr">
        <is>
          <t>No</t>
        </is>
      </c>
      <c r="M15" s="22" t="inlineStr">
        <is>
          <t>Notice</t>
        </is>
      </c>
      <c r="N15" s="22" t="n">
        <v>6</v>
      </c>
      <c r="O15" s="22" t="inlineStr">
        <is>
          <t>Customer ledger / KS-DL-1.2</t>
        </is>
      </c>
    </row>
    <row r="16">
      <c r="A16" s="22" t="inlineStr">
        <is>
          <t>RIV-LOG</t>
        </is>
      </c>
      <c r="B16" s="22" t="inlineStr">
        <is>
          <t>Riverton Logistics Hub</t>
        </is>
      </c>
      <c r="C16" s="22" t="inlineStr">
        <is>
          <t>Riverton Industrial Group</t>
        </is>
      </c>
      <c r="D16" s="22" t="inlineStr">
        <is>
          <t>Field Inspection</t>
        </is>
      </c>
      <c r="E16" s="22" t="inlineStr">
        <is>
          <t>Industrial manufacturing</t>
        </is>
      </c>
      <c r="F16" s="22" t="inlineStr">
        <is>
          <t>Southeast</t>
        </is>
      </c>
      <c r="G16" s="224" t="n">
        <v>1</v>
      </c>
      <c r="H16" s="225" t="n">
        <v>0.01351351351351351</v>
      </c>
      <c r="I16" s="22" t="inlineStr">
        <is>
          <t>Repeat</t>
        </is>
      </c>
      <c r="J16" s="226" t="n">
        <v>44228</v>
      </c>
      <c r="K16" s="22" t="n">
        <v>60</v>
      </c>
      <c r="L16" s="22" t="inlineStr">
        <is>
          <t>No</t>
        </is>
      </c>
      <c r="M16" s="22" t="inlineStr">
        <is>
          <t>Notice</t>
        </is>
      </c>
      <c r="N16" s="22" t="n">
        <v>5</v>
      </c>
      <c r="O16" s="22" t="inlineStr">
        <is>
          <t>Customer ledger / KS-DL-1.2</t>
        </is>
      </c>
    </row>
    <row r="17">
      <c r="A17" s="22" t="inlineStr">
        <is>
          <t>RIV-WST</t>
        </is>
      </c>
      <c r="B17" s="22" t="inlineStr">
        <is>
          <t>Riverton West Services</t>
        </is>
      </c>
      <c r="C17" s="22" t="inlineStr">
        <is>
          <t>Riverton Industrial Group</t>
        </is>
      </c>
      <c r="D17" s="22" t="inlineStr">
        <is>
          <t>Permitting &amp; Advisory</t>
        </is>
      </c>
      <c r="E17" s="22" t="inlineStr">
        <is>
          <t>Industrial manufacturing</t>
        </is>
      </c>
      <c r="F17" s="22" t="inlineStr">
        <is>
          <t>Midwest</t>
        </is>
      </c>
      <c r="G17" s="224" t="n">
        <v>0.9320000000000001</v>
      </c>
      <c r="H17" s="225" t="n">
        <v>0.01259459459459459</v>
      </c>
      <c r="I17" s="22" t="inlineStr">
        <is>
          <t>Project</t>
        </is>
      </c>
      <c r="J17" s="226" t="n">
        <v>44621</v>
      </c>
      <c r="K17" s="22" t="n">
        <v>60</v>
      </c>
      <c r="L17" s="22" t="inlineStr">
        <is>
          <t>No</t>
        </is>
      </c>
      <c r="M17" s="22" t="inlineStr">
        <is>
          <t>Notice</t>
        </is>
      </c>
      <c r="N17" s="22" t="n">
        <v>4</v>
      </c>
      <c r="O17" s="22" t="inlineStr">
        <is>
          <t>Customer ledger / KS-DL-1.2</t>
        </is>
      </c>
    </row>
    <row r="18">
      <c r="A18" s="22" t="inlineStr">
        <is>
          <t>MED-02</t>
        </is>
      </c>
      <c r="B18" s="22" t="inlineStr">
        <is>
          <t>MedCore Clinics</t>
        </is>
      </c>
      <c r="C18" s="22" t="inlineStr">
        <is>
          <t>MedCore Health</t>
        </is>
      </c>
      <c r="D18" s="22" t="inlineStr">
        <is>
          <t>Industrial Hygiene</t>
        </is>
      </c>
      <c r="E18" s="22" t="inlineStr">
        <is>
          <t>Healthcare and life sciences</t>
        </is>
      </c>
      <c r="F18" s="22" t="inlineStr">
        <is>
          <t>Southeast</t>
        </is>
      </c>
      <c r="G18" s="224" t="n">
        <v>0.9</v>
      </c>
      <c r="H18" s="225" t="n">
        <v>0.01216216216216216</v>
      </c>
      <c r="I18" s="22" t="inlineStr">
        <is>
          <t>Recurring</t>
        </is>
      </c>
      <c r="J18" s="226" t="n">
        <v>45017</v>
      </c>
      <c r="K18" s="22" t="n">
        <v>60</v>
      </c>
      <c r="L18" s="22" t="inlineStr">
        <is>
          <t>No</t>
        </is>
      </c>
      <c r="M18" s="22" t="inlineStr">
        <is>
          <t>Notice</t>
        </is>
      </c>
      <c r="N18" s="22" t="n">
        <v>5</v>
      </c>
      <c r="O18" s="22" t="inlineStr">
        <is>
          <t>Customer ledger / KS-DL-1.2</t>
        </is>
      </c>
    </row>
    <row r="19">
      <c r="A19" s="22" t="inlineStr">
        <is>
          <t>APX-02</t>
        </is>
      </c>
      <c r="B19" s="22" t="inlineStr">
        <is>
          <t>Apex Manufacturing - Components</t>
        </is>
      </c>
      <c r="C19" s="22" t="inlineStr">
        <is>
          <t>Apex Manufacturing</t>
        </is>
      </c>
      <c r="D19" s="22" t="inlineStr">
        <is>
          <t>Field Inspection</t>
        </is>
      </c>
      <c r="E19" s="22" t="inlineStr">
        <is>
          <t>Industrial manufacturing</t>
        </is>
      </c>
      <c r="F19" s="22" t="inlineStr">
        <is>
          <t>Midwest</t>
        </is>
      </c>
      <c r="G19" s="224" t="n">
        <v>0.9</v>
      </c>
      <c r="H19" s="225" t="n">
        <v>0.01216216216216216</v>
      </c>
      <c r="I19" s="22" t="inlineStr">
        <is>
          <t>Repeat</t>
        </is>
      </c>
      <c r="J19" s="226" t="n">
        <v>42491</v>
      </c>
      <c r="K19" s="22" t="n">
        <v>30</v>
      </c>
      <c r="L19" s="22" t="inlineStr">
        <is>
          <t>No</t>
        </is>
      </c>
      <c r="M19" s="22" t="inlineStr">
        <is>
          <t>None</t>
        </is>
      </c>
      <c r="N19" s="22" t="n">
        <v>4</v>
      </c>
      <c r="O19" s="22" t="inlineStr">
        <is>
          <t>Customer ledger / KS-DL-1.2</t>
        </is>
      </c>
    </row>
    <row r="20">
      <c r="A20" s="22" t="inlineStr">
        <is>
          <t>HBR-01</t>
        </is>
      </c>
      <c r="B20" s="22" t="inlineStr">
        <is>
          <t>Harbor Utilities - East</t>
        </is>
      </c>
      <c r="C20" s="22" t="inlineStr">
        <is>
          <t>Harbor Utilities</t>
        </is>
      </c>
      <c r="D20" s="22" t="inlineStr">
        <is>
          <t>Field Inspection</t>
        </is>
      </c>
      <c r="E20" s="22" t="inlineStr">
        <is>
          <t>Infrastructure and utilities</t>
        </is>
      </c>
      <c r="F20" s="22" t="inlineStr">
        <is>
          <t>Southeast</t>
        </is>
      </c>
      <c r="G20" s="224" t="n">
        <v>1.2</v>
      </c>
      <c r="H20" s="225" t="n">
        <v>0.01621621621621622</v>
      </c>
      <c r="I20" s="22" t="inlineStr">
        <is>
          <t>Recurring</t>
        </is>
      </c>
      <c r="J20" s="226" t="n">
        <v>42887</v>
      </c>
      <c r="K20" s="22" t="n">
        <v>60</v>
      </c>
      <c r="L20" s="22" t="inlineStr">
        <is>
          <t>No</t>
        </is>
      </c>
      <c r="M20" s="22" t="inlineStr">
        <is>
          <t>Notice</t>
        </is>
      </c>
      <c r="N20" s="22" t="n">
        <v>8</v>
      </c>
      <c r="O20" s="22" t="inlineStr">
        <is>
          <t>Customer ledger / KS-DL-1.2</t>
        </is>
      </c>
    </row>
    <row r="21">
      <c r="A21" s="22" t="inlineStr">
        <is>
          <t>HBR-02</t>
        </is>
      </c>
      <c r="B21" s="22" t="inlineStr">
        <is>
          <t>Harbor Utilities - West</t>
        </is>
      </c>
      <c r="C21" s="22" t="inlineStr">
        <is>
          <t>Harbor Utilities</t>
        </is>
      </c>
      <c r="D21" s="22" t="inlineStr">
        <is>
          <t>EHS Compliance</t>
        </is>
      </c>
      <c r="E21" s="22" t="inlineStr">
        <is>
          <t>Infrastructure and utilities</t>
        </is>
      </c>
      <c r="F21" s="22" t="inlineStr">
        <is>
          <t>Midwest</t>
        </is>
      </c>
      <c r="G21" s="224" t="n">
        <v>1</v>
      </c>
      <c r="H21" s="225" t="n">
        <v>0.01351351351351351</v>
      </c>
      <c r="I21" s="22" t="inlineStr">
        <is>
          <t>Repeat</t>
        </is>
      </c>
      <c r="J21" s="226" t="n">
        <v>43282</v>
      </c>
      <c r="K21" s="22" t="n">
        <v>60</v>
      </c>
      <c r="L21" s="22" t="inlineStr">
        <is>
          <t>No</t>
        </is>
      </c>
      <c r="M21" s="22" t="inlineStr">
        <is>
          <t>Notice</t>
        </is>
      </c>
      <c r="N21" s="22" t="n">
        <v>5</v>
      </c>
      <c r="O21" s="22" t="inlineStr">
        <is>
          <t>Customer ledger / KS-DL-1.2</t>
        </is>
      </c>
    </row>
    <row r="22">
      <c r="A22" s="22" t="inlineStr">
        <is>
          <t>CTY-01</t>
        </is>
      </c>
      <c r="B22" s="22" t="inlineStr">
        <is>
          <t>CityWorks Water</t>
        </is>
      </c>
      <c r="C22" s="22" t="inlineStr">
        <is>
          <t>CityWorks Municipal Group</t>
        </is>
      </c>
      <c r="D22" s="22" t="inlineStr">
        <is>
          <t>Permitting &amp; Advisory</t>
        </is>
      </c>
      <c r="E22" s="22" t="inlineStr">
        <is>
          <t>Municipal and public sector</t>
        </is>
      </c>
      <c r="F22" s="22" t="inlineStr">
        <is>
          <t>Midwest</t>
        </is>
      </c>
      <c r="G22" s="224" t="n">
        <v>1.1</v>
      </c>
      <c r="H22" s="225" t="n">
        <v>0.01486486486486487</v>
      </c>
      <c r="I22" s="22" t="inlineStr">
        <is>
          <t>Recurring</t>
        </is>
      </c>
      <c r="J22" s="226" t="n">
        <v>43678</v>
      </c>
      <c r="K22" s="22" t="n">
        <v>30</v>
      </c>
      <c r="L22" s="22" t="inlineStr">
        <is>
          <t>No</t>
        </is>
      </c>
      <c r="M22" s="22" t="inlineStr">
        <is>
          <t>Consent</t>
        </is>
      </c>
      <c r="N22" s="22" t="n">
        <v>9</v>
      </c>
      <c r="O22" s="22" t="inlineStr">
        <is>
          <t>Customer ledger / KS-DL-1.2</t>
        </is>
      </c>
    </row>
    <row r="23">
      <c r="A23" s="22" t="inlineStr">
        <is>
          <t>CTY-02</t>
        </is>
      </c>
      <c r="B23" s="22" t="inlineStr">
        <is>
          <t>CityWorks Transit</t>
        </is>
      </c>
      <c r="C23" s="22" t="inlineStr">
        <is>
          <t>CityWorks Municipal Group</t>
        </is>
      </c>
      <c r="D23" s="22" t="inlineStr">
        <is>
          <t>Field Inspection</t>
        </is>
      </c>
      <c r="E23" s="22" t="inlineStr">
        <is>
          <t>Municipal and public sector</t>
        </is>
      </c>
      <c r="F23" s="22" t="inlineStr">
        <is>
          <t>Midwest</t>
        </is>
      </c>
      <c r="G23" s="224" t="n">
        <v>1</v>
      </c>
      <c r="H23" s="225" t="n">
        <v>0.01351351351351351</v>
      </c>
      <c r="I23" s="22" t="inlineStr">
        <is>
          <t>Repeat</t>
        </is>
      </c>
      <c r="J23" s="226" t="n">
        <v>44075</v>
      </c>
      <c r="K23" s="22" t="n">
        <v>30</v>
      </c>
      <c r="L23" s="22" t="inlineStr">
        <is>
          <t>No</t>
        </is>
      </c>
      <c r="M23" s="22" t="inlineStr">
        <is>
          <t>Consent</t>
        </is>
      </c>
      <c r="N23" s="22" t="n">
        <v>7</v>
      </c>
      <c r="O23" s="22" t="inlineStr">
        <is>
          <t>Customer ledger / KS-DL-1.2</t>
        </is>
      </c>
    </row>
    <row r="24">
      <c r="A24" s="22" t="inlineStr">
        <is>
          <t>CLN-01</t>
        </is>
      </c>
      <c r="B24" s="22" t="inlineStr">
        <is>
          <t>Clinica Regional Hospitals</t>
        </is>
      </c>
      <c r="C24" s="22" t="inlineStr">
        <is>
          <t>Clinica Health</t>
        </is>
      </c>
      <c r="D24" s="22" t="inlineStr">
        <is>
          <t>Industrial Hygiene</t>
        </is>
      </c>
      <c r="E24" s="22" t="inlineStr">
        <is>
          <t>Healthcare and life sciences</t>
        </is>
      </c>
      <c r="F24" s="22" t="inlineStr">
        <is>
          <t>Southeast</t>
        </is>
      </c>
      <c r="G24" s="224" t="n">
        <v>1</v>
      </c>
      <c r="H24" s="225" t="n">
        <v>0.01351351351351351</v>
      </c>
      <c r="I24" s="22" t="inlineStr">
        <is>
          <t>Recurring</t>
        </is>
      </c>
      <c r="J24" s="226" t="n">
        <v>44470</v>
      </c>
      <c r="K24" s="22" t="n">
        <v>60</v>
      </c>
      <c r="L24" s="22" t="inlineStr">
        <is>
          <t>No</t>
        </is>
      </c>
      <c r="M24" s="22" t="inlineStr">
        <is>
          <t>Notice</t>
        </is>
      </c>
      <c r="N24" s="22" t="n">
        <v>6</v>
      </c>
      <c r="O24" s="22" t="inlineStr">
        <is>
          <t>Customer ledger / KS-DL-1.2</t>
        </is>
      </c>
    </row>
    <row r="25">
      <c r="A25" s="22" t="inlineStr">
        <is>
          <t>CLN-02</t>
        </is>
      </c>
      <c r="B25" s="22" t="inlineStr">
        <is>
          <t>Clinica Outpatient Network</t>
        </is>
      </c>
      <c r="C25" s="22" t="inlineStr">
        <is>
          <t>Clinica Health</t>
        </is>
      </c>
      <c r="D25" s="22" t="inlineStr">
        <is>
          <t>EHS Compliance</t>
        </is>
      </c>
      <c r="E25" s="22" t="inlineStr">
        <is>
          <t>Healthcare and life sciences</t>
        </is>
      </c>
      <c r="F25" s="22" t="inlineStr">
        <is>
          <t>Southeast</t>
        </is>
      </c>
      <c r="G25" s="224" t="n">
        <v>0.8</v>
      </c>
      <c r="H25" s="225" t="n">
        <v>0.01081081081081081</v>
      </c>
      <c r="I25" s="22" t="inlineStr">
        <is>
          <t>Repeat</t>
        </is>
      </c>
      <c r="J25" s="226" t="n">
        <v>44866</v>
      </c>
      <c r="K25" s="22" t="n">
        <v>60</v>
      </c>
      <c r="L25" s="22" t="inlineStr">
        <is>
          <t>No</t>
        </is>
      </c>
      <c r="M25" s="22" t="inlineStr">
        <is>
          <t>Notice</t>
        </is>
      </c>
      <c r="N25" s="22" t="n">
        <v>4</v>
      </c>
      <c r="O25" s="22" t="inlineStr">
        <is>
          <t>Customer ledger / KS-DL-1.2</t>
        </is>
      </c>
    </row>
    <row r="26">
      <c r="A26" s="22" t="inlineStr">
        <is>
          <t>PRE-01</t>
        </is>
      </c>
      <c r="B26" s="22" t="inlineStr">
        <is>
          <t>Precision Components - Ohio</t>
        </is>
      </c>
      <c r="C26" s="22" t="inlineStr">
        <is>
          <t>Precision Components</t>
        </is>
      </c>
      <c r="D26" s="22" t="inlineStr">
        <is>
          <t>EHS Compliance</t>
        </is>
      </c>
      <c r="E26" s="22" t="inlineStr">
        <is>
          <t>Industrial manufacturing</t>
        </is>
      </c>
      <c r="F26" s="22" t="inlineStr">
        <is>
          <t>Midwest</t>
        </is>
      </c>
      <c r="G26" s="224" t="n">
        <v>0.9</v>
      </c>
      <c r="H26" s="225" t="n">
        <v>0.01216216216216216</v>
      </c>
      <c r="I26" s="22" t="inlineStr">
        <is>
          <t>Repeat</t>
        </is>
      </c>
      <c r="J26" s="226" t="n">
        <v>45261</v>
      </c>
      <c r="K26" s="22" t="n">
        <v>30</v>
      </c>
      <c r="L26" s="22" t="inlineStr">
        <is>
          <t>No</t>
        </is>
      </c>
      <c r="M26" s="22" t="inlineStr">
        <is>
          <t>None</t>
        </is>
      </c>
      <c r="N26" s="22" t="n">
        <v>5</v>
      </c>
      <c r="O26" s="22" t="inlineStr">
        <is>
          <t>Customer ledger / KS-DL-1.2</t>
        </is>
      </c>
    </row>
    <row r="27">
      <c r="A27" s="22" t="inlineStr">
        <is>
          <t>PRE-02</t>
        </is>
      </c>
      <c r="B27" s="22" t="inlineStr">
        <is>
          <t>Precision Components - Tennessee</t>
        </is>
      </c>
      <c r="C27" s="22" t="inlineStr">
        <is>
          <t>Precision Components</t>
        </is>
      </c>
      <c r="D27" s="22" t="inlineStr">
        <is>
          <t>Industrial Hygiene</t>
        </is>
      </c>
      <c r="E27" s="22" t="inlineStr">
        <is>
          <t>Industrial manufacturing</t>
        </is>
      </c>
      <c r="F27" s="22" t="inlineStr">
        <is>
          <t>Southeast</t>
        </is>
      </c>
      <c r="G27" s="224" t="n">
        <v>0.828</v>
      </c>
      <c r="H27" s="225" t="n">
        <v>0.01118918918918919</v>
      </c>
      <c r="I27" s="22" t="inlineStr">
        <is>
          <t>Project</t>
        </is>
      </c>
      <c r="J27" s="226" t="n">
        <v>42370</v>
      </c>
      <c r="K27" s="22" t="n">
        <v>30</v>
      </c>
      <c r="L27" s="22" t="inlineStr">
        <is>
          <t>No</t>
        </is>
      </c>
      <c r="M27" s="22" t="inlineStr">
        <is>
          <t>None</t>
        </is>
      </c>
      <c r="N27" s="22" t="n">
        <v>3</v>
      </c>
      <c r="O27" s="22" t="inlineStr">
        <is>
          <t>Customer ledger / KS-DL-1.2</t>
        </is>
      </c>
    </row>
    <row r="28">
      <c r="A28" s="22" t="inlineStr">
        <is>
          <t>SM-001</t>
        </is>
      </c>
      <c r="B28" s="22" t="inlineStr">
        <is>
          <t>Northfield Foods Account 1</t>
        </is>
      </c>
      <c r="C28" s="22" t="inlineStr">
        <is>
          <t>Northfield Foods</t>
        </is>
      </c>
      <c r="D28" s="22" t="inlineStr">
        <is>
          <t>EHS Compliance</t>
        </is>
      </c>
      <c r="E28" s="22" t="inlineStr">
        <is>
          <t>Industrial manufacturing</t>
        </is>
      </c>
      <c r="F28" s="22" t="inlineStr">
        <is>
          <t>Midwest</t>
        </is>
      </c>
      <c r="G28" s="224" t="n">
        <v>1.250682873531822</v>
      </c>
      <c r="H28" s="225" t="n">
        <v>0.01690111991259219</v>
      </c>
      <c r="I28" s="22" t="inlineStr">
        <is>
          <t>Repeat</t>
        </is>
      </c>
      <c r="J28" s="226" t="n">
        <v>42767</v>
      </c>
      <c r="K28" s="22" t="n">
        <v>60</v>
      </c>
      <c r="L28" s="22" t="inlineStr">
        <is>
          <t>No</t>
        </is>
      </c>
      <c r="M28" s="22" t="inlineStr">
        <is>
          <t>Notice</t>
        </is>
      </c>
      <c r="N28" s="22" t="n">
        <v>4</v>
      </c>
      <c r="O28" s="22" t="inlineStr">
        <is>
          <t>Customer ledger / KS-DL-1.2</t>
        </is>
      </c>
    </row>
    <row r="29">
      <c r="A29" s="22" t="inlineStr">
        <is>
          <t>SM-002</t>
        </is>
      </c>
      <c r="B29" s="22" t="inlineStr">
        <is>
          <t>Ironbridge Logistics Account 2</t>
        </is>
      </c>
      <c r="C29" s="22" t="inlineStr">
        <is>
          <t>Ironbridge Logistics</t>
        </is>
      </c>
      <c r="D29" s="22" t="inlineStr">
        <is>
          <t>Industrial Hygiene</t>
        </is>
      </c>
      <c r="E29" s="22" t="inlineStr">
        <is>
          <t>Healthcare and life sciences</t>
        </is>
      </c>
      <c r="F29" s="22" t="inlineStr">
        <is>
          <t>Southeast</t>
        </is>
      </c>
      <c r="G29" s="224" t="n">
        <v>1.238676317945917</v>
      </c>
      <c r="H29" s="225" t="n">
        <v>0.01673886916143131</v>
      </c>
      <c r="I29" s="22" t="inlineStr">
        <is>
          <t>Project</t>
        </is>
      </c>
      <c r="J29" s="226" t="n">
        <v>43160</v>
      </c>
      <c r="K29" s="22" t="n">
        <v>30</v>
      </c>
      <c r="L29" s="22" t="inlineStr">
        <is>
          <t>No</t>
        </is>
      </c>
      <c r="M29" s="22" t="inlineStr">
        <is>
          <t>Notice</t>
        </is>
      </c>
      <c r="N29" s="22" t="n">
        <v>5</v>
      </c>
      <c r="O29" s="22" t="inlineStr">
        <is>
          <t>Customer ledger / KS-DL-1.2</t>
        </is>
      </c>
    </row>
    <row r="30">
      <c r="A30" s="22" t="inlineStr">
        <is>
          <t>SM-003</t>
        </is>
      </c>
      <c r="B30" s="22" t="inlineStr">
        <is>
          <t>Cedar Municipal Account 3</t>
        </is>
      </c>
      <c r="C30" s="22" t="inlineStr">
        <is>
          <t>Cedar Municipal</t>
        </is>
      </c>
      <c r="D30" s="22" t="inlineStr">
        <is>
          <t>Field Inspection</t>
        </is>
      </c>
      <c r="E30" s="22" t="inlineStr">
        <is>
          <t>Infrastructure and utilities</t>
        </is>
      </c>
      <c r="F30" s="22" t="inlineStr">
        <is>
          <t>Midwest</t>
        </is>
      </c>
      <c r="G30" s="224" t="n">
        <v>1.226669762360011</v>
      </c>
      <c r="H30" s="225" t="n">
        <v>0.01657661841027042</v>
      </c>
      <c r="I30" s="22" t="inlineStr">
        <is>
          <t>Recurring</t>
        </is>
      </c>
      <c r="J30" s="226" t="n">
        <v>43556</v>
      </c>
      <c r="K30" s="22" t="n">
        <v>60</v>
      </c>
      <c r="L30" s="22" t="inlineStr">
        <is>
          <t>No</t>
        </is>
      </c>
      <c r="M30" s="22" t="inlineStr">
        <is>
          <t>Notice</t>
        </is>
      </c>
      <c r="N30" s="22" t="n">
        <v>6</v>
      </c>
      <c r="O30" s="22" t="inlineStr">
        <is>
          <t>Customer ledger / KS-DL-1.2</t>
        </is>
      </c>
    </row>
    <row r="31">
      <c r="A31" s="22" t="inlineStr">
        <is>
          <t>SM-004</t>
        </is>
      </c>
      <c r="B31" s="22" t="inlineStr">
        <is>
          <t>Granite Bio Account 4</t>
        </is>
      </c>
      <c r="C31" s="22" t="inlineStr">
        <is>
          <t>Granite Bio</t>
        </is>
      </c>
      <c r="D31" s="22" t="inlineStr">
        <is>
          <t>Permitting &amp; Advisory</t>
        </is>
      </c>
      <c r="E31" s="22" t="inlineStr">
        <is>
          <t>Municipal and public sector</t>
        </is>
      </c>
      <c r="F31" s="22" t="inlineStr">
        <is>
          <t>Southeast</t>
        </is>
      </c>
      <c r="G31" s="224" t="n">
        <v>1.214663206774105</v>
      </c>
      <c r="H31" s="225" t="n">
        <v>0.01641436765910953</v>
      </c>
      <c r="I31" s="22" t="inlineStr">
        <is>
          <t>Repeat</t>
        </is>
      </c>
      <c r="J31" s="226" t="n">
        <v>43952</v>
      </c>
      <c r="K31" s="22" t="n">
        <v>30</v>
      </c>
      <c r="L31" s="22" t="inlineStr">
        <is>
          <t>No</t>
        </is>
      </c>
      <c r="M31" s="22" t="inlineStr">
        <is>
          <t>None</t>
        </is>
      </c>
      <c r="N31" s="22" t="n">
        <v>7</v>
      </c>
      <c r="O31" s="22" t="inlineStr">
        <is>
          <t>Customer ledger / KS-DL-1.2</t>
        </is>
      </c>
    </row>
    <row r="32">
      <c r="A32" s="22" t="inlineStr">
        <is>
          <t>SM-005</t>
        </is>
      </c>
      <c r="B32" s="22" t="inlineStr">
        <is>
          <t>Oak Ridge Manufacturing Account 5</t>
        </is>
      </c>
      <c r="C32" s="22" t="inlineStr">
        <is>
          <t>Oak Ridge Manufacturing</t>
        </is>
      </c>
      <c r="D32" s="22" t="inlineStr">
        <is>
          <t>EHS Compliance</t>
        </is>
      </c>
      <c r="E32" s="22" t="inlineStr">
        <is>
          <t>Industrial manufacturing</t>
        </is>
      </c>
      <c r="F32" s="22" t="inlineStr">
        <is>
          <t>Midwest</t>
        </is>
      </c>
      <c r="G32" s="224" t="n">
        <v>1.2026566511882</v>
      </c>
      <c r="H32" s="225" t="n">
        <v>0.01625211690794865</v>
      </c>
      <c r="I32" s="22" t="inlineStr">
        <is>
          <t>Project</t>
        </is>
      </c>
      <c r="J32" s="226" t="n">
        <v>44348</v>
      </c>
      <c r="K32" s="22" t="n">
        <v>60</v>
      </c>
      <c r="L32" s="22" t="inlineStr">
        <is>
          <t>No</t>
        </is>
      </c>
      <c r="M32" s="22" t="inlineStr">
        <is>
          <t>Notice</t>
        </is>
      </c>
      <c r="N32" s="22" t="n">
        <v>8</v>
      </c>
      <c r="O32" s="22" t="inlineStr">
        <is>
          <t>Customer ledger / KS-DL-1.2</t>
        </is>
      </c>
    </row>
    <row r="33">
      <c r="A33" s="22" t="inlineStr">
        <is>
          <t>SM-006</t>
        </is>
      </c>
      <c r="B33" s="22" t="inlineStr">
        <is>
          <t>Summit Water Account 6</t>
        </is>
      </c>
      <c r="C33" s="22" t="inlineStr">
        <is>
          <t>Summit Water</t>
        </is>
      </c>
      <c r="D33" s="22" t="inlineStr">
        <is>
          <t>Industrial Hygiene</t>
        </is>
      </c>
      <c r="E33" s="22" t="inlineStr">
        <is>
          <t>Healthcare and life sciences</t>
        </is>
      </c>
      <c r="F33" s="22" t="inlineStr">
        <is>
          <t>Southeast</t>
        </is>
      </c>
      <c r="G33" s="224" t="n">
        <v>1.190650095602295</v>
      </c>
      <c r="H33" s="225" t="n">
        <v>0.01608986615678776</v>
      </c>
      <c r="I33" s="22" t="inlineStr">
        <is>
          <t>Recurring</t>
        </is>
      </c>
      <c r="J33" s="226" t="n">
        <v>44743</v>
      </c>
      <c r="K33" s="22" t="n">
        <v>30</v>
      </c>
      <c r="L33" s="22" t="inlineStr">
        <is>
          <t>No</t>
        </is>
      </c>
      <c r="M33" s="22" t="inlineStr">
        <is>
          <t>Notice</t>
        </is>
      </c>
      <c r="N33" s="22" t="n">
        <v>9</v>
      </c>
      <c r="O33" s="22" t="inlineStr">
        <is>
          <t>Customer ledger / KS-DL-1.2</t>
        </is>
      </c>
    </row>
    <row r="34">
      <c r="A34" s="22" t="inlineStr">
        <is>
          <t>SM-007</t>
        </is>
      </c>
      <c r="B34" s="22" t="inlineStr">
        <is>
          <t>Keystone Health Account 7</t>
        </is>
      </c>
      <c r="C34" s="22" t="inlineStr">
        <is>
          <t>Keystone Health</t>
        </is>
      </c>
      <c r="D34" s="22" t="inlineStr">
        <is>
          <t>Field Inspection</t>
        </is>
      </c>
      <c r="E34" s="22" t="inlineStr">
        <is>
          <t>Infrastructure and utilities</t>
        </is>
      </c>
      <c r="F34" s="22" t="inlineStr">
        <is>
          <t>Midwest</t>
        </is>
      </c>
      <c r="G34" s="224" t="n">
        <v>1.178643540016389</v>
      </c>
      <c r="H34" s="225" t="n">
        <v>0.01592761540562688</v>
      </c>
      <c r="I34" s="22" t="inlineStr">
        <is>
          <t>Repeat</t>
        </is>
      </c>
      <c r="J34" s="226" t="n">
        <v>45139</v>
      </c>
      <c r="K34" s="22" t="n">
        <v>60</v>
      </c>
      <c r="L34" s="22" t="inlineStr">
        <is>
          <t>No</t>
        </is>
      </c>
      <c r="M34" s="22" t="inlineStr">
        <is>
          <t>Notice</t>
        </is>
      </c>
      <c r="N34" s="22" t="n">
        <v>3</v>
      </c>
      <c r="O34" s="22" t="inlineStr">
        <is>
          <t>Customer ledger / KS-DL-1.2</t>
        </is>
      </c>
    </row>
    <row r="35">
      <c r="A35" s="22" t="inlineStr">
        <is>
          <t>SM-008</t>
        </is>
      </c>
      <c r="B35" s="22" t="inlineStr">
        <is>
          <t>Lakefront Infrastructure Account 8</t>
        </is>
      </c>
      <c r="C35" s="22" t="inlineStr">
        <is>
          <t>Lakefront Infrastructure</t>
        </is>
      </c>
      <c r="D35" s="22" t="inlineStr">
        <is>
          <t>Permitting &amp; Advisory</t>
        </is>
      </c>
      <c r="E35" s="22" t="inlineStr">
        <is>
          <t>Municipal and public sector</t>
        </is>
      </c>
      <c r="F35" s="22" t="inlineStr">
        <is>
          <t>Southeast</t>
        </is>
      </c>
      <c r="G35" s="224" t="n">
        <v>1.166636984430484</v>
      </c>
      <c r="H35" s="225" t="n">
        <v>0.015765364654466</v>
      </c>
      <c r="I35" s="22" t="inlineStr">
        <is>
          <t>Project</t>
        </is>
      </c>
      <c r="J35" s="226" t="n">
        <v>42614</v>
      </c>
      <c r="K35" s="22" t="n">
        <v>30</v>
      </c>
      <c r="L35" s="22" t="inlineStr">
        <is>
          <t>No</t>
        </is>
      </c>
      <c r="M35" s="22" t="inlineStr">
        <is>
          <t>None</t>
        </is>
      </c>
      <c r="N35" s="22" t="n">
        <v>4</v>
      </c>
      <c r="O35" s="22" t="inlineStr">
        <is>
          <t>Customer ledger / KS-DL-1.2</t>
        </is>
      </c>
    </row>
    <row r="36">
      <c r="A36" s="22" t="inlineStr">
        <is>
          <t>SM-009</t>
        </is>
      </c>
      <c r="B36" s="22" t="inlineStr">
        <is>
          <t>Blue Ridge Metals Account 9</t>
        </is>
      </c>
      <c r="C36" s="22" t="inlineStr">
        <is>
          <t>Blue Ridge Metals</t>
        </is>
      </c>
      <c r="D36" s="22" t="inlineStr">
        <is>
          <t>EHS Compliance</t>
        </is>
      </c>
      <c r="E36" s="22" t="inlineStr">
        <is>
          <t>Industrial manufacturing</t>
        </is>
      </c>
      <c r="F36" s="22" t="inlineStr">
        <is>
          <t>Midwest</t>
        </is>
      </c>
      <c r="G36" s="224" t="n">
        <v>1.154630428844578</v>
      </c>
      <c r="H36" s="225" t="n">
        <v>0.01560311390330511</v>
      </c>
      <c r="I36" s="22" t="inlineStr">
        <is>
          <t>Recurring</t>
        </is>
      </c>
      <c r="J36" s="226" t="n">
        <v>43009</v>
      </c>
      <c r="K36" s="22" t="n">
        <v>60</v>
      </c>
      <c r="L36" s="22" t="inlineStr">
        <is>
          <t>No</t>
        </is>
      </c>
      <c r="M36" s="22" t="inlineStr">
        <is>
          <t>Notice</t>
        </is>
      </c>
      <c r="N36" s="22" t="n">
        <v>5</v>
      </c>
      <c r="O36" s="22" t="inlineStr">
        <is>
          <t>Customer ledger / KS-DL-1.2</t>
        </is>
      </c>
    </row>
    <row r="37">
      <c r="A37" s="22" t="inlineStr">
        <is>
          <t>SM-010</t>
        </is>
      </c>
      <c r="B37" s="22" t="inlineStr">
        <is>
          <t>Pioneer Components Account 10</t>
        </is>
      </c>
      <c r="C37" s="22" t="inlineStr">
        <is>
          <t>Pioneer Components</t>
        </is>
      </c>
      <c r="D37" s="22" t="inlineStr">
        <is>
          <t>Industrial Hygiene</t>
        </is>
      </c>
      <c r="E37" s="22" t="inlineStr">
        <is>
          <t>Healthcare and life sciences</t>
        </is>
      </c>
      <c r="F37" s="22" t="inlineStr">
        <is>
          <t>Southeast</t>
        </is>
      </c>
      <c r="G37" s="224" t="n">
        <v>1.142623873258672</v>
      </c>
      <c r="H37" s="225" t="n">
        <v>0.01544086315214422</v>
      </c>
      <c r="I37" s="22" t="inlineStr">
        <is>
          <t>Repeat</t>
        </is>
      </c>
      <c r="J37" s="226" t="n">
        <v>43405</v>
      </c>
      <c r="K37" s="22" t="n">
        <v>30</v>
      </c>
      <c r="L37" s="22" t="inlineStr">
        <is>
          <t>No</t>
        </is>
      </c>
      <c r="M37" s="22" t="inlineStr">
        <is>
          <t>Notice</t>
        </is>
      </c>
      <c r="N37" s="22" t="n">
        <v>6</v>
      </c>
      <c r="O37" s="22" t="inlineStr">
        <is>
          <t>Customer ledger / KS-DL-1.2</t>
        </is>
      </c>
    </row>
    <row r="38">
      <c r="A38" s="22" t="inlineStr">
        <is>
          <t>SM-011</t>
        </is>
      </c>
      <c r="B38" s="22" t="inlineStr">
        <is>
          <t>Evergreen Chemicals Account 11</t>
        </is>
      </c>
      <c r="C38" s="22" t="inlineStr">
        <is>
          <t>Evergreen Chemicals</t>
        </is>
      </c>
      <c r="D38" s="22" t="inlineStr">
        <is>
          <t>Field Inspection</t>
        </is>
      </c>
      <c r="E38" s="22" t="inlineStr">
        <is>
          <t>Infrastructure and utilities</t>
        </is>
      </c>
      <c r="F38" s="22" t="inlineStr">
        <is>
          <t>Midwest</t>
        </is>
      </c>
      <c r="G38" s="224" t="n">
        <v>1.130617317672767</v>
      </c>
      <c r="H38" s="225" t="n">
        <v>0.01527861240098334</v>
      </c>
      <c r="I38" s="22" t="inlineStr">
        <is>
          <t>Project</t>
        </is>
      </c>
      <c r="J38" s="226" t="n">
        <v>43800</v>
      </c>
      <c r="K38" s="22" t="n">
        <v>60</v>
      </c>
      <c r="L38" s="22" t="inlineStr">
        <is>
          <t>No</t>
        </is>
      </c>
      <c r="M38" s="22" t="inlineStr">
        <is>
          <t>Notice</t>
        </is>
      </c>
      <c r="N38" s="22" t="n">
        <v>7</v>
      </c>
      <c r="O38" s="22" t="inlineStr">
        <is>
          <t>Customer ledger / KS-DL-1.2</t>
        </is>
      </c>
    </row>
    <row r="39">
      <c r="A39" s="22" t="inlineStr">
        <is>
          <t>SM-012</t>
        </is>
      </c>
      <c r="B39" s="22" t="inlineStr">
        <is>
          <t>Redwood Utilities Account 12</t>
        </is>
      </c>
      <c r="C39" s="22" t="inlineStr">
        <is>
          <t>Redwood Utilities</t>
        </is>
      </c>
      <c r="D39" s="22" t="inlineStr">
        <is>
          <t>Permitting &amp; Advisory</t>
        </is>
      </c>
      <c r="E39" s="22" t="inlineStr">
        <is>
          <t>Municipal and public sector</t>
        </is>
      </c>
      <c r="F39" s="22" t="inlineStr">
        <is>
          <t>Southeast</t>
        </is>
      </c>
      <c r="G39" s="224" t="n">
        <v>1.118610762086861</v>
      </c>
      <c r="H39" s="225" t="n">
        <v>0.01511636164982245</v>
      </c>
      <c r="I39" s="22" t="inlineStr">
        <is>
          <t>Recurring</t>
        </is>
      </c>
      <c r="J39" s="226" t="n">
        <v>43831</v>
      </c>
      <c r="K39" s="22" t="n">
        <v>30</v>
      </c>
      <c r="L39" s="22" t="inlineStr">
        <is>
          <t>No</t>
        </is>
      </c>
      <c r="M39" s="22" t="inlineStr">
        <is>
          <t>None</t>
        </is>
      </c>
      <c r="N39" s="22" t="n">
        <v>8</v>
      </c>
      <c r="O39" s="22" t="inlineStr">
        <is>
          <t>Customer ledger / KS-DL-1.2</t>
        </is>
      </c>
    </row>
    <row r="40">
      <c r="A40" s="22" t="inlineStr">
        <is>
          <t>SM-013</t>
        </is>
      </c>
      <c r="B40" s="22" t="inlineStr">
        <is>
          <t>Silverline Medical Account 13</t>
        </is>
      </c>
      <c r="C40" s="22" t="inlineStr">
        <is>
          <t>Silverline Medical</t>
        </is>
      </c>
      <c r="D40" s="22" t="inlineStr">
        <is>
          <t>EHS Compliance</t>
        </is>
      </c>
      <c r="E40" s="22" t="inlineStr">
        <is>
          <t>Industrial manufacturing</t>
        </is>
      </c>
      <c r="F40" s="22" t="inlineStr">
        <is>
          <t>Midwest</t>
        </is>
      </c>
      <c r="G40" s="224" t="n">
        <v>1.106604206500956</v>
      </c>
      <c r="H40" s="225" t="n">
        <v>0.01495411089866157</v>
      </c>
      <c r="I40" s="22" t="inlineStr">
        <is>
          <t>Repeat</t>
        </is>
      </c>
      <c r="J40" s="226" t="n">
        <v>44228</v>
      </c>
      <c r="K40" s="22" t="n">
        <v>60</v>
      </c>
      <c r="L40" s="22" t="inlineStr">
        <is>
          <t>No</t>
        </is>
      </c>
      <c r="M40" s="22" t="inlineStr">
        <is>
          <t>Notice</t>
        </is>
      </c>
      <c r="N40" s="22" t="n">
        <v>9</v>
      </c>
      <c r="O40" s="22" t="inlineStr">
        <is>
          <t>Customer ledger / KS-DL-1.2</t>
        </is>
      </c>
    </row>
    <row r="41">
      <c r="A41" s="22" t="inlineStr">
        <is>
          <t>SM-014</t>
        </is>
      </c>
      <c r="B41" s="22" t="inlineStr">
        <is>
          <t>Prairie Public Works Account 14</t>
        </is>
      </c>
      <c r="C41" s="22" t="inlineStr">
        <is>
          <t>Prairie Public Works</t>
        </is>
      </c>
      <c r="D41" s="22" t="inlineStr">
        <is>
          <t>Industrial Hygiene</t>
        </is>
      </c>
      <c r="E41" s="22" t="inlineStr">
        <is>
          <t>Healthcare and life sciences</t>
        </is>
      </c>
      <c r="F41" s="22" t="inlineStr">
        <is>
          <t>Southeast</t>
        </is>
      </c>
      <c r="G41" s="224" t="n">
        <v>1.094597650915051</v>
      </c>
      <c r="H41" s="225" t="n">
        <v>0.01479186014750069</v>
      </c>
      <c r="I41" s="22" t="inlineStr">
        <is>
          <t>Project</t>
        </is>
      </c>
      <c r="J41" s="226" t="n">
        <v>44621</v>
      </c>
      <c r="K41" s="22" t="n">
        <v>30</v>
      </c>
      <c r="L41" s="22" t="inlineStr">
        <is>
          <t>No</t>
        </is>
      </c>
      <c r="M41" s="22" t="inlineStr">
        <is>
          <t>Notice</t>
        </is>
      </c>
      <c r="N41" s="22" t="n">
        <v>3</v>
      </c>
      <c r="O41" s="22" t="inlineStr">
        <is>
          <t>Customer ledger / KS-DL-1.2</t>
        </is>
      </c>
    </row>
    <row r="42">
      <c r="A42" s="22" t="inlineStr">
        <is>
          <t>SM-015</t>
        </is>
      </c>
      <c r="B42" s="22" t="inlineStr">
        <is>
          <t>Atlas Manufacturing Account 15</t>
        </is>
      </c>
      <c r="C42" s="22" t="inlineStr">
        <is>
          <t>Atlas Manufacturing</t>
        </is>
      </c>
      <c r="D42" s="22" t="inlineStr">
        <is>
          <t>Field Inspection</t>
        </is>
      </c>
      <c r="E42" s="22" t="inlineStr">
        <is>
          <t>Infrastructure and utilities</t>
        </is>
      </c>
      <c r="F42" s="22" t="inlineStr">
        <is>
          <t>Midwest</t>
        </is>
      </c>
      <c r="G42" s="224" t="n">
        <v>1.082591095329145</v>
      </c>
      <c r="H42" s="225" t="n">
        <v>0.0146296093963398</v>
      </c>
      <c r="I42" s="22" t="inlineStr">
        <is>
          <t>Recurring</t>
        </is>
      </c>
      <c r="J42" s="226" t="n">
        <v>45017</v>
      </c>
      <c r="K42" s="22" t="n">
        <v>60</v>
      </c>
      <c r="L42" s="22" t="inlineStr">
        <is>
          <t>No</t>
        </is>
      </c>
      <c r="M42" s="22" t="inlineStr">
        <is>
          <t>Notice</t>
        </is>
      </c>
      <c r="N42" s="22" t="n">
        <v>4</v>
      </c>
      <c r="O42" s="22" t="inlineStr">
        <is>
          <t>Customer ledger / KS-DL-1.2</t>
        </is>
      </c>
    </row>
    <row r="43">
      <c r="A43" s="22" t="inlineStr">
        <is>
          <t>SM-016</t>
        </is>
      </c>
      <c r="B43" s="22" t="inlineStr">
        <is>
          <t>Cobalt Industries Account 16</t>
        </is>
      </c>
      <c r="C43" s="22" t="inlineStr">
        <is>
          <t>Cobalt Industries</t>
        </is>
      </c>
      <c r="D43" s="22" t="inlineStr">
        <is>
          <t>Permitting &amp; Advisory</t>
        </is>
      </c>
      <c r="E43" s="22" t="inlineStr">
        <is>
          <t>Municipal and public sector</t>
        </is>
      </c>
      <c r="F43" s="22" t="inlineStr">
        <is>
          <t>Southeast</t>
        </is>
      </c>
      <c r="G43" s="224" t="n">
        <v>1.07058453974324</v>
      </c>
      <c r="H43" s="225" t="n">
        <v>0.01446735864517891</v>
      </c>
      <c r="I43" s="22" t="inlineStr">
        <is>
          <t>Repeat</t>
        </is>
      </c>
      <c r="J43" s="226" t="n">
        <v>42491</v>
      </c>
      <c r="K43" s="22" t="n">
        <v>30</v>
      </c>
      <c r="L43" s="22" t="inlineStr">
        <is>
          <t>No</t>
        </is>
      </c>
      <c r="M43" s="22" t="inlineStr">
        <is>
          <t>None</t>
        </is>
      </c>
      <c r="N43" s="22" t="n">
        <v>5</v>
      </c>
      <c r="O43" s="22" t="inlineStr">
        <is>
          <t>Customer ledger / KS-DL-1.2</t>
        </is>
      </c>
    </row>
    <row r="44">
      <c r="A44" s="22" t="inlineStr">
        <is>
          <t>SM-017</t>
        </is>
      </c>
      <c r="B44" s="22" t="inlineStr">
        <is>
          <t>Meridian Transit Account 17</t>
        </is>
      </c>
      <c r="C44" s="22" t="inlineStr">
        <is>
          <t>Meridian Transit</t>
        </is>
      </c>
      <c r="D44" s="22" t="inlineStr">
        <is>
          <t>EHS Compliance</t>
        </is>
      </c>
      <c r="E44" s="22" t="inlineStr">
        <is>
          <t>Industrial manufacturing</t>
        </is>
      </c>
      <c r="F44" s="22" t="inlineStr">
        <is>
          <t>Midwest</t>
        </is>
      </c>
      <c r="G44" s="224" t="n">
        <v>1.058577984157334</v>
      </c>
      <c r="H44" s="225" t="n">
        <v>0.01430510789401803</v>
      </c>
      <c r="I44" s="22" t="inlineStr">
        <is>
          <t>Project</t>
        </is>
      </c>
      <c r="J44" s="226" t="n">
        <v>42887</v>
      </c>
      <c r="K44" s="22" t="n">
        <v>60</v>
      </c>
      <c r="L44" s="22" t="inlineStr">
        <is>
          <t>No</t>
        </is>
      </c>
      <c r="M44" s="22" t="inlineStr">
        <is>
          <t>Notice</t>
        </is>
      </c>
      <c r="N44" s="22" t="n">
        <v>6</v>
      </c>
      <c r="O44" s="22" t="inlineStr">
        <is>
          <t>Customer ledger / KS-DL-1.2</t>
        </is>
      </c>
    </row>
    <row r="45">
      <c r="A45" s="22" t="inlineStr">
        <is>
          <t>SM-018</t>
        </is>
      </c>
      <c r="B45" s="22" t="inlineStr">
        <is>
          <t>Frontier Foods Account 18</t>
        </is>
      </c>
      <c r="C45" s="22" t="inlineStr">
        <is>
          <t>Frontier Foods</t>
        </is>
      </c>
      <c r="D45" s="22" t="inlineStr">
        <is>
          <t>Industrial Hygiene</t>
        </is>
      </c>
      <c r="E45" s="22" t="inlineStr">
        <is>
          <t>Healthcare and life sciences</t>
        </is>
      </c>
      <c r="F45" s="22" t="inlineStr">
        <is>
          <t>Southeast</t>
        </is>
      </c>
      <c r="G45" s="224" t="n">
        <v>1.046571428571429</v>
      </c>
      <c r="H45" s="225" t="n">
        <v>0.01414285714285714</v>
      </c>
      <c r="I45" s="22" t="inlineStr">
        <is>
          <t>Recurring</t>
        </is>
      </c>
      <c r="J45" s="226" t="n">
        <v>43282</v>
      </c>
      <c r="K45" s="22" t="n">
        <v>30</v>
      </c>
      <c r="L45" s="22" t="inlineStr">
        <is>
          <t>No</t>
        </is>
      </c>
      <c r="M45" s="22" t="inlineStr">
        <is>
          <t>Notice</t>
        </is>
      </c>
      <c r="N45" s="22" t="n">
        <v>7</v>
      </c>
      <c r="O45" s="22" t="inlineStr">
        <is>
          <t>Customer ledger / KS-DL-1.2</t>
        </is>
      </c>
    </row>
    <row r="46">
      <c r="A46" s="22" t="inlineStr">
        <is>
          <t>SM-019</t>
        </is>
      </c>
      <c r="B46" s="22" t="inlineStr">
        <is>
          <t>Northfield Foods 2 Account 19</t>
        </is>
      </c>
      <c r="C46" s="22" t="inlineStr">
        <is>
          <t>Northfield Foods 2</t>
        </is>
      </c>
      <c r="D46" s="22" t="inlineStr">
        <is>
          <t>Field Inspection</t>
        </is>
      </c>
      <c r="E46" s="22" t="inlineStr">
        <is>
          <t>Infrastructure and utilities</t>
        </is>
      </c>
      <c r="F46" s="22" t="inlineStr">
        <is>
          <t>Midwest</t>
        </is>
      </c>
      <c r="G46" s="224" t="n">
        <v>1.034564872985523</v>
      </c>
      <c r="H46" s="225" t="n">
        <v>0.01398060639169626</v>
      </c>
      <c r="I46" s="22" t="inlineStr">
        <is>
          <t>Repeat</t>
        </is>
      </c>
      <c r="J46" s="226" t="n">
        <v>43678</v>
      </c>
      <c r="K46" s="22" t="n">
        <v>60</v>
      </c>
      <c r="L46" s="22" t="inlineStr">
        <is>
          <t>No</t>
        </is>
      </c>
      <c r="M46" s="22" t="inlineStr">
        <is>
          <t>Notice</t>
        </is>
      </c>
      <c r="N46" s="22" t="n">
        <v>8</v>
      </c>
      <c r="O46" s="22" t="inlineStr">
        <is>
          <t>Customer ledger / KS-DL-1.2</t>
        </is>
      </c>
    </row>
    <row r="47">
      <c r="A47" s="22" t="inlineStr">
        <is>
          <t>SM-020</t>
        </is>
      </c>
      <c r="B47" s="22" t="inlineStr">
        <is>
          <t>Ironbridge Logistics 2 Account 20</t>
        </is>
      </c>
      <c r="C47" s="22" t="inlineStr">
        <is>
          <t>Ironbridge Logistics 2</t>
        </is>
      </c>
      <c r="D47" s="22" t="inlineStr">
        <is>
          <t>Permitting &amp; Advisory</t>
        </is>
      </c>
      <c r="E47" s="22" t="inlineStr">
        <is>
          <t>Municipal and public sector</t>
        </is>
      </c>
      <c r="F47" s="22" t="inlineStr">
        <is>
          <t>Southeast</t>
        </is>
      </c>
      <c r="G47" s="224" t="n">
        <v>1.022558317399618</v>
      </c>
      <c r="H47" s="225" t="n">
        <v>0.01381835564053538</v>
      </c>
      <c r="I47" s="22" t="inlineStr">
        <is>
          <t>Project</t>
        </is>
      </c>
      <c r="J47" s="226" t="n">
        <v>44075</v>
      </c>
      <c r="K47" s="22" t="n">
        <v>30</v>
      </c>
      <c r="L47" s="22" t="inlineStr">
        <is>
          <t>No</t>
        </is>
      </c>
      <c r="M47" s="22" t="inlineStr">
        <is>
          <t>None</t>
        </is>
      </c>
      <c r="N47" s="22" t="n">
        <v>9</v>
      </c>
      <c r="O47" s="22" t="inlineStr">
        <is>
          <t>Customer ledger / KS-DL-1.2</t>
        </is>
      </c>
    </row>
    <row r="48">
      <c r="A48" s="22" t="inlineStr">
        <is>
          <t>SM-021</t>
        </is>
      </c>
      <c r="B48" s="22" t="inlineStr">
        <is>
          <t>Cedar Municipal 2 Account 21</t>
        </is>
      </c>
      <c r="C48" s="22" t="inlineStr">
        <is>
          <t>Cedar Municipal 2</t>
        </is>
      </c>
      <c r="D48" s="22" t="inlineStr">
        <is>
          <t>EHS Compliance</t>
        </is>
      </c>
      <c r="E48" s="22" t="inlineStr">
        <is>
          <t>Industrial manufacturing</t>
        </is>
      </c>
      <c r="F48" s="22" t="inlineStr">
        <is>
          <t>Midwest</t>
        </is>
      </c>
      <c r="G48" s="224" t="n">
        <v>1.010551761813712</v>
      </c>
      <c r="H48" s="225" t="n">
        <v>0.01365610488937449</v>
      </c>
      <c r="I48" s="22" t="inlineStr">
        <is>
          <t>Recurring</t>
        </is>
      </c>
      <c r="J48" s="226" t="n">
        <v>44470</v>
      </c>
      <c r="K48" s="22" t="n">
        <v>60</v>
      </c>
      <c r="L48" s="22" t="inlineStr">
        <is>
          <t>No</t>
        </is>
      </c>
      <c r="M48" s="22" t="inlineStr">
        <is>
          <t>Notice</t>
        </is>
      </c>
      <c r="N48" s="22" t="n">
        <v>3</v>
      </c>
      <c r="O48" s="22" t="inlineStr">
        <is>
          <t>Customer ledger / KS-DL-1.2</t>
        </is>
      </c>
    </row>
    <row r="49">
      <c r="A49" s="22" t="inlineStr">
        <is>
          <t>SM-022</t>
        </is>
      </c>
      <c r="B49" s="22" t="inlineStr">
        <is>
          <t>Granite Bio 2 Account 22</t>
        </is>
      </c>
      <c r="C49" s="22" t="inlineStr">
        <is>
          <t>Granite Bio 2</t>
        </is>
      </c>
      <c r="D49" s="22" t="inlineStr">
        <is>
          <t>Industrial Hygiene</t>
        </is>
      </c>
      <c r="E49" s="22" t="inlineStr">
        <is>
          <t>Healthcare and life sciences</t>
        </is>
      </c>
      <c r="F49" s="22" t="inlineStr">
        <is>
          <t>Southeast</t>
        </is>
      </c>
      <c r="G49" s="224" t="n">
        <v>0.9985452062278067</v>
      </c>
      <c r="H49" s="225" t="n">
        <v>0.01349385413821361</v>
      </c>
      <c r="I49" s="22" t="inlineStr">
        <is>
          <t>Repeat</t>
        </is>
      </c>
      <c r="J49" s="226" t="n">
        <v>44866</v>
      </c>
      <c r="K49" s="22" t="n">
        <v>30</v>
      </c>
      <c r="L49" s="22" t="inlineStr">
        <is>
          <t>No</t>
        </is>
      </c>
      <c r="M49" s="22" t="inlineStr">
        <is>
          <t>Notice</t>
        </is>
      </c>
      <c r="N49" s="22" t="n">
        <v>4</v>
      </c>
      <c r="O49" s="22" t="inlineStr">
        <is>
          <t>Customer ledger / KS-DL-1.2</t>
        </is>
      </c>
    </row>
    <row r="50">
      <c r="A50" s="22" t="inlineStr">
        <is>
          <t>SM-023</t>
        </is>
      </c>
      <c r="B50" s="22" t="inlineStr">
        <is>
          <t>Oak Ridge Manufacturing 2 Account 23</t>
        </is>
      </c>
      <c r="C50" s="22" t="inlineStr">
        <is>
          <t>Oak Ridge Manufacturing 2</t>
        </is>
      </c>
      <c r="D50" s="22" t="inlineStr">
        <is>
          <t>Field Inspection</t>
        </is>
      </c>
      <c r="E50" s="22" t="inlineStr">
        <is>
          <t>Infrastructure and utilities</t>
        </is>
      </c>
      <c r="F50" s="22" t="inlineStr">
        <is>
          <t>Midwest</t>
        </is>
      </c>
      <c r="G50" s="224" t="n">
        <v>0.9865386506419013</v>
      </c>
      <c r="H50" s="225" t="n">
        <v>0.01333160338705272</v>
      </c>
      <c r="I50" s="22" t="inlineStr">
        <is>
          <t>Project</t>
        </is>
      </c>
      <c r="J50" s="226" t="n">
        <v>45261</v>
      </c>
      <c r="K50" s="22" t="n">
        <v>60</v>
      </c>
      <c r="L50" s="22" t="inlineStr">
        <is>
          <t>No</t>
        </is>
      </c>
      <c r="M50" s="22" t="inlineStr">
        <is>
          <t>Notice</t>
        </is>
      </c>
      <c r="N50" s="22" t="n">
        <v>5</v>
      </c>
      <c r="O50" s="22" t="inlineStr">
        <is>
          <t>Customer ledger / KS-DL-1.2</t>
        </is>
      </c>
    </row>
    <row r="51">
      <c r="A51" s="22" t="inlineStr">
        <is>
          <t>SM-024</t>
        </is>
      </c>
      <c r="B51" s="22" t="inlineStr">
        <is>
          <t>Summit Water 2 Account 24</t>
        </is>
      </c>
      <c r="C51" s="22" t="inlineStr">
        <is>
          <t>Summit Water 2</t>
        </is>
      </c>
      <c r="D51" s="22" t="inlineStr">
        <is>
          <t>Permitting &amp; Advisory</t>
        </is>
      </c>
      <c r="E51" s="22" t="inlineStr">
        <is>
          <t>Municipal and public sector</t>
        </is>
      </c>
      <c r="F51" s="22" t="inlineStr">
        <is>
          <t>Southeast</t>
        </is>
      </c>
      <c r="G51" s="224" t="n">
        <v>0.9745320950559957</v>
      </c>
      <c r="H51" s="225" t="n">
        <v>0.01316935263589183</v>
      </c>
      <c r="I51" s="22" t="inlineStr">
        <is>
          <t>Recurring</t>
        </is>
      </c>
      <c r="J51" s="226" t="n">
        <v>42370</v>
      </c>
      <c r="K51" s="22" t="n">
        <v>30</v>
      </c>
      <c r="L51" s="22" t="inlineStr">
        <is>
          <t>No</t>
        </is>
      </c>
      <c r="M51" s="22" t="inlineStr">
        <is>
          <t>None</t>
        </is>
      </c>
      <c r="N51" s="22" t="n">
        <v>6</v>
      </c>
      <c r="O51" s="22" t="inlineStr">
        <is>
          <t>Customer ledger / KS-DL-1.2</t>
        </is>
      </c>
    </row>
    <row r="52">
      <c r="A52" s="22" t="inlineStr">
        <is>
          <t>SM-025</t>
        </is>
      </c>
      <c r="B52" s="22" t="inlineStr">
        <is>
          <t>Keystone Health 2 Account 25</t>
        </is>
      </c>
      <c r="C52" s="22" t="inlineStr">
        <is>
          <t>Keystone Health 2</t>
        </is>
      </c>
      <c r="D52" s="22" t="inlineStr">
        <is>
          <t>EHS Compliance</t>
        </is>
      </c>
      <c r="E52" s="22" t="inlineStr">
        <is>
          <t>Industrial manufacturing</t>
        </is>
      </c>
      <c r="F52" s="22" t="inlineStr">
        <is>
          <t>Midwest</t>
        </is>
      </c>
      <c r="G52" s="224" t="n">
        <v>0.9625255394700902</v>
      </c>
      <c r="H52" s="225" t="n">
        <v>0.01300710188473095</v>
      </c>
      <c r="I52" s="22" t="inlineStr">
        <is>
          <t>Repeat</t>
        </is>
      </c>
      <c r="J52" s="226" t="n">
        <v>42767</v>
      </c>
      <c r="K52" s="22" t="n">
        <v>60</v>
      </c>
      <c r="L52" s="22" t="inlineStr">
        <is>
          <t>No</t>
        </is>
      </c>
      <c r="M52" s="22" t="inlineStr">
        <is>
          <t>Notice</t>
        </is>
      </c>
      <c r="N52" s="22" t="n">
        <v>7</v>
      </c>
      <c r="O52" s="22" t="inlineStr">
        <is>
          <t>Customer ledger / KS-DL-1.2</t>
        </is>
      </c>
    </row>
    <row r="53">
      <c r="A53" s="22" t="inlineStr">
        <is>
          <t>SM-026</t>
        </is>
      </c>
      <c r="B53" s="22" t="inlineStr">
        <is>
          <t>Lakefront Infrastructure 2 Account 26</t>
        </is>
      </c>
      <c r="C53" s="22" t="inlineStr">
        <is>
          <t>Lakefront Infrastructure 2</t>
        </is>
      </c>
      <c r="D53" s="22" t="inlineStr">
        <is>
          <t>Industrial Hygiene</t>
        </is>
      </c>
      <c r="E53" s="22" t="inlineStr">
        <is>
          <t>Healthcare and life sciences</t>
        </is>
      </c>
      <c r="F53" s="22" t="inlineStr">
        <is>
          <t>Southeast</t>
        </is>
      </c>
      <c r="G53" s="224" t="n">
        <v>0.9505189838841848</v>
      </c>
      <c r="H53" s="225" t="n">
        <v>0.01284485113357006</v>
      </c>
      <c r="I53" s="22" t="inlineStr">
        <is>
          <t>Project</t>
        </is>
      </c>
      <c r="J53" s="226" t="n">
        <v>43160</v>
      </c>
      <c r="K53" s="22" t="n">
        <v>30</v>
      </c>
      <c r="L53" s="22" t="inlineStr">
        <is>
          <t>No</t>
        </is>
      </c>
      <c r="M53" s="22" t="inlineStr">
        <is>
          <t>Notice</t>
        </is>
      </c>
      <c r="N53" s="22" t="n">
        <v>8</v>
      </c>
      <c r="O53" s="22" t="inlineStr">
        <is>
          <t>Customer ledger / KS-DL-1.2</t>
        </is>
      </c>
    </row>
    <row r="54">
      <c r="A54" s="22" t="inlineStr">
        <is>
          <t>SM-027</t>
        </is>
      </c>
      <c r="B54" s="22" t="inlineStr">
        <is>
          <t>Blue Ridge Metals 2 Account 27</t>
        </is>
      </c>
      <c r="C54" s="22" t="inlineStr">
        <is>
          <t>Blue Ridge Metals 2</t>
        </is>
      </c>
      <c r="D54" s="22" t="inlineStr">
        <is>
          <t>Field Inspection</t>
        </is>
      </c>
      <c r="E54" s="22" t="inlineStr">
        <is>
          <t>Infrastructure and utilities</t>
        </is>
      </c>
      <c r="F54" s="22" t="inlineStr">
        <is>
          <t>Midwest</t>
        </is>
      </c>
      <c r="G54" s="224" t="n">
        <v>0.9385124282982792</v>
      </c>
      <c r="H54" s="225" t="n">
        <v>0.01268260038240918</v>
      </c>
      <c r="I54" s="22" t="inlineStr">
        <is>
          <t>Recurring</t>
        </is>
      </c>
      <c r="J54" s="226" t="n">
        <v>43556</v>
      </c>
      <c r="K54" s="22" t="n">
        <v>60</v>
      </c>
      <c r="L54" s="22" t="inlineStr">
        <is>
          <t>No</t>
        </is>
      </c>
      <c r="M54" s="22" t="inlineStr">
        <is>
          <t>Notice</t>
        </is>
      </c>
      <c r="N54" s="22" t="n">
        <v>9</v>
      </c>
      <c r="O54" s="22" t="inlineStr">
        <is>
          <t>Customer ledger / KS-DL-1.2</t>
        </is>
      </c>
    </row>
    <row r="55">
      <c r="A55" s="22" t="inlineStr">
        <is>
          <t>SM-028</t>
        </is>
      </c>
      <c r="B55" s="22" t="inlineStr">
        <is>
          <t>Pioneer Components 2 Account 28</t>
        </is>
      </c>
      <c r="C55" s="22" t="inlineStr">
        <is>
          <t>Pioneer Components 2</t>
        </is>
      </c>
      <c r="D55" s="22" t="inlineStr">
        <is>
          <t>Permitting &amp; Advisory</t>
        </is>
      </c>
      <c r="E55" s="22" t="inlineStr">
        <is>
          <t>Municipal and public sector</t>
        </is>
      </c>
      <c r="F55" s="22" t="inlineStr">
        <is>
          <t>Southeast</t>
        </is>
      </c>
      <c r="G55" s="224" t="n">
        <v>0.9265058727123737</v>
      </c>
      <c r="H55" s="225" t="n">
        <v>0.01252034963124829</v>
      </c>
      <c r="I55" s="22" t="inlineStr">
        <is>
          <t>Repeat</t>
        </is>
      </c>
      <c r="J55" s="226" t="n">
        <v>43952</v>
      </c>
      <c r="K55" s="22" t="n">
        <v>30</v>
      </c>
      <c r="L55" s="22" t="inlineStr">
        <is>
          <t>No</t>
        </is>
      </c>
      <c r="M55" s="22" t="inlineStr">
        <is>
          <t>None</t>
        </is>
      </c>
      <c r="N55" s="22" t="n">
        <v>3</v>
      </c>
      <c r="O55" s="22" t="inlineStr">
        <is>
          <t>Customer ledger / KS-DL-1.2</t>
        </is>
      </c>
    </row>
    <row r="56">
      <c r="A56" s="22" t="inlineStr">
        <is>
          <t>SM-029</t>
        </is>
      </c>
      <c r="B56" s="22" t="inlineStr">
        <is>
          <t>Evergreen Chemicals 2 Account 29</t>
        </is>
      </c>
      <c r="C56" s="22" t="inlineStr">
        <is>
          <t>Evergreen Chemicals 2</t>
        </is>
      </c>
      <c r="D56" s="22" t="inlineStr">
        <is>
          <t>EHS Compliance</t>
        </is>
      </c>
      <c r="E56" s="22" t="inlineStr">
        <is>
          <t>Industrial manufacturing</t>
        </is>
      </c>
      <c r="F56" s="22" t="inlineStr">
        <is>
          <t>Midwest</t>
        </is>
      </c>
      <c r="G56" s="224" t="n">
        <v>0.9144993171264683</v>
      </c>
      <c r="H56" s="225" t="n">
        <v>0.01235809888008741</v>
      </c>
      <c r="I56" s="22" t="inlineStr">
        <is>
          <t>Project</t>
        </is>
      </c>
      <c r="J56" s="226" t="n">
        <v>44348</v>
      </c>
      <c r="K56" s="22" t="n">
        <v>60</v>
      </c>
      <c r="L56" s="22" t="inlineStr">
        <is>
          <t>No</t>
        </is>
      </c>
      <c r="M56" s="22" t="inlineStr">
        <is>
          <t>Notice</t>
        </is>
      </c>
      <c r="N56" s="22" t="n">
        <v>4</v>
      </c>
      <c r="O56" s="22" t="inlineStr">
        <is>
          <t>Customer ledger / KS-DL-1.2</t>
        </is>
      </c>
    </row>
    <row r="57">
      <c r="A57" s="22" t="inlineStr">
        <is>
          <t>SM-030</t>
        </is>
      </c>
      <c r="B57" s="22" t="inlineStr">
        <is>
          <t>Redwood Utilities 2 Account 30</t>
        </is>
      </c>
      <c r="C57" s="22" t="inlineStr">
        <is>
          <t>Redwood Utilities 2</t>
        </is>
      </c>
      <c r="D57" s="22" t="inlineStr">
        <is>
          <t>Industrial Hygiene</t>
        </is>
      </c>
      <c r="E57" s="22" t="inlineStr">
        <is>
          <t>Healthcare and life sciences</t>
        </is>
      </c>
      <c r="F57" s="22" t="inlineStr">
        <is>
          <t>Southeast</t>
        </is>
      </c>
      <c r="G57" s="224" t="n">
        <v>0.9024927615405627</v>
      </c>
      <c r="H57" s="225" t="n">
        <v>0.01219584812892652</v>
      </c>
      <c r="I57" s="22" t="inlineStr">
        <is>
          <t>Recurring</t>
        </is>
      </c>
      <c r="J57" s="226" t="n">
        <v>44743</v>
      </c>
      <c r="K57" s="22" t="n">
        <v>30</v>
      </c>
      <c r="L57" s="22" t="inlineStr">
        <is>
          <t>No</t>
        </is>
      </c>
      <c r="M57" s="22" t="inlineStr">
        <is>
          <t>Notice</t>
        </is>
      </c>
      <c r="N57" s="22" t="n">
        <v>5</v>
      </c>
      <c r="O57" s="22" t="inlineStr">
        <is>
          <t>Customer ledger / KS-DL-1.2</t>
        </is>
      </c>
    </row>
    <row r="58">
      <c r="A58" s="22" t="inlineStr">
        <is>
          <t>SM-031</t>
        </is>
      </c>
      <c r="B58" s="22" t="inlineStr">
        <is>
          <t>Silverline Medical 2 Account 31</t>
        </is>
      </c>
      <c r="C58" s="22" t="inlineStr">
        <is>
          <t>Silverline Medical 2</t>
        </is>
      </c>
      <c r="D58" s="22" t="inlineStr">
        <is>
          <t>Field Inspection</t>
        </is>
      </c>
      <c r="E58" s="22" t="inlineStr">
        <is>
          <t>Infrastructure and utilities</t>
        </is>
      </c>
      <c r="F58" s="22" t="inlineStr">
        <is>
          <t>Midwest</t>
        </is>
      </c>
      <c r="G58" s="224" t="n">
        <v>0.8904862059546573</v>
      </c>
      <c r="H58" s="225" t="n">
        <v>0.01203359737776564</v>
      </c>
      <c r="I58" s="22" t="inlineStr">
        <is>
          <t>Repeat</t>
        </is>
      </c>
      <c r="J58" s="226" t="n">
        <v>45139</v>
      </c>
      <c r="K58" s="22" t="n">
        <v>60</v>
      </c>
      <c r="L58" s="22" t="inlineStr">
        <is>
          <t>No</t>
        </is>
      </c>
      <c r="M58" s="22" t="inlineStr">
        <is>
          <t>Notice</t>
        </is>
      </c>
      <c r="N58" s="22" t="n">
        <v>6</v>
      </c>
      <c r="O58" s="22" t="inlineStr">
        <is>
          <t>Customer ledger / KS-DL-1.2</t>
        </is>
      </c>
    </row>
    <row r="59">
      <c r="A59" s="22" t="inlineStr">
        <is>
          <t>SM-032</t>
        </is>
      </c>
      <c r="B59" s="22" t="inlineStr">
        <is>
          <t>Prairie Public Works 2 Account 32</t>
        </is>
      </c>
      <c r="C59" s="22" t="inlineStr">
        <is>
          <t>Prairie Public Works 2</t>
        </is>
      </c>
      <c r="D59" s="22" t="inlineStr">
        <is>
          <t>Permitting &amp; Advisory</t>
        </is>
      </c>
      <c r="E59" s="22" t="inlineStr">
        <is>
          <t>Municipal and public sector</t>
        </is>
      </c>
      <c r="F59" s="22" t="inlineStr">
        <is>
          <t>Southeast</t>
        </is>
      </c>
      <c r="G59" s="224" t="n">
        <v>0.8784796503687519</v>
      </c>
      <c r="H59" s="225" t="n">
        <v>0.01187134662660476</v>
      </c>
      <c r="I59" s="22" t="inlineStr">
        <is>
          <t>Project</t>
        </is>
      </c>
      <c r="J59" s="226" t="n">
        <v>42614</v>
      </c>
      <c r="K59" s="22" t="n">
        <v>30</v>
      </c>
      <c r="L59" s="22" t="inlineStr">
        <is>
          <t>No</t>
        </is>
      </c>
      <c r="M59" s="22" t="inlineStr">
        <is>
          <t>None</t>
        </is>
      </c>
      <c r="N59" s="22" t="n">
        <v>7</v>
      </c>
      <c r="O59" s="22" t="inlineStr">
        <is>
          <t>Customer ledger / KS-DL-1.2</t>
        </is>
      </c>
    </row>
    <row r="60">
      <c r="A60" s="22" t="inlineStr">
        <is>
          <t>SM-033</t>
        </is>
      </c>
      <c r="B60" s="22" t="inlineStr">
        <is>
          <t>Atlas Manufacturing 2 Account 33</t>
        </is>
      </c>
      <c r="C60" s="22" t="inlineStr">
        <is>
          <t>Atlas Manufacturing 2</t>
        </is>
      </c>
      <c r="D60" s="22" t="inlineStr">
        <is>
          <t>EHS Compliance</t>
        </is>
      </c>
      <c r="E60" s="22" t="inlineStr">
        <is>
          <t>Industrial manufacturing</t>
        </is>
      </c>
      <c r="F60" s="22" t="inlineStr">
        <is>
          <t>Midwest</t>
        </is>
      </c>
      <c r="G60" s="224" t="n">
        <v>0.8664730947828463</v>
      </c>
      <c r="H60" s="225" t="n">
        <v>0.01170909587544387</v>
      </c>
      <c r="I60" s="22" t="inlineStr">
        <is>
          <t>Recurring</t>
        </is>
      </c>
      <c r="J60" s="226" t="n">
        <v>43009</v>
      </c>
      <c r="K60" s="22" t="n">
        <v>60</v>
      </c>
      <c r="L60" s="22" t="inlineStr">
        <is>
          <t>No</t>
        </is>
      </c>
      <c r="M60" s="22" t="inlineStr">
        <is>
          <t>Notice</t>
        </is>
      </c>
      <c r="N60" s="22" t="n">
        <v>8</v>
      </c>
      <c r="O60" s="22" t="inlineStr">
        <is>
          <t>Customer ledger / KS-DL-1.2</t>
        </is>
      </c>
    </row>
    <row r="61">
      <c r="A61" s="22" t="inlineStr">
        <is>
          <t>SM-034</t>
        </is>
      </c>
      <c r="B61" s="22" t="inlineStr">
        <is>
          <t>Cobalt Industries 2 Account 34</t>
        </is>
      </c>
      <c r="C61" s="22" t="inlineStr">
        <is>
          <t>Cobalt Industries 2</t>
        </is>
      </c>
      <c r="D61" s="22" t="inlineStr">
        <is>
          <t>Industrial Hygiene</t>
        </is>
      </c>
      <c r="E61" s="22" t="inlineStr">
        <is>
          <t>Healthcare and life sciences</t>
        </is>
      </c>
      <c r="F61" s="22" t="inlineStr">
        <is>
          <t>Southeast</t>
        </is>
      </c>
      <c r="G61" s="224" t="n">
        <v>0.8544665391969408</v>
      </c>
      <c r="H61" s="225" t="n">
        <v>0.01154684512428298</v>
      </c>
      <c r="I61" s="22" t="inlineStr">
        <is>
          <t>Repeat</t>
        </is>
      </c>
      <c r="J61" s="226" t="n">
        <v>43405</v>
      </c>
      <c r="K61" s="22" t="n">
        <v>30</v>
      </c>
      <c r="L61" s="22" t="inlineStr">
        <is>
          <t>No</t>
        </is>
      </c>
      <c r="M61" s="22" t="inlineStr">
        <is>
          <t>Notice</t>
        </is>
      </c>
      <c r="N61" s="22" t="n">
        <v>9</v>
      </c>
      <c r="O61" s="22" t="inlineStr">
        <is>
          <t>Customer ledger / KS-DL-1.2</t>
        </is>
      </c>
    </row>
    <row r="62">
      <c r="A62" s="22" t="inlineStr">
        <is>
          <t>SM-035</t>
        </is>
      </c>
      <c r="B62" s="22" t="inlineStr">
        <is>
          <t>Meridian Transit 2 Account 35</t>
        </is>
      </c>
      <c r="C62" s="22" t="inlineStr">
        <is>
          <t>Meridian Transit 2</t>
        </is>
      </c>
      <c r="D62" s="22" t="inlineStr">
        <is>
          <t>Field Inspection</t>
        </is>
      </c>
      <c r="E62" s="22" t="inlineStr">
        <is>
          <t>Infrastructure and utilities</t>
        </is>
      </c>
      <c r="F62" s="22" t="inlineStr">
        <is>
          <t>Midwest</t>
        </is>
      </c>
      <c r="G62" s="224" t="n">
        <v>0.8424599836110354</v>
      </c>
      <c r="H62" s="225" t="n">
        <v>0.0113845943731221</v>
      </c>
      <c r="I62" s="22" t="inlineStr">
        <is>
          <t>Project</t>
        </is>
      </c>
      <c r="J62" s="226" t="n">
        <v>43800</v>
      </c>
      <c r="K62" s="22" t="n">
        <v>60</v>
      </c>
      <c r="L62" s="22" t="inlineStr">
        <is>
          <t>No</t>
        </is>
      </c>
      <c r="M62" s="22" t="inlineStr">
        <is>
          <t>Notice</t>
        </is>
      </c>
      <c r="N62" s="22" t="n">
        <v>3</v>
      </c>
      <c r="O62" s="22" t="inlineStr">
        <is>
          <t>Customer ledger / KS-DL-1.2</t>
        </is>
      </c>
    </row>
    <row r="63"/>
    <row r="64" ht="20" customHeight="1">
      <c r="A64" s="39" t="inlineStr">
        <is>
          <t>Concentration Summary</t>
        </is>
      </c>
      <c r="B64" s="1" t="n"/>
      <c r="C64" s="1" t="n"/>
      <c r="D64" s="1" t="n"/>
      <c r="E64" s="1" t="n"/>
      <c r="F64" s="1" t="n"/>
    </row>
    <row r="65">
      <c r="A65" s="15" t="inlineStr">
        <is>
          <t>Metric</t>
        </is>
      </c>
      <c r="B65" s="15" t="inlineStr">
        <is>
          <t>Billing-account view</t>
        </is>
      </c>
      <c r="C65" s="15" t="inlineStr">
        <is>
          <t>Ultimate-parent view</t>
        </is>
      </c>
      <c r="D65" s="15" t="inlineStr">
        <is>
          <t>Ledger target</t>
        </is>
      </c>
      <c r="E65" s="15" t="inlineStr">
        <is>
          <t>Check</t>
        </is>
      </c>
      <c r="F65" s="15" t="str"/>
    </row>
    <row r="66">
      <c r="A66" t="inlineStr">
        <is>
          <t>Largest customer</t>
        </is>
      </c>
      <c r="B66" s="232" t="n">
        <v>0.076</v>
      </c>
      <c r="C66" s="232" t="n">
        <v>0.182</v>
      </c>
      <c r="D66" s="232" t="n">
        <v>0.182</v>
      </c>
      <c r="E66" t="inlineStr"/>
    </row>
    <row r="67">
      <c r="A67" t="inlineStr">
        <is>
          <t>Top five</t>
        </is>
      </c>
      <c r="B67" s="232" t="n">
        <v>0.214</v>
      </c>
      <c r="C67" s="232" t="n">
        <v>0.365</v>
      </c>
      <c r="D67" s="232" t="n">
        <v>0.365</v>
      </c>
      <c r="E67" t="inlineStr"/>
    </row>
    <row r="68">
      <c r="A68" t="inlineStr">
        <is>
          <t>Top ten</t>
        </is>
      </c>
      <c r="B68" s="232" t="n">
        <v>0.315</v>
      </c>
      <c r="C68" s="232" t="n">
        <v>0.505</v>
      </c>
      <c r="D68" s="232" t="n">
        <v>0.505</v>
      </c>
      <c r="E68" t="inlineStr"/>
    </row>
    <row r="69">
      <c r="A69" t="inlineStr">
        <is>
          <t>Total revenue</t>
        </is>
      </c>
      <c r="B69" s="233" t="n">
        <v>74</v>
      </c>
      <c r="C69" s="233" t="n">
        <v>74</v>
      </c>
      <c r="D69" s="233" t="n">
        <v>74</v>
      </c>
      <c r="E69" t="inlineStr"/>
    </row>
  </sheetData>
  <mergeCells count="2">
    <mergeCell ref="A1:O1"/>
    <mergeCell ref="A64:F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4" customWidth="1" min="18" max="18"/>
  </cols>
  <sheetData>
    <row r="1" ht="26" customHeight="1">
      <c r="A1" s="9" t="inlineStr">
        <is>
          <t>Project-Level Revenue, Margin, Backlog and Contract Schedule - FY2025A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/>
    <row r="3">
      <c r="A3" s="15" t="inlineStr">
        <is>
          <t>Project ID</t>
        </is>
      </c>
      <c r="B3" s="15" t="inlineStr">
        <is>
          <t>Billing Account ID</t>
        </is>
      </c>
      <c r="C3" s="15" t="inlineStr">
        <is>
          <t>Ultimate Parent</t>
        </is>
      </c>
      <c r="D3" s="15" t="inlineStr">
        <is>
          <t>Service Line</t>
        </is>
      </c>
      <c r="E3" s="15" t="inlineStr">
        <is>
          <t>Project Type</t>
        </is>
      </c>
      <c r="F3" s="15" t="inlineStr">
        <is>
          <t>Start Date</t>
        </is>
      </c>
      <c r="G3" s="15" t="inlineStr">
        <is>
          <t>End / Renewal Date</t>
        </is>
      </c>
      <c r="H3" s="15" t="inlineStr">
        <is>
          <t>2025 Revenue ($mm)</t>
        </is>
      </c>
      <c r="I3" s="15" t="inlineStr">
        <is>
          <t>Gross Margin %</t>
        </is>
      </c>
      <c r="J3" s="15" t="inlineStr">
        <is>
          <t>Unbilled WIP ($mm)</t>
        </is>
      </c>
      <c r="K3" s="15" t="inlineStr">
        <is>
          <t>WIP Age (days)</t>
        </is>
      </c>
      <c r="L3" s="15" t="inlineStr">
        <is>
          <t>Contracted Backlog ($mm)</t>
        </is>
      </c>
      <c r="M3" s="15" t="inlineStr">
        <is>
          <t>Expected Recurring Revenue ($mm)</t>
        </is>
      </c>
      <c r="N3" s="15" t="inlineStr">
        <is>
          <t>Termination Notice</t>
        </is>
      </c>
      <c r="O3" s="15" t="inlineStr">
        <is>
          <t>PO Required</t>
        </is>
      </c>
      <c r="P3" s="15" t="inlineStr">
        <is>
          <t>System</t>
        </is>
      </c>
      <c r="Q3" s="15" t="inlineStr">
        <is>
          <t>Branch</t>
        </is>
      </c>
      <c r="R3" s="15" t="inlineStr">
        <is>
          <t>Source</t>
        </is>
      </c>
    </row>
    <row r="4">
      <c r="A4" s="22" t="inlineStr">
        <is>
          <t>RIV-DEC-P1</t>
        </is>
      </c>
      <c r="B4" s="22" t="inlineStr">
        <is>
          <t>RIV-DEC</t>
        </is>
      </c>
      <c r="C4" s="22" t="inlineStr">
        <is>
          <t>Riverton Industrial Group</t>
        </is>
      </c>
      <c r="D4" s="22" t="inlineStr">
        <is>
          <t>EHS Compliance</t>
        </is>
      </c>
      <c r="E4" s="22" t="inlineStr">
        <is>
          <t>Repeat</t>
        </is>
      </c>
      <c r="F4" s="226" t="n">
        <v>45323</v>
      </c>
      <c r="G4" s="226" t="n">
        <v>46082</v>
      </c>
      <c r="H4" s="224" t="n">
        <v>1.617989441459315</v>
      </c>
      <c r="I4" s="225" t="n">
        <v>0.3072436286667543</v>
      </c>
      <c r="J4" s="224" t="n">
        <v>0.1080721489001866</v>
      </c>
      <c r="K4" s="22" t="n">
        <v>56</v>
      </c>
      <c r="L4" s="224" t="n">
        <v>0.7410374244851949</v>
      </c>
      <c r="M4" s="224" t="n">
        <v>0.4044973603648289</v>
      </c>
      <c r="N4" s="22" t="inlineStr">
        <is>
          <t>30-60 days</t>
        </is>
      </c>
      <c r="O4" s="22" t="inlineStr">
        <is>
          <t>Yes</t>
        </is>
      </c>
      <c r="P4" s="22" t="inlineStr">
        <is>
          <t>Central PSA</t>
        </is>
      </c>
      <c r="Q4" s="22" t="inlineStr">
        <is>
          <t>Charlotte</t>
        </is>
      </c>
      <c r="R4" s="22" t="inlineStr">
        <is>
          <t>Project ledger / data room</t>
        </is>
      </c>
    </row>
    <row r="5">
      <c r="A5" s="22" t="inlineStr">
        <is>
          <t>RIV-DEC-P2</t>
        </is>
      </c>
      <c r="B5" s="22" t="inlineStr">
        <is>
          <t>RIV-DEC</t>
        </is>
      </c>
      <c r="C5" s="22" t="inlineStr">
        <is>
          <t>Riverton Industrial Group</t>
        </is>
      </c>
      <c r="D5" s="22" t="inlineStr">
        <is>
          <t>EHS Compliance</t>
        </is>
      </c>
      <c r="E5" s="22" t="inlineStr">
        <is>
          <t>Repeat</t>
        </is>
      </c>
      <c r="F5" s="226" t="n">
        <v>45352</v>
      </c>
      <c r="G5" s="226" t="n">
        <v>46143</v>
      </c>
      <c r="H5" s="224" t="n">
        <v>0.7536988136097016</v>
      </c>
      <c r="I5" s="225" t="n">
        <v>0.350743573318942</v>
      </c>
      <c r="J5" s="224" t="n">
        <v>0.03156097420855</v>
      </c>
      <c r="K5" s="22" t="n">
        <v>63</v>
      </c>
      <c r="L5" s="224" t="n">
        <v>0.3541294753162741</v>
      </c>
      <c r="M5" s="224" t="n">
        <v>0.1884247034024254</v>
      </c>
      <c r="N5" s="22" t="inlineStr">
        <is>
          <t>30-60 days</t>
        </is>
      </c>
      <c r="O5" s="22" t="inlineStr">
        <is>
          <t>No</t>
        </is>
      </c>
      <c r="P5" s="22" t="inlineStr">
        <is>
          <t>Legacy A</t>
        </is>
      </c>
      <c r="Q5" s="22" t="inlineStr">
        <is>
          <t>Indianapolis</t>
        </is>
      </c>
      <c r="R5" s="22" t="inlineStr">
        <is>
          <t>Project ledger / data room</t>
        </is>
      </c>
    </row>
    <row r="6">
      <c r="A6" s="22" t="inlineStr">
        <is>
          <t>RIV-DEC-P3</t>
        </is>
      </c>
      <c r="B6" s="22" t="inlineStr">
        <is>
          <t>RIV-DEC</t>
        </is>
      </c>
      <c r="C6" s="22" t="inlineStr">
        <is>
          <t>Riverton Industrial Group</t>
        </is>
      </c>
      <c r="D6" s="22" t="inlineStr">
        <is>
          <t>EHS Compliance</t>
        </is>
      </c>
      <c r="E6" s="22" t="inlineStr">
        <is>
          <t>Repeat</t>
        </is>
      </c>
      <c r="F6" s="226" t="n">
        <v>45383</v>
      </c>
      <c r="G6" s="226" t="n">
        <v>46204</v>
      </c>
      <c r="H6" s="224" t="n">
        <v>3.252311744930983</v>
      </c>
      <c r="I6" s="225" t="n">
        <v>0.3090713013343865</v>
      </c>
      <c r="J6" s="224" t="n">
        <v>0.1991259070370781</v>
      </c>
      <c r="K6" s="22" t="n">
        <v>102</v>
      </c>
      <c r="L6" s="224" t="n">
        <v>1.703567270264875</v>
      </c>
      <c r="M6" s="224" t="n">
        <v>0.8130779362327457</v>
      </c>
      <c r="N6" s="22" t="inlineStr">
        <is>
          <t>30-60 days</t>
        </is>
      </c>
      <c r="O6" s="22" t="inlineStr">
        <is>
          <t>Yes</t>
        </is>
      </c>
      <c r="P6" s="22" t="inlineStr">
        <is>
          <t>Legacy B</t>
        </is>
      </c>
      <c r="Q6" s="22" t="inlineStr">
        <is>
          <t>Chicago</t>
        </is>
      </c>
      <c r="R6" s="22" t="inlineStr">
        <is>
          <t>Project ledger / data room</t>
        </is>
      </c>
    </row>
    <row r="7">
      <c r="A7" s="22" t="inlineStr">
        <is>
          <t>MET-N-P1</t>
        </is>
      </c>
      <c r="B7" s="22" t="inlineStr">
        <is>
          <t>MET-N</t>
        </is>
      </c>
      <c r="C7" s="22" t="inlineStr">
        <is>
          <t>Metro Utility Holdings</t>
        </is>
      </c>
      <c r="D7" s="22" t="inlineStr">
        <is>
          <t>Field Inspection</t>
        </is>
      </c>
      <c r="E7" s="22" t="inlineStr">
        <is>
          <t>Recurring</t>
        </is>
      </c>
      <c r="F7" s="226" t="n">
        <v>45323</v>
      </c>
      <c r="G7" s="226" t="n">
        <v>46082</v>
      </c>
      <c r="H7" s="224" t="n">
        <v>0.3972265250320613</v>
      </c>
      <c r="I7" s="225" t="n">
        <v>0.3577102948617499</v>
      </c>
      <c r="J7" s="224" t="n">
        <v>0.02376766132596236</v>
      </c>
      <c r="K7" s="22" t="n">
        <v>117</v>
      </c>
      <c r="L7" s="224" t="n">
        <v>0.1773944863612942</v>
      </c>
      <c r="M7" s="224" t="n">
        <v>0.1986132625160306</v>
      </c>
      <c r="N7" s="22" t="inlineStr">
        <is>
          <t>30-60 days</t>
        </is>
      </c>
      <c r="O7" s="22" t="inlineStr">
        <is>
          <t>Yes</t>
        </is>
      </c>
      <c r="P7" s="22" t="inlineStr">
        <is>
          <t>Legacy B</t>
        </is>
      </c>
      <c r="Q7" s="22" t="inlineStr">
        <is>
          <t>Indianapolis</t>
        </is>
      </c>
      <c r="R7" s="22" t="inlineStr">
        <is>
          <t>Project ledger / data room</t>
        </is>
      </c>
    </row>
    <row r="8">
      <c r="A8" s="22" t="inlineStr">
        <is>
          <t>MET-N-P2</t>
        </is>
      </c>
      <c r="B8" s="22" t="inlineStr">
        <is>
          <t>MET-N</t>
        </is>
      </c>
      <c r="C8" s="22" t="inlineStr">
        <is>
          <t>Metro Utility Holdings</t>
        </is>
      </c>
      <c r="D8" s="22" t="inlineStr">
        <is>
          <t>Field Inspection</t>
        </is>
      </c>
      <c r="E8" s="22" t="inlineStr">
        <is>
          <t>Recurring</t>
        </is>
      </c>
      <c r="F8" s="226" t="n">
        <v>45352</v>
      </c>
      <c r="G8" s="226" t="n">
        <v>46143</v>
      </c>
      <c r="H8" s="224" t="n">
        <v>1.116440936126835</v>
      </c>
      <c r="I8" s="225" t="n">
        <v>0.385846845904868</v>
      </c>
      <c r="J8" s="224" t="n">
        <v>0.06082422058223148</v>
      </c>
      <c r="K8" s="22" t="n">
        <v>34</v>
      </c>
      <c r="L8" s="224" t="n">
        <v>0.5780844509994227</v>
      </c>
      <c r="M8" s="224" t="n">
        <v>0.5582204680634176</v>
      </c>
      <c r="N8" s="22" t="inlineStr">
        <is>
          <t>30-60 days</t>
        </is>
      </c>
      <c r="O8" s="22" t="inlineStr">
        <is>
          <t>No</t>
        </is>
      </c>
      <c r="P8" s="22" t="inlineStr">
        <is>
          <t>Central PSA</t>
        </is>
      </c>
      <c r="Q8" s="22" t="inlineStr">
        <is>
          <t>Chicago</t>
        </is>
      </c>
      <c r="R8" s="22" t="inlineStr">
        <is>
          <t>Project ledger / data room</t>
        </is>
      </c>
    </row>
    <row r="9">
      <c r="A9" s="22" t="inlineStr">
        <is>
          <t>MET-N-P3</t>
        </is>
      </c>
      <c r="B9" s="22" t="inlineStr">
        <is>
          <t>MET-N</t>
        </is>
      </c>
      <c r="C9" s="22" t="inlineStr">
        <is>
          <t>Metro Utility Holdings</t>
        </is>
      </c>
      <c r="D9" s="22" t="inlineStr">
        <is>
          <t>Field Inspection</t>
        </is>
      </c>
      <c r="E9" s="22" t="inlineStr">
        <is>
          <t>Recurring</t>
        </is>
      </c>
      <c r="F9" s="226" t="n">
        <v>45383</v>
      </c>
      <c r="G9" s="226" t="n">
        <v>46204</v>
      </c>
      <c r="H9" s="224" t="n">
        <v>1.686332538841104</v>
      </c>
      <c r="I9" s="225" t="n">
        <v>0.3308481824101934</v>
      </c>
      <c r="J9" s="224" t="n">
        <v>0.1362663233131456</v>
      </c>
      <c r="K9" s="22" t="n">
        <v>38</v>
      </c>
      <c r="L9" s="224" t="n">
        <v>1.65530429611577</v>
      </c>
      <c r="M9" s="224" t="n">
        <v>0.843166269420552</v>
      </c>
      <c r="N9" s="22" t="inlineStr">
        <is>
          <t>30-60 days</t>
        </is>
      </c>
      <c r="O9" s="22" t="inlineStr">
        <is>
          <t>Yes</t>
        </is>
      </c>
      <c r="P9" s="22" t="inlineStr">
        <is>
          <t>Legacy A</t>
        </is>
      </c>
      <c r="Q9" s="22" t="inlineStr">
        <is>
          <t>Louisville</t>
        </is>
      </c>
      <c r="R9" s="22" t="inlineStr">
        <is>
          <t>Project ledger / data room</t>
        </is>
      </c>
    </row>
    <row r="10">
      <c r="A10" s="22" t="inlineStr">
        <is>
          <t>STA-01-P1</t>
        </is>
      </c>
      <c r="B10" s="22" t="inlineStr">
        <is>
          <t>STA-01</t>
        </is>
      </c>
      <c r="C10" s="22" t="inlineStr">
        <is>
          <t>State Infrastructure Authority</t>
        </is>
      </c>
      <c r="D10" s="22" t="inlineStr">
        <is>
          <t>Permitting &amp; Advisory</t>
        </is>
      </c>
      <c r="E10" s="22" t="inlineStr">
        <is>
          <t>Repeat</t>
        </is>
      </c>
      <c r="F10" s="226" t="n">
        <v>45323</v>
      </c>
      <c r="G10" s="226" t="n">
        <v>46082</v>
      </c>
      <c r="H10" s="224" t="n">
        <v>1.147462511097377</v>
      </c>
      <c r="I10" s="225" t="n">
        <v>0.3062788974973323</v>
      </c>
      <c r="J10" s="224" t="n">
        <v>0.04931800585158481</v>
      </c>
      <c r="K10" s="22" t="n">
        <v>40</v>
      </c>
      <c r="L10" s="224" t="n">
        <v>1.23971846621671</v>
      </c>
      <c r="M10" s="224" t="n">
        <v>0.2868656277743442</v>
      </c>
      <c r="N10" s="22" t="inlineStr">
        <is>
          <t>30-60 days</t>
        </is>
      </c>
      <c r="O10" s="22" t="inlineStr">
        <is>
          <t>Yes</t>
        </is>
      </c>
      <c r="P10" s="22" t="inlineStr">
        <is>
          <t>Legacy A</t>
        </is>
      </c>
      <c r="Q10" s="22" t="inlineStr">
        <is>
          <t>Nashville</t>
        </is>
      </c>
      <c r="R10" s="22" t="inlineStr">
        <is>
          <t>Project ledger / data room</t>
        </is>
      </c>
    </row>
    <row r="11">
      <c r="A11" s="22" t="inlineStr">
        <is>
          <t>STA-01-P2</t>
        </is>
      </c>
      <c r="B11" s="22" t="inlineStr">
        <is>
          <t>STA-01</t>
        </is>
      </c>
      <c r="C11" s="22" t="inlineStr">
        <is>
          <t>State Infrastructure Authority</t>
        </is>
      </c>
      <c r="D11" s="22" t="inlineStr">
        <is>
          <t>Permitting &amp; Advisory</t>
        </is>
      </c>
      <c r="E11" s="22" t="inlineStr">
        <is>
          <t>Repeat</t>
        </is>
      </c>
      <c r="F11" s="226" t="n">
        <v>45352</v>
      </c>
      <c r="G11" s="226" t="n">
        <v>46143</v>
      </c>
      <c r="H11" s="224" t="n">
        <v>0.6688107862567679</v>
      </c>
      <c r="I11" s="225" t="n">
        <v>0.3427592305669403</v>
      </c>
      <c r="J11" s="224" t="n">
        <v>0.03725768225127276</v>
      </c>
      <c r="K11" s="22" t="n">
        <v>78</v>
      </c>
      <c r="L11" s="224" t="n">
        <v>0.5706189135825285</v>
      </c>
      <c r="M11" s="224" t="n">
        <v>0.167202696564192</v>
      </c>
      <c r="N11" s="22" t="inlineStr">
        <is>
          <t>30-60 days</t>
        </is>
      </c>
      <c r="O11" s="22" t="inlineStr">
        <is>
          <t>No</t>
        </is>
      </c>
      <c r="P11" s="22" t="inlineStr">
        <is>
          <t>Legacy B</t>
        </is>
      </c>
      <c r="Q11" s="22" t="inlineStr">
        <is>
          <t>Raleigh</t>
        </is>
      </c>
      <c r="R11" s="22" t="inlineStr">
        <is>
          <t>Project ledger / data room</t>
        </is>
      </c>
    </row>
    <row r="12">
      <c r="A12" s="22" t="inlineStr">
        <is>
          <t>STA-01-P3</t>
        </is>
      </c>
      <c r="B12" s="22" t="inlineStr">
        <is>
          <t>STA-01</t>
        </is>
      </c>
      <c r="C12" s="22" t="inlineStr">
        <is>
          <t>State Infrastructure Authority</t>
        </is>
      </c>
      <c r="D12" s="22" t="inlineStr">
        <is>
          <t>Permitting &amp; Advisory</t>
        </is>
      </c>
      <c r="E12" s="22" t="inlineStr">
        <is>
          <t>Repeat</t>
        </is>
      </c>
      <c r="F12" s="226" t="n">
        <v>45383</v>
      </c>
      <c r="G12" s="226" t="n">
        <v>46204</v>
      </c>
      <c r="H12" s="224" t="n">
        <v>0.9837267026458552</v>
      </c>
      <c r="I12" s="225" t="n">
        <v>0.3299766996863682</v>
      </c>
      <c r="J12" s="224" t="n">
        <v>0.07842168350621642</v>
      </c>
      <c r="K12" s="22" t="n">
        <v>89</v>
      </c>
      <c r="L12" s="224" t="n">
        <v>0.6336149366784042</v>
      </c>
      <c r="M12" s="224" t="n">
        <v>0.2459316756614638</v>
      </c>
      <c r="N12" s="22" t="inlineStr">
        <is>
          <t>30-60 days</t>
        </is>
      </c>
      <c r="O12" s="22" t="inlineStr">
        <is>
          <t>Yes</t>
        </is>
      </c>
      <c r="P12" s="22" t="inlineStr">
        <is>
          <t>Central PSA</t>
        </is>
      </c>
      <c r="Q12" s="22" t="inlineStr">
        <is>
          <t>Charlotte</t>
        </is>
      </c>
      <c r="R12" s="22" t="inlineStr">
        <is>
          <t>Project ledger / data room</t>
        </is>
      </c>
    </row>
    <row r="13">
      <c r="A13" s="22" t="inlineStr">
        <is>
          <t>MED-01-P1</t>
        </is>
      </c>
      <c r="B13" s="22" t="inlineStr">
        <is>
          <t>MED-01</t>
        </is>
      </c>
      <c r="C13" s="22" t="inlineStr">
        <is>
          <t>MedCore Health</t>
        </is>
      </c>
      <c r="D13" s="22" t="inlineStr">
        <is>
          <t>Industrial Hygiene</t>
        </is>
      </c>
      <c r="E13" s="22" t="inlineStr">
        <is>
          <t>Recurring</t>
        </is>
      </c>
      <c r="F13" s="226" t="n">
        <v>45323</v>
      </c>
      <c r="G13" s="226" t="n">
        <v>46082</v>
      </c>
      <c r="H13" s="224" t="n">
        <v>0.669031206787094</v>
      </c>
      <c r="I13" s="225" t="n">
        <v>0.3729445289439218</v>
      </c>
      <c r="J13" s="224" t="n">
        <v>0.03639321578768676</v>
      </c>
      <c r="K13" s="22" t="n">
        <v>118</v>
      </c>
      <c r="L13" s="224" t="n">
        <v>0.3466021728210124</v>
      </c>
      <c r="M13" s="224" t="n">
        <v>0.334515603393547</v>
      </c>
      <c r="N13" s="22" t="inlineStr">
        <is>
          <t>30-60 days</t>
        </is>
      </c>
      <c r="O13" s="22" t="inlineStr">
        <is>
          <t>Yes</t>
        </is>
      </c>
      <c r="P13" s="22" t="inlineStr">
        <is>
          <t>Legacy B</t>
        </is>
      </c>
      <c r="Q13" s="22" t="inlineStr">
        <is>
          <t>Raleigh</t>
        </is>
      </c>
      <c r="R13" s="22" t="inlineStr">
        <is>
          <t>Project ledger / data room</t>
        </is>
      </c>
    </row>
    <row r="14">
      <c r="A14" s="22" t="inlineStr">
        <is>
          <t>MED-01-P2</t>
        </is>
      </c>
      <c r="B14" s="22" t="inlineStr">
        <is>
          <t>MED-01</t>
        </is>
      </c>
      <c r="C14" s="22" t="inlineStr">
        <is>
          <t>MedCore Health</t>
        </is>
      </c>
      <c r="D14" s="22" t="inlineStr">
        <is>
          <t>Industrial Hygiene</t>
        </is>
      </c>
      <c r="E14" s="22" t="inlineStr">
        <is>
          <t>Recurring</t>
        </is>
      </c>
      <c r="F14" s="226" t="n">
        <v>45352</v>
      </c>
      <c r="G14" s="226" t="n">
        <v>46143</v>
      </c>
      <c r="H14" s="224" t="n">
        <v>0.611696287026714</v>
      </c>
      <c r="I14" s="225" t="n">
        <v>0.3418122821785227</v>
      </c>
      <c r="J14" s="224" t="n">
        <v>0.04762486624961945</v>
      </c>
      <c r="K14" s="22" t="n">
        <v>35</v>
      </c>
      <c r="L14" s="224" t="n">
        <v>0.5437754278648059</v>
      </c>
      <c r="M14" s="224" t="n">
        <v>0.305848143513357</v>
      </c>
      <c r="N14" s="22" t="inlineStr">
        <is>
          <t>30-60 days</t>
        </is>
      </c>
      <c r="O14" s="22" t="inlineStr">
        <is>
          <t>No</t>
        </is>
      </c>
      <c r="P14" s="22" t="inlineStr">
        <is>
          <t>Central PSA</t>
        </is>
      </c>
      <c r="Q14" s="22" t="inlineStr">
        <is>
          <t>Charlotte</t>
        </is>
      </c>
      <c r="R14" s="22" t="inlineStr">
        <is>
          <t>Project ledger / data room</t>
        </is>
      </c>
    </row>
    <row r="15">
      <c r="A15" s="22" t="inlineStr">
        <is>
          <t>MED-01-P3</t>
        </is>
      </c>
      <c r="B15" s="22" t="inlineStr">
        <is>
          <t>MED-01</t>
        </is>
      </c>
      <c r="C15" s="22" t="inlineStr">
        <is>
          <t>MedCore Health</t>
        </is>
      </c>
      <c r="D15" s="22" t="inlineStr">
        <is>
          <t>Industrial Hygiene</t>
        </is>
      </c>
      <c r="E15" s="22" t="inlineStr">
        <is>
          <t>Recurring</t>
        </is>
      </c>
      <c r="F15" s="226" t="n">
        <v>45383</v>
      </c>
      <c r="G15" s="226" t="n">
        <v>46204</v>
      </c>
      <c r="H15" s="224" t="n">
        <v>1.019272506186192</v>
      </c>
      <c r="I15" s="225" t="n">
        <v>0.3039207257047438</v>
      </c>
      <c r="J15" s="224" t="n">
        <v>0.07482560278560595</v>
      </c>
      <c r="K15" s="22" t="n">
        <v>96</v>
      </c>
      <c r="L15" s="224" t="n">
        <v>0.9917785887307048</v>
      </c>
      <c r="M15" s="224" t="n">
        <v>0.5096362530930958</v>
      </c>
      <c r="N15" s="22" t="inlineStr">
        <is>
          <t>30-60 days</t>
        </is>
      </c>
      <c r="O15" s="22" t="inlineStr">
        <is>
          <t>Yes</t>
        </is>
      </c>
      <c r="P15" s="22" t="inlineStr">
        <is>
          <t>Legacy A</t>
        </is>
      </c>
      <c r="Q15" s="22" t="inlineStr">
        <is>
          <t>Indianapolis</t>
        </is>
      </c>
      <c r="R15" s="22" t="inlineStr">
        <is>
          <t>Project ledger / data room</t>
        </is>
      </c>
    </row>
    <row r="16">
      <c r="A16" s="22" t="inlineStr">
        <is>
          <t>RIV-CORP-P1</t>
        </is>
      </c>
      <c r="B16" s="22" t="inlineStr">
        <is>
          <t>RIV-CORP</t>
        </is>
      </c>
      <c r="C16" s="22" t="inlineStr">
        <is>
          <t>Riverton Industrial Group</t>
        </is>
      </c>
      <c r="D16" s="22" t="inlineStr">
        <is>
          <t>EHS Compliance</t>
        </is>
      </c>
      <c r="E16" s="22" t="inlineStr">
        <is>
          <t>Recurring</t>
        </is>
      </c>
      <c r="F16" s="226" t="n">
        <v>45323</v>
      </c>
      <c r="G16" s="226" t="n">
        <v>46082</v>
      </c>
      <c r="H16" s="224" t="n">
        <v>1.407566372396676</v>
      </c>
      <c r="I16" s="225" t="n">
        <v>0.3695295366273659</v>
      </c>
      <c r="J16" s="224" t="n">
        <v>0.09813340748479549</v>
      </c>
      <c r="K16" s="22" t="n">
        <v>77</v>
      </c>
      <c r="L16" s="224" t="n">
        <v>1.205165832206624</v>
      </c>
      <c r="M16" s="224" t="n">
        <v>0.703783186198338</v>
      </c>
      <c r="N16" s="22" t="inlineStr">
        <is>
          <t>30-60 days</t>
        </is>
      </c>
      <c r="O16" s="22" t="inlineStr">
        <is>
          <t>Yes</t>
        </is>
      </c>
      <c r="P16" s="22" t="inlineStr">
        <is>
          <t>Legacy B</t>
        </is>
      </c>
      <c r="Q16" s="22" t="inlineStr">
        <is>
          <t>Charlotte</t>
        </is>
      </c>
      <c r="R16" s="22" t="inlineStr">
        <is>
          <t>Project ledger / data room</t>
        </is>
      </c>
    </row>
    <row r="17">
      <c r="A17" s="22" t="inlineStr">
        <is>
          <t>RIV-CORP-P2</t>
        </is>
      </c>
      <c r="B17" s="22" t="inlineStr">
        <is>
          <t>RIV-CORP</t>
        </is>
      </c>
      <c r="C17" s="22" t="inlineStr">
        <is>
          <t>Riverton Industrial Group</t>
        </is>
      </c>
      <c r="D17" s="22" t="inlineStr">
        <is>
          <t>EHS Compliance</t>
        </is>
      </c>
      <c r="E17" s="22" t="inlineStr">
        <is>
          <t>Recurring</t>
        </is>
      </c>
      <c r="F17" s="226" t="n">
        <v>45352</v>
      </c>
      <c r="G17" s="226" t="n">
        <v>46143</v>
      </c>
      <c r="H17" s="224" t="n">
        <v>0.5044336276033238</v>
      </c>
      <c r="I17" s="225" t="n">
        <v>0.3839967780512542</v>
      </c>
      <c r="J17" s="224" t="n">
        <v>0.04400379069081183</v>
      </c>
      <c r="K17" s="22" t="n">
        <v>67</v>
      </c>
      <c r="L17" s="224" t="n">
        <v>0.5367941573296677</v>
      </c>
      <c r="M17" s="224" t="n">
        <v>0.2522168138016619</v>
      </c>
      <c r="N17" s="22" t="inlineStr">
        <is>
          <t>30-60 days</t>
        </is>
      </c>
      <c r="O17" s="22" t="inlineStr">
        <is>
          <t>No</t>
        </is>
      </c>
      <c r="P17" s="22" t="inlineStr">
        <is>
          <t>Central PSA</t>
        </is>
      </c>
      <c r="Q17" s="22" t="inlineStr">
        <is>
          <t>Indianapolis</t>
        </is>
      </c>
      <c r="R17" s="22" t="inlineStr">
        <is>
          <t>Project ledger / data room</t>
        </is>
      </c>
    </row>
    <row r="18">
      <c r="A18" s="22" t="inlineStr">
        <is>
          <t>BIO-01-P1</t>
        </is>
      </c>
      <c r="B18" s="22" t="inlineStr">
        <is>
          <t>BIO-01</t>
        </is>
      </c>
      <c r="C18" s="22" t="inlineStr">
        <is>
          <t>BioHealth Laboratories</t>
        </is>
      </c>
      <c r="D18" s="22" t="inlineStr">
        <is>
          <t>Industrial Hygiene</t>
        </is>
      </c>
      <c r="E18" s="22" t="inlineStr">
        <is>
          <t>Recurring</t>
        </is>
      </c>
      <c r="F18" s="226" t="n">
        <v>45323</v>
      </c>
      <c r="G18" s="226" t="n">
        <v>46082</v>
      </c>
      <c r="H18" s="224" t="n">
        <v>0.1353230697562918</v>
      </c>
      <c r="I18" s="225" t="n">
        <v>0.3647128854527669</v>
      </c>
      <c r="J18" s="224" t="n">
        <v>0.01213236234480834</v>
      </c>
      <c r="K18" s="22" t="n">
        <v>102</v>
      </c>
      <c r="L18" s="224" t="n">
        <v>0.09264156894442224</v>
      </c>
      <c r="M18" s="224" t="n">
        <v>0.06766153487814588</v>
      </c>
      <c r="N18" s="22" t="inlineStr">
        <is>
          <t>30-60 days</t>
        </is>
      </c>
      <c r="O18" s="22" t="inlineStr">
        <is>
          <t>Yes</t>
        </is>
      </c>
      <c r="P18" s="22" t="inlineStr">
        <is>
          <t>Legacy B</t>
        </is>
      </c>
      <c r="Q18" s="22" t="inlineStr">
        <is>
          <t>Indianapolis</t>
        </is>
      </c>
      <c r="R18" s="22" t="inlineStr">
        <is>
          <t>Project ledger / data room</t>
        </is>
      </c>
    </row>
    <row r="19">
      <c r="A19" s="22" t="inlineStr">
        <is>
          <t>BIO-01-P2</t>
        </is>
      </c>
      <c r="B19" s="22" t="inlineStr">
        <is>
          <t>BIO-01</t>
        </is>
      </c>
      <c r="C19" s="22" t="inlineStr">
        <is>
          <t>BioHealth Laboratories</t>
        </is>
      </c>
      <c r="D19" s="22" t="inlineStr">
        <is>
          <t>Industrial Hygiene</t>
        </is>
      </c>
      <c r="E19" s="22" t="inlineStr">
        <is>
          <t>Recurring</t>
        </is>
      </c>
      <c r="F19" s="226" t="n">
        <v>45352</v>
      </c>
      <c r="G19" s="226" t="n">
        <v>46143</v>
      </c>
      <c r="H19" s="224" t="n">
        <v>1.564676930243708</v>
      </c>
      <c r="I19" s="225" t="n">
        <v>0.3385791442446711</v>
      </c>
      <c r="J19" s="224" t="n">
        <v>0.1148983511541878</v>
      </c>
      <c r="K19" s="22" t="n">
        <v>22</v>
      </c>
      <c r="L19" s="224" t="n">
        <v>1.348274735372991</v>
      </c>
      <c r="M19" s="224" t="n">
        <v>0.7823384651218541</v>
      </c>
      <c r="N19" s="22" t="inlineStr">
        <is>
          <t>30-60 days</t>
        </is>
      </c>
      <c r="O19" s="22" t="inlineStr">
        <is>
          <t>No</t>
        </is>
      </c>
      <c r="P19" s="22" t="inlineStr">
        <is>
          <t>Central PSA</t>
        </is>
      </c>
      <c r="Q19" s="22" t="inlineStr">
        <is>
          <t>Chicago</t>
        </is>
      </c>
      <c r="R19" s="22" t="inlineStr">
        <is>
          <t>Project ledger / data room</t>
        </is>
      </c>
    </row>
    <row r="20">
      <c r="A20" s="22" t="inlineStr">
        <is>
          <t>APX-01-P1</t>
        </is>
      </c>
      <c r="B20" s="22" t="inlineStr">
        <is>
          <t>APX-01</t>
        </is>
      </c>
      <c r="C20" s="22" t="inlineStr">
        <is>
          <t>Apex Manufacturing</t>
        </is>
      </c>
      <c r="D20" s="22" t="inlineStr">
        <is>
          <t>EHS Compliance</t>
        </is>
      </c>
      <c r="E20" s="22" t="inlineStr">
        <is>
          <t>Repeat</t>
        </is>
      </c>
      <c r="F20" s="226" t="n">
        <v>45323</v>
      </c>
      <c r="G20" s="226" t="n">
        <v>46082</v>
      </c>
      <c r="H20" s="224" t="n">
        <v>0.9429524827931344</v>
      </c>
      <c r="I20" s="225" t="n">
        <v>0.305895441933131</v>
      </c>
      <c r="J20" s="224" t="n">
        <v>0.07393845950391303</v>
      </c>
      <c r="K20" s="22" t="n">
        <v>32</v>
      </c>
      <c r="L20" s="224" t="n">
        <v>0.6106700153281681</v>
      </c>
      <c r="M20" s="224" t="n">
        <v>0.2357381206982836</v>
      </c>
      <c r="N20" s="22" t="inlineStr">
        <is>
          <t>30-60 days</t>
        </is>
      </c>
      <c r="O20" s="22" t="inlineStr">
        <is>
          <t>Yes</t>
        </is>
      </c>
      <c r="P20" s="22" t="inlineStr">
        <is>
          <t>Legacy B</t>
        </is>
      </c>
      <c r="Q20" s="22" t="inlineStr">
        <is>
          <t>Charlotte</t>
        </is>
      </c>
      <c r="R20" s="22" t="inlineStr">
        <is>
          <t>Project ledger / data room</t>
        </is>
      </c>
    </row>
    <row r="21">
      <c r="A21" s="22" t="inlineStr">
        <is>
          <t>APX-01-P2</t>
        </is>
      </c>
      <c r="B21" s="22" t="inlineStr">
        <is>
          <t>APX-01</t>
        </is>
      </c>
      <c r="C21" s="22" t="inlineStr">
        <is>
          <t>Apex Manufacturing</t>
        </is>
      </c>
      <c r="D21" s="22" t="inlineStr">
        <is>
          <t>EHS Compliance</t>
        </is>
      </c>
      <c r="E21" s="22" t="inlineStr">
        <is>
          <t>Repeat</t>
        </is>
      </c>
      <c r="F21" s="226" t="n">
        <v>45352</v>
      </c>
      <c r="G21" s="226" t="n">
        <v>46143</v>
      </c>
      <c r="H21" s="224" t="n">
        <v>0.6570475172068657</v>
      </c>
      <c r="I21" s="225" t="n">
        <v>0.3390949703133227</v>
      </c>
      <c r="J21" s="224" t="n">
        <v>0.05491018291523416</v>
      </c>
      <c r="K21" s="22" t="n">
        <v>28</v>
      </c>
      <c r="L21" s="224" t="n">
        <v>0.5579564734371091</v>
      </c>
      <c r="M21" s="224" t="n">
        <v>0.1642618793017164</v>
      </c>
      <c r="N21" s="22" t="inlineStr">
        <is>
          <t>30-60 days</t>
        </is>
      </c>
      <c r="O21" s="22" t="inlineStr">
        <is>
          <t>No</t>
        </is>
      </c>
      <c r="P21" s="22" t="inlineStr">
        <is>
          <t>Central PSA</t>
        </is>
      </c>
      <c r="Q21" s="22" t="inlineStr">
        <is>
          <t>Indianapolis</t>
        </is>
      </c>
      <c r="R21" s="22" t="inlineStr">
        <is>
          <t>Project ledger / data room</t>
        </is>
      </c>
    </row>
    <row r="22">
      <c r="A22" s="22" t="inlineStr">
        <is>
          <t>RIV-GRN-P1</t>
        </is>
      </c>
      <c r="B22" s="22" t="inlineStr">
        <is>
          <t>RIV-GRN</t>
        </is>
      </c>
      <c r="C22" s="22" t="inlineStr">
        <is>
          <t>Riverton Industrial Group</t>
        </is>
      </c>
      <c r="D22" s="22" t="inlineStr">
        <is>
          <t>Field Inspection</t>
        </is>
      </c>
      <c r="E22" s="22" t="inlineStr">
        <is>
          <t>Repeat</t>
        </is>
      </c>
      <c r="F22" s="226" t="n">
        <v>45323</v>
      </c>
      <c r="G22" s="226" t="n">
        <v>46082</v>
      </c>
      <c r="H22" s="224" t="n">
        <v>0.5751997564300874</v>
      </c>
      <c r="I22" s="225" t="n">
        <v>0.3819279837835741</v>
      </c>
      <c r="J22" s="224" t="n">
        <v>0.0478561730837017</v>
      </c>
      <c r="K22" s="22" t="n">
        <v>47</v>
      </c>
      <c r="L22" s="224" t="n">
        <v>0.4689583581184676</v>
      </c>
      <c r="M22" s="224" t="n">
        <v>0.1437999391075218</v>
      </c>
      <c r="N22" s="22" t="inlineStr">
        <is>
          <t>30-60 days</t>
        </is>
      </c>
      <c r="O22" s="22" t="inlineStr">
        <is>
          <t>Yes</t>
        </is>
      </c>
      <c r="P22" s="22" t="inlineStr">
        <is>
          <t>Central PSA</t>
        </is>
      </c>
      <c r="Q22" s="22" t="inlineStr">
        <is>
          <t>Charlotte</t>
        </is>
      </c>
      <c r="R22" s="22" t="inlineStr">
        <is>
          <t>Project ledger / data room</t>
        </is>
      </c>
    </row>
    <row r="23">
      <c r="A23" s="22" t="inlineStr">
        <is>
          <t>RIV-GRN-P2</t>
        </is>
      </c>
      <c r="B23" s="22" t="inlineStr">
        <is>
          <t>RIV-GRN</t>
        </is>
      </c>
      <c r="C23" s="22" t="inlineStr">
        <is>
          <t>Riverton Industrial Group</t>
        </is>
      </c>
      <c r="D23" s="22" t="inlineStr">
        <is>
          <t>Field Inspection</t>
        </is>
      </c>
      <c r="E23" s="22" t="inlineStr">
        <is>
          <t>Repeat</t>
        </is>
      </c>
      <c r="F23" s="226" t="n">
        <v>45352</v>
      </c>
      <c r="G23" s="226" t="n">
        <v>46143</v>
      </c>
      <c r="H23" s="224" t="n">
        <v>0.9248002435699127</v>
      </c>
      <c r="I23" s="225" t="n">
        <v>0.3358771165331625</v>
      </c>
      <c r="J23" s="224" t="n">
        <v>0.07787709684058056</v>
      </c>
      <c r="K23" s="22" t="n">
        <v>115</v>
      </c>
      <c r="L23" s="224" t="n">
        <v>0.5094917878633746</v>
      </c>
      <c r="M23" s="224" t="n">
        <v>0.2312000608924782</v>
      </c>
      <c r="N23" s="22" t="inlineStr">
        <is>
          <t>30-60 days</t>
        </is>
      </c>
      <c r="O23" s="22" t="inlineStr">
        <is>
          <t>No</t>
        </is>
      </c>
      <c r="P23" s="22" t="inlineStr">
        <is>
          <t>Legacy A</t>
        </is>
      </c>
      <c r="Q23" s="22" t="inlineStr">
        <is>
          <t>Indianapolis</t>
        </is>
      </c>
      <c r="R23" s="22" t="inlineStr">
        <is>
          <t>Project ledger / data room</t>
        </is>
      </c>
    </row>
    <row r="24">
      <c r="A24" s="22" t="inlineStr">
        <is>
          <t>MET-S-P1</t>
        </is>
      </c>
      <c r="B24" s="22" t="inlineStr">
        <is>
          <t>MET-S</t>
        </is>
      </c>
      <c r="C24" s="22" t="inlineStr">
        <is>
          <t>Metro Utility Holdings</t>
        </is>
      </c>
      <c r="D24" s="22" t="inlineStr">
        <is>
          <t>Field Inspection</t>
        </is>
      </c>
      <c r="E24" s="22" t="inlineStr">
        <is>
          <t>Recurring</t>
        </is>
      </c>
      <c r="F24" s="226" t="n">
        <v>45323</v>
      </c>
      <c r="G24" s="226" t="n">
        <v>46082</v>
      </c>
      <c r="H24" s="224" t="n">
        <v>0.6044100312005163</v>
      </c>
      <c r="I24" s="225" t="n">
        <v>0.3233336083680861</v>
      </c>
      <c r="J24" s="224" t="n">
        <v>0.038832218196856</v>
      </c>
      <c r="K24" s="22" t="n">
        <v>78</v>
      </c>
      <c r="L24" s="224" t="n">
        <v>0.400570704848266</v>
      </c>
      <c r="M24" s="224" t="n">
        <v>0.3022050156002581</v>
      </c>
      <c r="N24" s="22" t="inlineStr">
        <is>
          <t>30-60 days</t>
        </is>
      </c>
      <c r="O24" s="22" t="inlineStr">
        <is>
          <t>Yes</t>
        </is>
      </c>
      <c r="P24" s="22" t="inlineStr">
        <is>
          <t>Central PSA</t>
        </is>
      </c>
      <c r="Q24" s="22" t="inlineStr">
        <is>
          <t>Indianapolis</t>
        </is>
      </c>
      <c r="R24" s="22" t="inlineStr">
        <is>
          <t>Project ledger / data room</t>
        </is>
      </c>
    </row>
    <row r="25">
      <c r="A25" s="22" t="inlineStr">
        <is>
          <t>MET-S-P2</t>
        </is>
      </c>
      <c r="B25" s="22" t="inlineStr">
        <is>
          <t>MET-S</t>
        </is>
      </c>
      <c r="C25" s="22" t="inlineStr">
        <is>
          <t>Metro Utility Holdings</t>
        </is>
      </c>
      <c r="D25" s="22" t="inlineStr">
        <is>
          <t>Field Inspection</t>
        </is>
      </c>
      <c r="E25" s="22" t="inlineStr">
        <is>
          <t>Recurring</t>
        </is>
      </c>
      <c r="F25" s="226" t="n">
        <v>45352</v>
      </c>
      <c r="G25" s="226" t="n">
        <v>46143</v>
      </c>
      <c r="H25" s="224" t="n">
        <v>0.7955899687994836</v>
      </c>
      <c r="I25" s="225" t="n">
        <v>0.3004093603385064</v>
      </c>
      <c r="J25" s="224" t="n">
        <v>0.04848908043992697</v>
      </c>
      <c r="K25" s="22" t="n">
        <v>56</v>
      </c>
      <c r="L25" s="224" t="n">
        <v>0.7688113840182232</v>
      </c>
      <c r="M25" s="224" t="n">
        <v>0.3977949843997418</v>
      </c>
      <c r="N25" s="22" t="inlineStr">
        <is>
          <t>30-60 days</t>
        </is>
      </c>
      <c r="O25" s="22" t="inlineStr">
        <is>
          <t>No</t>
        </is>
      </c>
      <c r="P25" s="22" t="inlineStr">
        <is>
          <t>Legacy A</t>
        </is>
      </c>
      <c r="Q25" s="22" t="inlineStr">
        <is>
          <t>Chicago</t>
        </is>
      </c>
      <c r="R25" s="22" t="inlineStr">
        <is>
          <t>Project ledger / data room</t>
        </is>
      </c>
    </row>
    <row r="26">
      <c r="A26" s="22" t="inlineStr">
        <is>
          <t>STA-02-P1</t>
        </is>
      </c>
      <c r="B26" s="22" t="inlineStr">
        <is>
          <t>STA-02</t>
        </is>
      </c>
      <c r="C26" s="22" t="inlineStr">
        <is>
          <t>State Infrastructure Authority</t>
        </is>
      </c>
      <c r="D26" s="22" t="inlineStr">
        <is>
          <t>Permitting &amp; Advisory</t>
        </is>
      </c>
      <c r="E26" s="22" t="inlineStr">
        <is>
          <t>Repeat</t>
        </is>
      </c>
      <c r="F26" s="226" t="n">
        <v>45323</v>
      </c>
      <c r="G26" s="226" t="n">
        <v>46082</v>
      </c>
      <c r="H26" s="224" t="n">
        <v>0.7387764514789211</v>
      </c>
      <c r="I26" s="225" t="n">
        <v>0.3515491433070778</v>
      </c>
      <c r="J26" s="224" t="n">
        <v>0.05236420705253614</v>
      </c>
      <c r="K26" s="22" t="n">
        <v>87</v>
      </c>
      <c r="L26" s="224" t="n">
        <v>0.3353992586525205</v>
      </c>
      <c r="M26" s="224" t="n">
        <v>0.1846941128697303</v>
      </c>
      <c r="N26" s="22" t="inlineStr">
        <is>
          <t>30-60 days</t>
        </is>
      </c>
      <c r="O26" s="22" t="inlineStr">
        <is>
          <t>Yes</t>
        </is>
      </c>
      <c r="P26" s="22" t="inlineStr">
        <is>
          <t>Legacy A</t>
        </is>
      </c>
      <c r="Q26" s="22" t="inlineStr">
        <is>
          <t>Nashville</t>
        </is>
      </c>
      <c r="R26" s="22" t="inlineStr">
        <is>
          <t>Project ledger / data room</t>
        </is>
      </c>
    </row>
    <row r="27">
      <c r="A27" s="22" t="inlineStr">
        <is>
          <t>STA-02-P2</t>
        </is>
      </c>
      <c r="B27" s="22" t="inlineStr">
        <is>
          <t>STA-02</t>
        </is>
      </c>
      <c r="C27" s="22" t="inlineStr">
        <is>
          <t>State Infrastructure Authority</t>
        </is>
      </c>
      <c r="D27" s="22" t="inlineStr">
        <is>
          <t>Permitting &amp; Advisory</t>
        </is>
      </c>
      <c r="E27" s="22" t="inlineStr">
        <is>
          <t>Repeat</t>
        </is>
      </c>
      <c r="F27" s="226" t="n">
        <v>45352</v>
      </c>
      <c r="G27" s="226" t="n">
        <v>46143</v>
      </c>
      <c r="H27" s="224" t="n">
        <v>0.5352235485210789</v>
      </c>
      <c r="I27" s="225" t="n">
        <v>0.3899533010057952</v>
      </c>
      <c r="J27" s="224" t="n">
        <v>0.0422818438685373</v>
      </c>
      <c r="K27" s="22" t="n">
        <v>107</v>
      </c>
      <c r="L27" s="224" t="n">
        <v>0.6411299026048465</v>
      </c>
      <c r="M27" s="224" t="n">
        <v>0.1338058871302697</v>
      </c>
      <c r="N27" s="22" t="inlineStr">
        <is>
          <t>30-60 days</t>
        </is>
      </c>
      <c r="O27" s="22" t="inlineStr">
        <is>
          <t>No</t>
        </is>
      </c>
      <c r="P27" s="22" t="inlineStr">
        <is>
          <t>Legacy B</t>
        </is>
      </c>
      <c r="Q27" s="22" t="inlineStr">
        <is>
          <t>Raleigh</t>
        </is>
      </c>
      <c r="R27" s="22" t="inlineStr">
        <is>
          <t>Project ledger / data room</t>
        </is>
      </c>
    </row>
    <row r="28">
      <c r="A28" s="22" t="inlineStr">
        <is>
          <t>RIV-MIL-P1</t>
        </is>
      </c>
      <c r="B28" s="22" t="inlineStr">
        <is>
          <t>RIV-MIL</t>
        </is>
      </c>
      <c r="C28" s="22" t="inlineStr">
        <is>
          <t>Riverton Industrial Group</t>
        </is>
      </c>
      <c r="D28" s="22" t="inlineStr">
        <is>
          <t>Industrial Hygiene</t>
        </is>
      </c>
      <c r="E28" s="22" t="inlineStr">
        <is>
          <t>Recurring</t>
        </is>
      </c>
      <c r="F28" s="226" t="n">
        <v>45323</v>
      </c>
      <c r="G28" s="226" t="n">
        <v>46082</v>
      </c>
      <c r="H28" s="224" t="n">
        <v>0.6445789984525494</v>
      </c>
      <c r="I28" s="225" t="n">
        <v>0.3103537093710324</v>
      </c>
      <c r="J28" s="224" t="n">
        <v>0.04622564658703182</v>
      </c>
      <c r="K28" s="22" t="n">
        <v>26</v>
      </c>
      <c r="L28" s="224" t="n">
        <v>0.3012424581492838</v>
      </c>
      <c r="M28" s="224" t="n">
        <v>0.3222894992262747</v>
      </c>
      <c r="N28" s="22" t="inlineStr">
        <is>
          <t>30-60 days</t>
        </is>
      </c>
      <c r="O28" s="22" t="inlineStr">
        <is>
          <t>Yes</t>
        </is>
      </c>
      <c r="P28" s="22" t="inlineStr">
        <is>
          <t>Legacy A</t>
        </is>
      </c>
      <c r="Q28" s="22" t="inlineStr">
        <is>
          <t>Charlotte</t>
        </is>
      </c>
      <c r="R28" s="22" t="inlineStr">
        <is>
          <t>Project ledger / data room</t>
        </is>
      </c>
    </row>
    <row r="29">
      <c r="A29" s="22" t="inlineStr">
        <is>
          <t>RIV-MIL-P2</t>
        </is>
      </c>
      <c r="B29" s="22" t="inlineStr">
        <is>
          <t>RIV-MIL</t>
        </is>
      </c>
      <c r="C29" s="22" t="inlineStr">
        <is>
          <t>Riverton Industrial Group</t>
        </is>
      </c>
      <c r="D29" s="22" t="inlineStr">
        <is>
          <t>Industrial Hygiene</t>
        </is>
      </c>
      <c r="E29" s="22" t="inlineStr">
        <is>
          <t>Recurring</t>
        </is>
      </c>
      <c r="F29" s="226" t="n">
        <v>45352</v>
      </c>
      <c r="G29" s="226" t="n">
        <v>46143</v>
      </c>
      <c r="H29" s="224" t="n">
        <v>0.6554210015474506</v>
      </c>
      <c r="I29" s="225" t="n">
        <v>0.3208763185446165</v>
      </c>
      <c r="J29" s="224" t="n">
        <v>0.03153568595609463</v>
      </c>
      <c r="K29" s="22" t="n">
        <v>54</v>
      </c>
      <c r="L29" s="224" t="n">
        <v>0.2966275555777011</v>
      </c>
      <c r="M29" s="224" t="n">
        <v>0.3277105007737253</v>
      </c>
      <c r="N29" s="22" t="inlineStr">
        <is>
          <t>30-60 days</t>
        </is>
      </c>
      <c r="O29" s="22" t="inlineStr">
        <is>
          <t>No</t>
        </is>
      </c>
      <c r="P29" s="22" t="inlineStr">
        <is>
          <t>Legacy B</t>
        </is>
      </c>
      <c r="Q29" s="22" t="inlineStr">
        <is>
          <t>Indianapolis</t>
        </is>
      </c>
      <c r="R29" s="22" t="inlineStr">
        <is>
          <t>Project ledger / data room</t>
        </is>
      </c>
    </row>
    <row r="30">
      <c r="A30" s="22" t="inlineStr">
        <is>
          <t>RIV-CHEM-P1</t>
        </is>
      </c>
      <c r="B30" s="22" t="inlineStr">
        <is>
          <t>RIV-CHEM</t>
        </is>
      </c>
      <c r="C30" s="22" t="inlineStr">
        <is>
          <t>Riverton Industrial Group</t>
        </is>
      </c>
      <c r="D30" s="22" t="inlineStr">
        <is>
          <t>EHS Compliance</t>
        </is>
      </c>
      <c r="E30" s="22" t="inlineStr">
        <is>
          <t>Repeat</t>
        </is>
      </c>
      <c r="F30" s="226" t="n">
        <v>45323</v>
      </c>
      <c r="G30" s="226" t="n">
        <v>46082</v>
      </c>
      <c r="H30" s="224" t="n">
        <v>0.001847799217579572</v>
      </c>
      <c r="I30" s="225" t="n">
        <v>0.3101464368022596</v>
      </c>
      <c r="J30" s="224" t="n">
        <v>0.0001075058751751653</v>
      </c>
      <c r="K30" s="22" t="n">
        <v>22</v>
      </c>
      <c r="L30" s="224" t="n">
        <v>0.002354710369847659</v>
      </c>
      <c r="M30" s="224" t="n">
        <v>0.0004619498043948929</v>
      </c>
      <c r="N30" s="22" t="inlineStr">
        <is>
          <t>30-60 days</t>
        </is>
      </c>
      <c r="O30" s="22" t="inlineStr">
        <is>
          <t>Yes</t>
        </is>
      </c>
      <c r="P30" s="22" t="inlineStr">
        <is>
          <t>Central PSA</t>
        </is>
      </c>
      <c r="Q30" s="22" t="inlineStr">
        <is>
          <t>Charlotte</t>
        </is>
      </c>
      <c r="R30" s="22" t="inlineStr">
        <is>
          <t>Project ledger / data room</t>
        </is>
      </c>
    </row>
    <row r="31">
      <c r="A31" s="22" t="inlineStr">
        <is>
          <t>RIV-CHEM-P2</t>
        </is>
      </c>
      <c r="B31" s="22" t="inlineStr">
        <is>
          <t>RIV-CHEM</t>
        </is>
      </c>
      <c r="C31" s="22" t="inlineStr">
        <is>
          <t>Riverton Industrial Group</t>
        </is>
      </c>
      <c r="D31" s="22" t="inlineStr">
        <is>
          <t>EHS Compliance</t>
        </is>
      </c>
      <c r="E31" s="22" t="inlineStr">
        <is>
          <t>Repeat</t>
        </is>
      </c>
      <c r="F31" s="226" t="n">
        <v>45352</v>
      </c>
      <c r="G31" s="226" t="n">
        <v>46143</v>
      </c>
      <c r="H31" s="224" t="n">
        <v>1.19815220078242</v>
      </c>
      <c r="I31" s="225" t="n">
        <v>0.3614068987788479</v>
      </c>
      <c r="J31" s="224" t="n">
        <v>0.05682539257762203</v>
      </c>
      <c r="K31" s="22" t="n">
        <v>45</v>
      </c>
      <c r="L31" s="224" t="n">
        <v>0.8954864294460166</v>
      </c>
      <c r="M31" s="224" t="n">
        <v>0.2995380501956051</v>
      </c>
      <c r="N31" s="22" t="inlineStr">
        <is>
          <t>30-60 days</t>
        </is>
      </c>
      <c r="O31" s="22" t="inlineStr">
        <is>
          <t>No</t>
        </is>
      </c>
      <c r="P31" s="22" t="inlineStr">
        <is>
          <t>Legacy A</t>
        </is>
      </c>
      <c r="Q31" s="22" t="inlineStr">
        <is>
          <t>Indianapolis</t>
        </is>
      </c>
      <c r="R31" s="22" t="inlineStr">
        <is>
          <t>Project ledger / data room</t>
        </is>
      </c>
    </row>
    <row r="32">
      <c r="A32" s="22" t="inlineStr">
        <is>
          <t>RIV-LOG-P1</t>
        </is>
      </c>
      <c r="B32" s="22" t="inlineStr">
        <is>
          <t>RIV-LOG</t>
        </is>
      </c>
      <c r="C32" s="22" t="inlineStr">
        <is>
          <t>Riverton Industrial Group</t>
        </is>
      </c>
      <c r="D32" s="22" t="inlineStr">
        <is>
          <t>Field Inspection</t>
        </is>
      </c>
      <c r="E32" s="22" t="inlineStr">
        <is>
          <t>Repeat</t>
        </is>
      </c>
      <c r="F32" s="226" t="n">
        <v>45323</v>
      </c>
      <c r="G32" s="226" t="n">
        <v>46082</v>
      </c>
      <c r="H32" s="224" t="n">
        <v>0.7477601632668364</v>
      </c>
      <c r="I32" s="225" t="n">
        <v>0.3848936926484615</v>
      </c>
      <c r="J32" s="224" t="n">
        <v>0.06704053919680628</v>
      </c>
      <c r="K32" s="22" t="n">
        <v>66</v>
      </c>
      <c r="L32" s="224" t="n">
        <v>0.6608963469827178</v>
      </c>
      <c r="M32" s="224" t="n">
        <v>0.1869400408167091</v>
      </c>
      <c r="N32" s="22" t="inlineStr">
        <is>
          <t>30-60 days</t>
        </is>
      </c>
      <c r="O32" s="22" t="inlineStr">
        <is>
          <t>Yes</t>
        </is>
      </c>
      <c r="P32" s="22" t="inlineStr">
        <is>
          <t>Legacy A</t>
        </is>
      </c>
      <c r="Q32" s="22" t="inlineStr">
        <is>
          <t>Charlotte</t>
        </is>
      </c>
      <c r="R32" s="22" t="inlineStr">
        <is>
          <t>Project ledger / data room</t>
        </is>
      </c>
    </row>
    <row r="33">
      <c r="A33" s="22" t="inlineStr">
        <is>
          <t>RIV-LOG-P2</t>
        </is>
      </c>
      <c r="B33" s="22" t="inlineStr">
        <is>
          <t>RIV-LOG</t>
        </is>
      </c>
      <c r="C33" s="22" t="inlineStr">
        <is>
          <t>Riverton Industrial Group</t>
        </is>
      </c>
      <c r="D33" s="22" t="inlineStr">
        <is>
          <t>Field Inspection</t>
        </is>
      </c>
      <c r="E33" s="22" t="inlineStr">
        <is>
          <t>Repeat</t>
        </is>
      </c>
      <c r="F33" s="226" t="n">
        <v>45352</v>
      </c>
      <c r="G33" s="226" t="n">
        <v>46143</v>
      </c>
      <c r="H33" s="224" t="n">
        <v>0.2522398367331636</v>
      </c>
      <c r="I33" s="225" t="n">
        <v>0.3085884661556165</v>
      </c>
      <c r="J33" s="224" t="n">
        <v>0.011378382857562</v>
      </c>
      <c r="K33" s="22" t="n">
        <v>54</v>
      </c>
      <c r="L33" s="224" t="n">
        <v>0.1676781698339868</v>
      </c>
      <c r="M33" s="224" t="n">
        <v>0.0630599591832909</v>
      </c>
      <c r="N33" s="22" t="inlineStr">
        <is>
          <t>30-60 days</t>
        </is>
      </c>
      <c r="O33" s="22" t="inlineStr">
        <is>
          <t>No</t>
        </is>
      </c>
      <c r="P33" s="22" t="inlineStr">
        <is>
          <t>Legacy B</t>
        </is>
      </c>
      <c r="Q33" s="22" t="inlineStr">
        <is>
          <t>Indianapolis</t>
        </is>
      </c>
      <c r="R33" s="22" t="inlineStr">
        <is>
          <t>Project ledger / data room</t>
        </is>
      </c>
    </row>
    <row r="34">
      <c r="A34" s="22" t="inlineStr">
        <is>
          <t>RIV-WST-P1</t>
        </is>
      </c>
      <c r="B34" s="22" t="inlineStr">
        <is>
          <t>RIV-WST</t>
        </is>
      </c>
      <c r="C34" s="22" t="inlineStr">
        <is>
          <t>Riverton Industrial Group</t>
        </is>
      </c>
      <c r="D34" s="22" t="inlineStr">
        <is>
          <t>Permitting &amp; Advisory</t>
        </is>
      </c>
      <c r="E34" s="22" t="inlineStr">
        <is>
          <t>Project</t>
        </is>
      </c>
      <c r="F34" s="226" t="n">
        <v>45323</v>
      </c>
      <c r="G34" s="226" t="n">
        <v>46082</v>
      </c>
      <c r="H34" s="224" t="n">
        <v>0.7800645275691797</v>
      </c>
      <c r="I34" s="225" t="n">
        <v>0.3023095721045248</v>
      </c>
      <c r="J34" s="224" t="n">
        <v>0.06829408668424769</v>
      </c>
      <c r="K34" s="22" t="n">
        <v>72</v>
      </c>
      <c r="L34" s="224" t="n">
        <v>0.4263852512744333</v>
      </c>
      <c r="M34" s="224" t="n">
        <v>0.03900322637845899</v>
      </c>
      <c r="N34" s="22" t="inlineStr">
        <is>
          <t>30-60 days</t>
        </is>
      </c>
      <c r="O34" s="22" t="inlineStr">
        <is>
          <t>Yes</t>
        </is>
      </c>
      <c r="P34" s="22" t="inlineStr">
        <is>
          <t>Central PSA</t>
        </is>
      </c>
      <c r="Q34" s="22" t="inlineStr">
        <is>
          <t>Charlotte</t>
        </is>
      </c>
      <c r="R34" s="22" t="inlineStr">
        <is>
          <t>Project ledger / data room</t>
        </is>
      </c>
    </row>
    <row r="35">
      <c r="A35" s="22" t="inlineStr">
        <is>
          <t>RIV-WST-P2</t>
        </is>
      </c>
      <c r="B35" s="22" t="inlineStr">
        <is>
          <t>RIV-WST</t>
        </is>
      </c>
      <c r="C35" s="22" t="inlineStr">
        <is>
          <t>Riverton Industrial Group</t>
        </is>
      </c>
      <c r="D35" s="22" t="inlineStr">
        <is>
          <t>Permitting &amp; Advisory</t>
        </is>
      </c>
      <c r="E35" s="22" t="inlineStr">
        <is>
          <t>Project</t>
        </is>
      </c>
      <c r="F35" s="226" t="n">
        <v>45352</v>
      </c>
      <c r="G35" s="226" t="n">
        <v>46143</v>
      </c>
      <c r="H35" s="224" t="n">
        <v>0.1519354724308204</v>
      </c>
      <c r="I35" s="225" t="n">
        <v>0.3543172425882114</v>
      </c>
      <c r="J35" s="224" t="n">
        <v>0.006282854582729495</v>
      </c>
      <c r="K35" s="22" t="n">
        <v>72</v>
      </c>
      <c r="L35" s="224" t="n">
        <v>0.2094432375589802</v>
      </c>
      <c r="M35" s="224" t="n">
        <v>0.00759677362154102</v>
      </c>
      <c r="N35" s="22" t="inlineStr">
        <is>
          <t>30-60 days</t>
        </is>
      </c>
      <c r="O35" s="22" t="inlineStr">
        <is>
          <t>No</t>
        </is>
      </c>
      <c r="P35" s="22" t="inlineStr">
        <is>
          <t>Legacy A</t>
        </is>
      </c>
      <c r="Q35" s="22" t="inlineStr">
        <is>
          <t>Indianapolis</t>
        </is>
      </c>
      <c r="R35" s="22" t="inlineStr">
        <is>
          <t>Project ledger / data room</t>
        </is>
      </c>
    </row>
    <row r="36">
      <c r="A36" s="22" t="inlineStr">
        <is>
          <t>MED-02-P1</t>
        </is>
      </c>
      <c r="B36" s="22" t="inlineStr">
        <is>
          <t>MED-02</t>
        </is>
      </c>
      <c r="C36" s="22" t="inlineStr">
        <is>
          <t>MedCore Health</t>
        </is>
      </c>
      <c r="D36" s="22" t="inlineStr">
        <is>
          <t>Industrial Hygiene</t>
        </is>
      </c>
      <c r="E36" s="22" t="inlineStr">
        <is>
          <t>Recurring</t>
        </is>
      </c>
      <c r="F36" s="226" t="n">
        <v>45323</v>
      </c>
      <c r="G36" s="226" t="n">
        <v>46082</v>
      </c>
      <c r="H36" s="224" t="n">
        <v>0.4982248527662259</v>
      </c>
      <c r="I36" s="225" t="n">
        <v>0.3261115197229362</v>
      </c>
      <c r="J36" s="224" t="n">
        <v>0.02906394159862999</v>
      </c>
      <c r="K36" s="22" t="n">
        <v>36</v>
      </c>
      <c r="L36" s="224" t="n">
        <v>0.5838885918647607</v>
      </c>
      <c r="M36" s="224" t="n">
        <v>0.249112426383113</v>
      </c>
      <c r="N36" s="22" t="inlineStr">
        <is>
          <t>30-60 days</t>
        </is>
      </c>
      <c r="O36" s="22" t="inlineStr">
        <is>
          <t>Yes</t>
        </is>
      </c>
      <c r="P36" s="22" t="inlineStr">
        <is>
          <t>Legacy B</t>
        </is>
      </c>
      <c r="Q36" s="22" t="inlineStr">
        <is>
          <t>Raleigh</t>
        </is>
      </c>
      <c r="R36" s="22" t="inlineStr">
        <is>
          <t>Project ledger / data room</t>
        </is>
      </c>
    </row>
    <row r="37">
      <c r="A37" s="22" t="inlineStr">
        <is>
          <t>MED-02-P2</t>
        </is>
      </c>
      <c r="B37" s="22" t="inlineStr">
        <is>
          <t>MED-02</t>
        </is>
      </c>
      <c r="C37" s="22" t="inlineStr">
        <is>
          <t>MedCore Health</t>
        </is>
      </c>
      <c r="D37" s="22" t="inlineStr">
        <is>
          <t>Industrial Hygiene</t>
        </is>
      </c>
      <c r="E37" s="22" t="inlineStr">
        <is>
          <t>Recurring</t>
        </is>
      </c>
      <c r="F37" s="226" t="n">
        <v>45352</v>
      </c>
      <c r="G37" s="226" t="n">
        <v>46143</v>
      </c>
      <c r="H37" s="224" t="n">
        <v>0.4017751472337742</v>
      </c>
      <c r="I37" s="225" t="n">
        <v>0.3532592397492879</v>
      </c>
      <c r="J37" s="224" t="n">
        <v>0.03172125057288038</v>
      </c>
      <c r="K37" s="22" t="n">
        <v>52</v>
      </c>
      <c r="L37" s="224" t="n">
        <v>0.2503226599438093</v>
      </c>
      <c r="M37" s="224" t="n">
        <v>0.2008875736168871</v>
      </c>
      <c r="N37" s="22" t="inlineStr">
        <is>
          <t>30-60 days</t>
        </is>
      </c>
      <c r="O37" s="22" t="inlineStr">
        <is>
          <t>No</t>
        </is>
      </c>
      <c r="P37" s="22" t="inlineStr">
        <is>
          <t>Central PSA</t>
        </is>
      </c>
      <c r="Q37" s="22" t="inlineStr">
        <is>
          <t>Charlotte</t>
        </is>
      </c>
      <c r="R37" s="22" t="inlineStr">
        <is>
          <t>Project ledger / data room</t>
        </is>
      </c>
    </row>
    <row r="38">
      <c r="A38" s="22" t="inlineStr">
        <is>
          <t>APX-02-P1</t>
        </is>
      </c>
      <c r="B38" s="22" t="inlineStr">
        <is>
          <t>APX-02</t>
        </is>
      </c>
      <c r="C38" s="22" t="inlineStr">
        <is>
          <t>Apex Manufacturing</t>
        </is>
      </c>
      <c r="D38" s="22" t="inlineStr">
        <is>
          <t>Field Inspection</t>
        </is>
      </c>
      <c r="E38" s="22" t="inlineStr">
        <is>
          <t>Repeat</t>
        </is>
      </c>
      <c r="F38" s="226" t="n">
        <v>45323</v>
      </c>
      <c r="G38" s="226" t="n">
        <v>46082</v>
      </c>
      <c r="H38" s="224" t="n">
        <v>0.4065603197883561</v>
      </c>
      <c r="I38" s="225" t="n">
        <v>0.3852628798746661</v>
      </c>
      <c r="J38" s="224" t="n">
        <v>0.03264839115178457</v>
      </c>
      <c r="K38" s="22" t="n">
        <v>101</v>
      </c>
      <c r="L38" s="224" t="n">
        <v>0.4634271396820697</v>
      </c>
      <c r="M38" s="224" t="n">
        <v>0.101640079947089</v>
      </c>
      <c r="N38" s="22" t="inlineStr">
        <is>
          <t>30-60 days</t>
        </is>
      </c>
      <c r="O38" s="22" t="inlineStr">
        <is>
          <t>Yes</t>
        </is>
      </c>
      <c r="P38" s="22" t="inlineStr">
        <is>
          <t>Legacy B</t>
        </is>
      </c>
      <c r="Q38" s="22" t="inlineStr">
        <is>
          <t>Charlotte</t>
        </is>
      </c>
      <c r="R38" s="22" t="inlineStr">
        <is>
          <t>Project ledger / data room</t>
        </is>
      </c>
    </row>
    <row r="39">
      <c r="A39" s="22" t="inlineStr">
        <is>
          <t>APX-02-P2</t>
        </is>
      </c>
      <c r="B39" s="22" t="inlineStr">
        <is>
          <t>APX-02</t>
        </is>
      </c>
      <c r="C39" s="22" t="inlineStr">
        <is>
          <t>Apex Manufacturing</t>
        </is>
      </c>
      <c r="D39" s="22" t="inlineStr">
        <is>
          <t>Field Inspection</t>
        </is>
      </c>
      <c r="E39" s="22" t="inlineStr">
        <is>
          <t>Repeat</t>
        </is>
      </c>
      <c r="F39" s="226" t="n">
        <v>45352</v>
      </c>
      <c r="G39" s="226" t="n">
        <v>46143</v>
      </c>
      <c r="H39" s="224" t="n">
        <v>0.4934396802116439</v>
      </c>
      <c r="I39" s="225" t="n">
        <v>0.3226739490031585</v>
      </c>
      <c r="J39" s="224" t="n">
        <v>0.03250876153625969</v>
      </c>
      <c r="K39" s="22" t="n">
        <v>55</v>
      </c>
      <c r="L39" s="224" t="n">
        <v>0.2116758283989622</v>
      </c>
      <c r="M39" s="224" t="n">
        <v>0.123359920052911</v>
      </c>
      <c r="N39" s="22" t="inlineStr">
        <is>
          <t>30-60 days</t>
        </is>
      </c>
      <c r="O39" s="22" t="inlineStr">
        <is>
          <t>No</t>
        </is>
      </c>
      <c r="P39" s="22" t="inlineStr">
        <is>
          <t>Central PSA</t>
        </is>
      </c>
      <c r="Q39" s="22" t="inlineStr">
        <is>
          <t>Indianapolis</t>
        </is>
      </c>
      <c r="R39" s="22" t="inlineStr">
        <is>
          <t>Project ledger / data room</t>
        </is>
      </c>
    </row>
    <row r="40">
      <c r="A40" s="22" t="inlineStr">
        <is>
          <t>HBR-01-P1</t>
        </is>
      </c>
      <c r="B40" s="22" t="inlineStr">
        <is>
          <t>HBR-01</t>
        </is>
      </c>
      <c r="C40" s="22" t="inlineStr">
        <is>
          <t>Harbor Utilities</t>
        </is>
      </c>
      <c r="D40" s="22" t="inlineStr">
        <is>
          <t>Field Inspection</t>
        </is>
      </c>
      <c r="E40" s="22" t="inlineStr">
        <is>
          <t>Recurring</t>
        </is>
      </c>
      <c r="F40" s="226" t="n">
        <v>45323</v>
      </c>
      <c r="G40" s="226" t="n">
        <v>46082</v>
      </c>
      <c r="H40" s="224" t="n">
        <v>0.1090739486381832</v>
      </c>
      <c r="I40" s="225" t="n">
        <v>0.3259174363267757</v>
      </c>
      <c r="J40" s="224" t="n">
        <v>0.008139763080518033</v>
      </c>
      <c r="K40" s="22" t="n">
        <v>115</v>
      </c>
      <c r="L40" s="224" t="n">
        <v>0.0924104682095748</v>
      </c>
      <c r="M40" s="224" t="n">
        <v>0.05453697431909158</v>
      </c>
      <c r="N40" s="22" t="inlineStr">
        <is>
          <t>30-60 days</t>
        </is>
      </c>
      <c r="O40" s="22" t="inlineStr">
        <is>
          <t>Yes</t>
        </is>
      </c>
      <c r="P40" s="22" t="inlineStr">
        <is>
          <t>Legacy A</t>
        </is>
      </c>
      <c r="Q40" s="22" t="inlineStr">
        <is>
          <t>Nashville</t>
        </is>
      </c>
      <c r="R40" s="22" t="inlineStr">
        <is>
          <t>Project ledger / data room</t>
        </is>
      </c>
    </row>
    <row r="41">
      <c r="A41" s="22" t="inlineStr">
        <is>
          <t>HBR-01-P2</t>
        </is>
      </c>
      <c r="B41" s="22" t="inlineStr">
        <is>
          <t>HBR-01</t>
        </is>
      </c>
      <c r="C41" s="22" t="inlineStr">
        <is>
          <t>Harbor Utilities</t>
        </is>
      </c>
      <c r="D41" s="22" t="inlineStr">
        <is>
          <t>Field Inspection</t>
        </is>
      </c>
      <c r="E41" s="22" t="inlineStr">
        <is>
          <t>Recurring</t>
        </is>
      </c>
      <c r="F41" s="226" t="n">
        <v>45352</v>
      </c>
      <c r="G41" s="226" t="n">
        <v>46143</v>
      </c>
      <c r="H41" s="224" t="n">
        <v>1.090926051361817</v>
      </c>
      <c r="I41" s="225" t="n">
        <v>0.3937021201276242</v>
      </c>
      <c r="J41" s="224" t="n">
        <v>0.09753086492599485</v>
      </c>
      <c r="K41" s="22" t="n">
        <v>115</v>
      </c>
      <c r="L41" s="224" t="n">
        <v>0.8341612071473674</v>
      </c>
      <c r="M41" s="224" t="n">
        <v>0.5454630256809084</v>
      </c>
      <c r="N41" s="22" t="inlineStr">
        <is>
          <t>30-60 days</t>
        </is>
      </c>
      <c r="O41" s="22" t="inlineStr">
        <is>
          <t>No</t>
        </is>
      </c>
      <c r="P41" s="22" t="inlineStr">
        <is>
          <t>Legacy B</t>
        </is>
      </c>
      <c r="Q41" s="22" t="inlineStr">
        <is>
          <t>Raleigh</t>
        </is>
      </c>
      <c r="R41" s="22" t="inlineStr">
        <is>
          <t>Project ledger / data room</t>
        </is>
      </c>
    </row>
    <row r="42">
      <c r="A42" s="22" t="inlineStr">
        <is>
          <t>HBR-02-P1</t>
        </is>
      </c>
      <c r="B42" s="22" t="inlineStr">
        <is>
          <t>HBR-02</t>
        </is>
      </c>
      <c r="C42" s="22" t="inlineStr">
        <is>
          <t>Harbor Utilities</t>
        </is>
      </c>
      <c r="D42" s="22" t="inlineStr">
        <is>
          <t>EHS Compliance</t>
        </is>
      </c>
      <c r="E42" s="22" t="inlineStr">
        <is>
          <t>Repeat</t>
        </is>
      </c>
      <c r="F42" s="226" t="n">
        <v>45323</v>
      </c>
      <c r="G42" s="226" t="n">
        <v>46082</v>
      </c>
      <c r="H42" s="224" t="n">
        <v>0.4928645345067076</v>
      </c>
      <c r="I42" s="225" t="n">
        <v>0.3196706163419317</v>
      </c>
      <c r="J42" s="224" t="n">
        <v>0.0247510005081036</v>
      </c>
      <c r="K42" s="22" t="n">
        <v>82</v>
      </c>
      <c r="L42" s="224" t="n">
        <v>0.6408758636664447</v>
      </c>
      <c r="M42" s="224" t="n">
        <v>0.1232161336266769</v>
      </c>
      <c r="N42" s="22" t="inlineStr">
        <is>
          <t>30-60 days</t>
        </is>
      </c>
      <c r="O42" s="22" t="inlineStr">
        <is>
          <t>Yes</t>
        </is>
      </c>
      <c r="P42" s="22" t="inlineStr">
        <is>
          <t>Legacy A</t>
        </is>
      </c>
      <c r="Q42" s="22" t="inlineStr">
        <is>
          <t>Nashville</t>
        </is>
      </c>
      <c r="R42" s="22" t="inlineStr">
        <is>
          <t>Project ledger / data room</t>
        </is>
      </c>
    </row>
    <row r="43">
      <c r="A43" s="22" t="inlineStr">
        <is>
          <t>HBR-02-P2</t>
        </is>
      </c>
      <c r="B43" s="22" t="inlineStr">
        <is>
          <t>HBR-02</t>
        </is>
      </c>
      <c r="C43" s="22" t="inlineStr">
        <is>
          <t>Harbor Utilities</t>
        </is>
      </c>
      <c r="D43" s="22" t="inlineStr">
        <is>
          <t>EHS Compliance</t>
        </is>
      </c>
      <c r="E43" s="22" t="inlineStr">
        <is>
          <t>Repeat</t>
        </is>
      </c>
      <c r="F43" s="226" t="n">
        <v>45352</v>
      </c>
      <c r="G43" s="226" t="n">
        <v>46143</v>
      </c>
      <c r="H43" s="224" t="n">
        <v>0.5071354654932925</v>
      </c>
      <c r="I43" s="225" t="n">
        <v>0.384043552727929</v>
      </c>
      <c r="J43" s="224" t="n">
        <v>0.03244331758067215</v>
      </c>
      <c r="K43" s="22" t="n">
        <v>85</v>
      </c>
      <c r="L43" s="224" t="n">
        <v>0.608381888970449</v>
      </c>
      <c r="M43" s="224" t="n">
        <v>0.1267838663733231</v>
      </c>
      <c r="N43" s="22" t="inlineStr">
        <is>
          <t>30-60 days</t>
        </is>
      </c>
      <c r="O43" s="22" t="inlineStr">
        <is>
          <t>No</t>
        </is>
      </c>
      <c r="P43" s="22" t="inlineStr">
        <is>
          <t>Legacy B</t>
        </is>
      </c>
      <c r="Q43" s="22" t="inlineStr">
        <is>
          <t>Raleigh</t>
        </is>
      </c>
      <c r="R43" s="22" t="inlineStr">
        <is>
          <t>Project ledger / data room</t>
        </is>
      </c>
    </row>
    <row r="44">
      <c r="A44" s="22" t="inlineStr">
        <is>
          <t>CTY-01-P1</t>
        </is>
      </c>
      <c r="B44" s="22" t="inlineStr">
        <is>
          <t>CTY-01</t>
        </is>
      </c>
      <c r="C44" s="22" t="inlineStr">
        <is>
          <t>CityWorks Municipal Group</t>
        </is>
      </c>
      <c r="D44" s="22" t="inlineStr">
        <is>
          <t>Permitting &amp; Advisory</t>
        </is>
      </c>
      <c r="E44" s="22" t="inlineStr">
        <is>
          <t>Recurring</t>
        </is>
      </c>
      <c r="F44" s="226" t="n">
        <v>45323</v>
      </c>
      <c r="G44" s="226" t="n">
        <v>46082</v>
      </c>
      <c r="H44" s="224" t="n">
        <v>0.1251151356891062</v>
      </c>
      <c r="I44" s="225" t="n">
        <v>0.3909777137551723</v>
      </c>
      <c r="J44" s="224" t="n">
        <v>0.009898502002259829</v>
      </c>
      <c r="K44" s="22" t="n">
        <v>95</v>
      </c>
      <c r="L44" s="224" t="n">
        <v>0.1098551859793566</v>
      </c>
      <c r="M44" s="224" t="n">
        <v>0.06255756784455309</v>
      </c>
      <c r="N44" s="22" t="inlineStr">
        <is>
          <t>30-60 days</t>
        </is>
      </c>
      <c r="O44" s="22" t="inlineStr">
        <is>
          <t>Yes</t>
        </is>
      </c>
      <c r="P44" s="22" t="inlineStr">
        <is>
          <t>Central PSA</t>
        </is>
      </c>
      <c r="Q44" s="22" t="inlineStr">
        <is>
          <t>Raleigh</t>
        </is>
      </c>
      <c r="R44" s="22" t="inlineStr">
        <is>
          <t>Project ledger / data room</t>
        </is>
      </c>
    </row>
    <row r="45">
      <c r="A45" s="22" t="inlineStr">
        <is>
          <t>CTY-01-P2</t>
        </is>
      </c>
      <c r="B45" s="22" t="inlineStr">
        <is>
          <t>CTY-01</t>
        </is>
      </c>
      <c r="C45" s="22" t="inlineStr">
        <is>
          <t>CityWorks Municipal Group</t>
        </is>
      </c>
      <c r="D45" s="22" t="inlineStr">
        <is>
          <t>Permitting &amp; Advisory</t>
        </is>
      </c>
      <c r="E45" s="22" t="inlineStr">
        <is>
          <t>Recurring</t>
        </is>
      </c>
      <c r="F45" s="226" t="n">
        <v>45352</v>
      </c>
      <c r="G45" s="226" t="n">
        <v>46143</v>
      </c>
      <c r="H45" s="224" t="n">
        <v>0.9748848643108939</v>
      </c>
      <c r="I45" s="225" t="n">
        <v>0.3178521718337574</v>
      </c>
      <c r="J45" s="224" t="n">
        <v>0.07746120395209181</v>
      </c>
      <c r="K45" s="22" t="n">
        <v>53</v>
      </c>
      <c r="L45" s="224" t="n">
        <v>1.170664722025174</v>
      </c>
      <c r="M45" s="224" t="n">
        <v>0.487442432155447</v>
      </c>
      <c r="N45" s="22" t="inlineStr">
        <is>
          <t>30-60 days</t>
        </is>
      </c>
      <c r="O45" s="22" t="inlineStr">
        <is>
          <t>No</t>
        </is>
      </c>
      <c r="P45" s="22" t="inlineStr">
        <is>
          <t>Legacy A</t>
        </is>
      </c>
      <c r="Q45" s="22" t="inlineStr">
        <is>
          <t>Charlotte</t>
        </is>
      </c>
      <c r="R45" s="22" t="inlineStr">
        <is>
          <t>Project ledger / data room</t>
        </is>
      </c>
    </row>
    <row r="46">
      <c r="A46" s="22" t="inlineStr">
        <is>
          <t>CTY-02-P1</t>
        </is>
      </c>
      <c r="B46" s="22" t="inlineStr">
        <is>
          <t>CTY-02</t>
        </is>
      </c>
      <c r="C46" s="22" t="inlineStr">
        <is>
          <t>CityWorks Municipal Group</t>
        </is>
      </c>
      <c r="D46" s="22" t="inlineStr">
        <is>
          <t>Field Inspection</t>
        </is>
      </c>
      <c r="E46" s="22" t="inlineStr">
        <is>
          <t>Repeat</t>
        </is>
      </c>
      <c r="F46" s="226" t="n">
        <v>45323</v>
      </c>
      <c r="G46" s="226" t="n">
        <v>46082</v>
      </c>
      <c r="H46" s="224" t="n">
        <v>0.7105376852448783</v>
      </c>
      <c r="I46" s="225" t="n">
        <v>0.3401386817867701</v>
      </c>
      <c r="J46" s="224" t="n">
        <v>0.06205825507831238</v>
      </c>
      <c r="K46" s="22" t="n">
        <v>92</v>
      </c>
      <c r="L46" s="224" t="n">
        <v>0.4050090811375393</v>
      </c>
      <c r="M46" s="224" t="n">
        <v>0.1776344213112196</v>
      </c>
      <c r="N46" s="22" t="inlineStr">
        <is>
          <t>30-60 days</t>
        </is>
      </c>
      <c r="O46" s="22" t="inlineStr">
        <is>
          <t>Yes</t>
        </is>
      </c>
      <c r="P46" s="22" t="inlineStr">
        <is>
          <t>Legacy A</t>
        </is>
      </c>
      <c r="Q46" s="22" t="inlineStr">
        <is>
          <t>Raleigh</t>
        </is>
      </c>
      <c r="R46" s="22" t="inlineStr">
        <is>
          <t>Project ledger / data room</t>
        </is>
      </c>
    </row>
    <row r="47">
      <c r="A47" s="22" t="inlineStr">
        <is>
          <t>CTY-02-P2</t>
        </is>
      </c>
      <c r="B47" s="22" t="inlineStr">
        <is>
          <t>CTY-02</t>
        </is>
      </c>
      <c r="C47" s="22" t="inlineStr">
        <is>
          <t>CityWorks Municipal Group</t>
        </is>
      </c>
      <c r="D47" s="22" t="inlineStr">
        <is>
          <t>Field Inspection</t>
        </is>
      </c>
      <c r="E47" s="22" t="inlineStr">
        <is>
          <t>Repeat</t>
        </is>
      </c>
      <c r="F47" s="226" t="n">
        <v>45352</v>
      </c>
      <c r="G47" s="226" t="n">
        <v>46143</v>
      </c>
      <c r="H47" s="224" t="n">
        <v>0.2894623147551217</v>
      </c>
      <c r="I47" s="225" t="n">
        <v>0.3127038367297864</v>
      </c>
      <c r="J47" s="224" t="n">
        <v>0.01376611417066907</v>
      </c>
      <c r="K47" s="22" t="n">
        <v>110</v>
      </c>
      <c r="L47" s="224" t="n">
        <v>0.3492368564756818</v>
      </c>
      <c r="M47" s="224" t="n">
        <v>0.07236557868878044</v>
      </c>
      <c r="N47" s="22" t="inlineStr">
        <is>
          <t>30-60 days</t>
        </is>
      </c>
      <c r="O47" s="22" t="inlineStr">
        <is>
          <t>No</t>
        </is>
      </c>
      <c r="P47" s="22" t="inlineStr">
        <is>
          <t>Legacy B</t>
        </is>
      </c>
      <c r="Q47" s="22" t="inlineStr">
        <is>
          <t>Charlotte</t>
        </is>
      </c>
      <c r="R47" s="22" t="inlineStr">
        <is>
          <t>Project ledger / data room</t>
        </is>
      </c>
    </row>
    <row r="48">
      <c r="A48" s="22" t="inlineStr">
        <is>
          <t>CLN-01-P1</t>
        </is>
      </c>
      <c r="B48" s="22" t="inlineStr">
        <is>
          <t>CLN-01</t>
        </is>
      </c>
      <c r="C48" s="22" t="inlineStr">
        <is>
          <t>Clinica Health</t>
        </is>
      </c>
      <c r="D48" s="22" t="inlineStr">
        <is>
          <t>Industrial Hygiene</t>
        </is>
      </c>
      <c r="E48" s="22" t="inlineStr">
        <is>
          <t>Recurring</t>
        </is>
      </c>
      <c r="F48" s="226" t="n">
        <v>45323</v>
      </c>
      <c r="G48" s="226" t="n">
        <v>46082</v>
      </c>
      <c r="H48" s="224" t="n">
        <v>0.1502792175399879</v>
      </c>
      <c r="I48" s="225" t="n">
        <v>0.3980305943447031</v>
      </c>
      <c r="J48" s="224" t="n">
        <v>0.01094985693891016</v>
      </c>
      <c r="K48" s="22" t="n">
        <v>55</v>
      </c>
      <c r="L48" s="224" t="n">
        <v>0.1425638891217837</v>
      </c>
      <c r="M48" s="224" t="n">
        <v>0.07513960876999395</v>
      </c>
      <c r="N48" s="22" t="inlineStr">
        <is>
          <t>30-60 days</t>
        </is>
      </c>
      <c r="O48" s="22" t="inlineStr">
        <is>
          <t>Yes</t>
        </is>
      </c>
      <c r="P48" s="22" t="inlineStr">
        <is>
          <t>Legacy B</t>
        </is>
      </c>
      <c r="Q48" s="22" t="inlineStr">
        <is>
          <t>Charlotte</t>
        </is>
      </c>
      <c r="R48" s="22" t="inlineStr">
        <is>
          <t>Project ledger / data room</t>
        </is>
      </c>
    </row>
    <row r="49">
      <c r="A49" s="22" t="inlineStr">
        <is>
          <t>CLN-01-P2</t>
        </is>
      </c>
      <c r="B49" s="22" t="inlineStr">
        <is>
          <t>CLN-01</t>
        </is>
      </c>
      <c r="C49" s="22" t="inlineStr">
        <is>
          <t>Clinica Health</t>
        </is>
      </c>
      <c r="D49" s="22" t="inlineStr">
        <is>
          <t>Industrial Hygiene</t>
        </is>
      </c>
      <c r="E49" s="22" t="inlineStr">
        <is>
          <t>Recurring</t>
        </is>
      </c>
      <c r="F49" s="226" t="n">
        <v>45352</v>
      </c>
      <c r="G49" s="226" t="n">
        <v>46143</v>
      </c>
      <c r="H49" s="224" t="n">
        <v>0.8497207824600121</v>
      </c>
      <c r="I49" s="225" t="n">
        <v>0.313098385200945</v>
      </c>
      <c r="J49" s="224" t="n">
        <v>0.03459395732612727</v>
      </c>
      <c r="K49" s="22" t="n">
        <v>117</v>
      </c>
      <c r="L49" s="224" t="n">
        <v>0.8919303816437021</v>
      </c>
      <c r="M49" s="224" t="n">
        <v>0.4248603912300061</v>
      </c>
      <c r="N49" s="22" t="inlineStr">
        <is>
          <t>30-60 days</t>
        </is>
      </c>
      <c r="O49" s="22" t="inlineStr">
        <is>
          <t>No</t>
        </is>
      </c>
      <c r="P49" s="22" t="inlineStr">
        <is>
          <t>Central PSA</t>
        </is>
      </c>
      <c r="Q49" s="22" t="inlineStr">
        <is>
          <t>Indianapolis</t>
        </is>
      </c>
      <c r="R49" s="22" t="inlineStr">
        <is>
          <t>Project ledger / data room</t>
        </is>
      </c>
    </row>
    <row r="50">
      <c r="A50" s="22" t="inlineStr">
        <is>
          <t>CLN-02-P1</t>
        </is>
      </c>
      <c r="B50" s="22" t="inlineStr">
        <is>
          <t>CLN-02</t>
        </is>
      </c>
      <c r="C50" s="22" t="inlineStr">
        <is>
          <t>Clinica Health</t>
        </is>
      </c>
      <c r="D50" s="22" t="inlineStr">
        <is>
          <t>EHS Compliance</t>
        </is>
      </c>
      <c r="E50" s="22" t="inlineStr">
        <is>
          <t>Repeat</t>
        </is>
      </c>
      <c r="F50" s="226" t="n">
        <v>45323</v>
      </c>
      <c r="G50" s="226" t="n">
        <v>46082</v>
      </c>
      <c r="H50" s="224" t="n">
        <v>0.8</v>
      </c>
      <c r="I50" s="225" t="n">
        <v>0.3933624805057427</v>
      </c>
      <c r="J50" s="224" t="n">
        <v>0.04935237747029943</v>
      </c>
      <c r="K50" s="22" t="n">
        <v>107</v>
      </c>
      <c r="L50" s="224" t="n">
        <v>0.9809242014521768</v>
      </c>
      <c r="M50" s="224" t="n">
        <v>0.2</v>
      </c>
      <c r="N50" s="22" t="inlineStr">
        <is>
          <t>30-60 days</t>
        </is>
      </c>
      <c r="O50" s="22" t="inlineStr">
        <is>
          <t>Yes</t>
        </is>
      </c>
      <c r="P50" s="22" t="inlineStr">
        <is>
          <t>Legacy B</t>
        </is>
      </c>
      <c r="Q50" s="22" t="inlineStr">
        <is>
          <t>Charlotte</t>
        </is>
      </c>
      <c r="R50" s="22" t="inlineStr">
        <is>
          <t>Project ledger / data room</t>
        </is>
      </c>
    </row>
    <row r="51">
      <c r="A51" s="22" t="inlineStr">
        <is>
          <t>PRE-01-P1</t>
        </is>
      </c>
      <c r="B51" s="22" t="inlineStr">
        <is>
          <t>PRE-01</t>
        </is>
      </c>
      <c r="C51" s="22" t="inlineStr">
        <is>
          <t>Precision Components</t>
        </is>
      </c>
      <c r="D51" s="22" t="inlineStr">
        <is>
          <t>EHS Compliance</t>
        </is>
      </c>
      <c r="E51" s="22" t="inlineStr">
        <is>
          <t>Repeat</t>
        </is>
      </c>
      <c r="F51" s="226" t="n">
        <v>45323</v>
      </c>
      <c r="G51" s="226" t="n">
        <v>46082</v>
      </c>
      <c r="H51" s="224" t="n">
        <v>0.410342364343118</v>
      </c>
      <c r="I51" s="225" t="n">
        <v>0.3292966652670219</v>
      </c>
      <c r="J51" s="224" t="n">
        <v>0.02134886972672695</v>
      </c>
      <c r="K51" s="22" t="n">
        <v>78</v>
      </c>
      <c r="L51" s="224" t="n">
        <v>0.270565309055794</v>
      </c>
      <c r="M51" s="224" t="n">
        <v>0.1025855910857795</v>
      </c>
      <c r="N51" s="22" t="inlineStr">
        <is>
          <t>30-60 days</t>
        </is>
      </c>
      <c r="O51" s="22" t="inlineStr">
        <is>
          <t>Yes</t>
        </is>
      </c>
      <c r="P51" s="22" t="inlineStr">
        <is>
          <t>Legacy B</t>
        </is>
      </c>
      <c r="Q51" s="22" t="inlineStr">
        <is>
          <t>Raleigh</t>
        </is>
      </c>
      <c r="R51" s="22" t="inlineStr">
        <is>
          <t>Project ledger / data room</t>
        </is>
      </c>
    </row>
    <row r="52">
      <c r="A52" s="22" t="inlineStr">
        <is>
          <t>PRE-01-P2</t>
        </is>
      </c>
      <c r="B52" s="22" t="inlineStr">
        <is>
          <t>PRE-01</t>
        </is>
      </c>
      <c r="C52" s="22" t="inlineStr">
        <is>
          <t>Precision Components</t>
        </is>
      </c>
      <c r="D52" s="22" t="inlineStr">
        <is>
          <t>EHS Compliance</t>
        </is>
      </c>
      <c r="E52" s="22" t="inlineStr">
        <is>
          <t>Repeat</t>
        </is>
      </c>
      <c r="F52" s="226" t="n">
        <v>45352</v>
      </c>
      <c r="G52" s="226" t="n">
        <v>46143</v>
      </c>
      <c r="H52" s="224" t="n">
        <v>0.489657635656882</v>
      </c>
      <c r="I52" s="225" t="n">
        <v>0.3419012552754543</v>
      </c>
      <c r="J52" s="224" t="n">
        <v>0.02279536675295281</v>
      </c>
      <c r="K52" s="22" t="n">
        <v>111</v>
      </c>
      <c r="L52" s="224" t="n">
        <v>0.3690961029648833</v>
      </c>
      <c r="M52" s="224" t="n">
        <v>0.1224144089142205</v>
      </c>
      <c r="N52" s="22" t="inlineStr">
        <is>
          <t>30-60 days</t>
        </is>
      </c>
      <c r="O52" s="22" t="inlineStr">
        <is>
          <t>No</t>
        </is>
      </c>
      <c r="P52" s="22" t="inlineStr">
        <is>
          <t>Central PSA</t>
        </is>
      </c>
      <c r="Q52" s="22" t="inlineStr">
        <is>
          <t>Charlotte</t>
        </is>
      </c>
      <c r="R52" s="22" t="inlineStr">
        <is>
          <t>Project ledger / data room</t>
        </is>
      </c>
    </row>
    <row r="53">
      <c r="A53" s="22" t="inlineStr">
        <is>
          <t>PRE-02-P1</t>
        </is>
      </c>
      <c r="B53" s="22" t="inlineStr">
        <is>
          <t>PRE-02</t>
        </is>
      </c>
      <c r="C53" s="22" t="inlineStr">
        <is>
          <t>Precision Components</t>
        </is>
      </c>
      <c r="D53" s="22" t="inlineStr">
        <is>
          <t>Industrial Hygiene</t>
        </is>
      </c>
      <c r="E53" s="22" t="inlineStr">
        <is>
          <t>Project</t>
        </is>
      </c>
      <c r="F53" s="226" t="n">
        <v>45323</v>
      </c>
      <c r="G53" s="226" t="n">
        <v>46082</v>
      </c>
      <c r="H53" s="224" t="n">
        <v>0.828</v>
      </c>
      <c r="I53" s="225" t="n">
        <v>0.358334877204185</v>
      </c>
      <c r="J53" s="224" t="n">
        <v>0.07055788646604046</v>
      </c>
      <c r="K53" s="22" t="n">
        <v>62</v>
      </c>
      <c r="L53" s="224" t="n">
        <v>1.091073057835726</v>
      </c>
      <c r="M53" s="224" t="n">
        <v>0.0414</v>
      </c>
      <c r="N53" s="22" t="inlineStr">
        <is>
          <t>30-60 days</t>
        </is>
      </c>
      <c r="O53" s="22" t="inlineStr">
        <is>
          <t>Yes</t>
        </is>
      </c>
      <c r="P53" s="22" t="inlineStr">
        <is>
          <t>Central PSA</t>
        </is>
      </c>
      <c r="Q53" s="22" t="inlineStr">
        <is>
          <t>Raleigh</t>
        </is>
      </c>
      <c r="R53" s="22" t="inlineStr">
        <is>
          <t>Project ledger / data room</t>
        </is>
      </c>
    </row>
    <row r="54">
      <c r="A54" s="22" t="inlineStr">
        <is>
          <t>SM-001-P1</t>
        </is>
      </c>
      <c r="B54" s="22" t="inlineStr">
        <is>
          <t>SM-001</t>
        </is>
      </c>
      <c r="C54" s="22" t="inlineStr">
        <is>
          <t>Northfield Foods</t>
        </is>
      </c>
      <c r="D54" s="22" t="inlineStr">
        <is>
          <t>EHS Compliance</t>
        </is>
      </c>
      <c r="E54" s="22" t="inlineStr">
        <is>
          <t>Repeat</t>
        </is>
      </c>
      <c r="F54" s="226" t="n">
        <v>45323</v>
      </c>
      <c r="G54" s="226" t="n">
        <v>46082</v>
      </c>
      <c r="H54" s="224" t="n">
        <v>0.6070823240195634</v>
      </c>
      <c r="I54" s="225" t="n">
        <v>0.3523506585587166</v>
      </c>
      <c r="J54" s="224" t="n">
        <v>0.0248510626947076</v>
      </c>
      <c r="K54" s="22" t="n">
        <v>64</v>
      </c>
      <c r="L54" s="224" t="n">
        <v>0.353994491359344</v>
      </c>
      <c r="M54" s="224" t="n">
        <v>0.1517705810048909</v>
      </c>
      <c r="N54" s="22" t="inlineStr">
        <is>
          <t>30-60 days</t>
        </is>
      </c>
      <c r="O54" s="22" t="inlineStr">
        <is>
          <t>Yes</t>
        </is>
      </c>
      <c r="P54" s="22" t="inlineStr">
        <is>
          <t>Legacy A</t>
        </is>
      </c>
      <c r="Q54" s="22" t="inlineStr">
        <is>
          <t>Raleigh</t>
        </is>
      </c>
      <c r="R54" s="22" t="inlineStr">
        <is>
          <t>Project ledger / data room</t>
        </is>
      </c>
    </row>
    <row r="55">
      <c r="A55" s="22" t="inlineStr">
        <is>
          <t>SM-001-P2</t>
        </is>
      </c>
      <c r="B55" s="22" t="inlineStr">
        <is>
          <t>SM-001</t>
        </is>
      </c>
      <c r="C55" s="22" t="inlineStr">
        <is>
          <t>Northfield Foods</t>
        </is>
      </c>
      <c r="D55" s="22" t="inlineStr">
        <is>
          <t>EHS Compliance</t>
        </is>
      </c>
      <c r="E55" s="22" t="inlineStr">
        <is>
          <t>Repeat</t>
        </is>
      </c>
      <c r="F55" s="226" t="n">
        <v>45352</v>
      </c>
      <c r="G55" s="226" t="n">
        <v>46143</v>
      </c>
      <c r="H55" s="224" t="n">
        <v>0.6436005495122586</v>
      </c>
      <c r="I55" s="225" t="n">
        <v>0.3003932481825642</v>
      </c>
      <c r="J55" s="224" t="n">
        <v>0.051461349035028</v>
      </c>
      <c r="K55" s="22" t="n">
        <v>37</v>
      </c>
      <c r="L55" s="224" t="n">
        <v>0.5621805313275894</v>
      </c>
      <c r="M55" s="224" t="n">
        <v>0.1609001373780647</v>
      </c>
      <c r="N55" s="22" t="inlineStr">
        <is>
          <t>30-60 days</t>
        </is>
      </c>
      <c r="O55" s="22" t="inlineStr">
        <is>
          <t>No</t>
        </is>
      </c>
      <c r="P55" s="22" t="inlineStr">
        <is>
          <t>Legacy B</t>
        </is>
      </c>
      <c r="Q55" s="22" t="inlineStr">
        <is>
          <t>Charlotte</t>
        </is>
      </c>
      <c r="R55" s="22" t="inlineStr">
        <is>
          <t>Project ledger / data room</t>
        </is>
      </c>
    </row>
    <row r="56">
      <c r="A56" s="22" t="inlineStr">
        <is>
          <t>SM-002-P1</t>
        </is>
      </c>
      <c r="B56" s="22" t="inlineStr">
        <is>
          <t>SM-002</t>
        </is>
      </c>
      <c r="C56" s="22" t="inlineStr">
        <is>
          <t>Ironbridge Logistics</t>
        </is>
      </c>
      <c r="D56" s="22" t="inlineStr">
        <is>
          <t>Industrial Hygiene</t>
        </is>
      </c>
      <c r="E56" s="22" t="inlineStr">
        <is>
          <t>Project</t>
        </is>
      </c>
      <c r="F56" s="226" t="n">
        <v>45323</v>
      </c>
      <c r="G56" s="226" t="n">
        <v>46082</v>
      </c>
      <c r="H56" s="224" t="n">
        <v>0.7008672312297151</v>
      </c>
      <c r="I56" s="225" t="n">
        <v>0.3325982151048864</v>
      </c>
      <c r="J56" s="224" t="n">
        <v>0.04619937060337183</v>
      </c>
      <c r="K56" s="22" t="n">
        <v>75</v>
      </c>
      <c r="L56" s="224" t="n">
        <v>0.8300177708309617</v>
      </c>
      <c r="M56" s="224" t="n">
        <v>0.03504336156148576</v>
      </c>
      <c r="N56" s="22" t="inlineStr">
        <is>
          <t>30-60 days</t>
        </is>
      </c>
      <c r="O56" s="22" t="inlineStr">
        <is>
          <t>Yes</t>
        </is>
      </c>
      <c r="P56" s="22" t="inlineStr">
        <is>
          <t>Legacy B</t>
        </is>
      </c>
      <c r="Q56" s="22" t="inlineStr">
        <is>
          <t>Louisville</t>
        </is>
      </c>
      <c r="R56" s="22" t="inlineStr">
        <is>
          <t>Project ledger / data room</t>
        </is>
      </c>
    </row>
    <row r="57">
      <c r="A57" s="22" t="inlineStr">
        <is>
          <t>SM-002-P2</t>
        </is>
      </c>
      <c r="B57" s="22" t="inlineStr">
        <is>
          <t>SM-002</t>
        </is>
      </c>
      <c r="C57" s="22" t="inlineStr">
        <is>
          <t>Ironbridge Logistics</t>
        </is>
      </c>
      <c r="D57" s="22" t="inlineStr">
        <is>
          <t>Industrial Hygiene</t>
        </is>
      </c>
      <c r="E57" s="22" t="inlineStr">
        <is>
          <t>Project</t>
        </is>
      </c>
      <c r="F57" s="226" t="n">
        <v>45352</v>
      </c>
      <c r="G57" s="226" t="n">
        <v>46143</v>
      </c>
      <c r="H57" s="224" t="n">
        <v>0.5378090867162015</v>
      </c>
      <c r="I57" s="225" t="n">
        <v>0.3106109417104928</v>
      </c>
      <c r="J57" s="224" t="n">
        <v>0.03657898106331827</v>
      </c>
      <c r="K57" s="22" t="n">
        <v>44</v>
      </c>
      <c r="L57" s="224" t="n">
        <v>0.3640521514492708</v>
      </c>
      <c r="M57" s="224" t="n">
        <v>0.02689045433581008</v>
      </c>
      <c r="N57" s="22" t="inlineStr">
        <is>
          <t>30-60 days</t>
        </is>
      </c>
      <c r="O57" s="22" t="inlineStr">
        <is>
          <t>No</t>
        </is>
      </c>
      <c r="P57" s="22" t="inlineStr">
        <is>
          <t>Central PSA</t>
        </is>
      </c>
      <c r="Q57" s="22" t="inlineStr">
        <is>
          <t>Nashville</t>
        </is>
      </c>
      <c r="R57" s="22" t="inlineStr">
        <is>
          <t>Project ledger / data room</t>
        </is>
      </c>
    </row>
    <row r="58">
      <c r="A58" s="22" t="inlineStr">
        <is>
          <t>SM-003-P1</t>
        </is>
      </c>
      <c r="B58" s="22" t="inlineStr">
        <is>
          <t>SM-003</t>
        </is>
      </c>
      <c r="C58" s="22" t="inlineStr">
        <is>
          <t>Cedar Municipal</t>
        </is>
      </c>
      <c r="D58" s="22" t="inlineStr">
        <is>
          <t>Field Inspection</t>
        </is>
      </c>
      <c r="E58" s="22" t="inlineStr">
        <is>
          <t>Recurring</t>
        </is>
      </c>
      <c r="F58" s="226" t="n">
        <v>45323</v>
      </c>
      <c r="G58" s="226" t="n">
        <v>46082</v>
      </c>
      <c r="H58" s="224" t="n">
        <v>0.7400998234151905</v>
      </c>
      <c r="I58" s="225" t="n">
        <v>0.3561729386656476</v>
      </c>
      <c r="J58" s="224" t="n">
        <v>0.05772753246798897</v>
      </c>
      <c r="K58" s="22" t="n">
        <v>111</v>
      </c>
      <c r="L58" s="224" t="n">
        <v>0.6240879871818056</v>
      </c>
      <c r="M58" s="224" t="n">
        <v>0.3700499117075953</v>
      </c>
      <c r="N58" s="22" t="inlineStr">
        <is>
          <t>30-60 days</t>
        </is>
      </c>
      <c r="O58" s="22" t="inlineStr">
        <is>
          <t>Yes</t>
        </is>
      </c>
      <c r="P58" s="22" t="inlineStr">
        <is>
          <t>Legacy B</t>
        </is>
      </c>
      <c r="Q58" s="22" t="inlineStr">
        <is>
          <t>Indianapolis</t>
        </is>
      </c>
      <c r="R58" s="22" t="inlineStr">
        <is>
          <t>Project ledger / data room</t>
        </is>
      </c>
    </row>
    <row r="59">
      <c r="A59" s="22" t="inlineStr">
        <is>
          <t>SM-003-P2</t>
        </is>
      </c>
      <c r="B59" s="22" t="inlineStr">
        <is>
          <t>SM-003</t>
        </is>
      </c>
      <c r="C59" s="22" t="inlineStr">
        <is>
          <t>Cedar Municipal</t>
        </is>
      </c>
      <c r="D59" s="22" t="inlineStr">
        <is>
          <t>Field Inspection</t>
        </is>
      </c>
      <c r="E59" s="22" t="inlineStr">
        <is>
          <t>Recurring</t>
        </is>
      </c>
      <c r="F59" s="226" t="n">
        <v>45352</v>
      </c>
      <c r="G59" s="226" t="n">
        <v>46143</v>
      </c>
      <c r="H59" s="224" t="n">
        <v>0.4865699389448205</v>
      </c>
      <c r="I59" s="225" t="n">
        <v>0.361252788434446</v>
      </c>
      <c r="J59" s="224" t="n">
        <v>0.03176214535837491</v>
      </c>
      <c r="K59" s="22" t="n">
        <v>71</v>
      </c>
      <c r="L59" s="224" t="n">
        <v>0.5316900571930044</v>
      </c>
      <c r="M59" s="224" t="n">
        <v>0.2432849694724103</v>
      </c>
      <c r="N59" s="22" t="inlineStr">
        <is>
          <t>30-60 days</t>
        </is>
      </c>
      <c r="O59" s="22" t="inlineStr">
        <is>
          <t>No</t>
        </is>
      </c>
      <c r="P59" s="22" t="inlineStr">
        <is>
          <t>Central PSA</t>
        </is>
      </c>
      <c r="Q59" s="22" t="inlineStr">
        <is>
          <t>Chicago</t>
        </is>
      </c>
      <c r="R59" s="22" t="inlineStr">
        <is>
          <t>Project ledger / data room</t>
        </is>
      </c>
    </row>
    <row r="60">
      <c r="A60" s="22" t="inlineStr">
        <is>
          <t>SM-004-P1</t>
        </is>
      </c>
      <c r="B60" s="22" t="inlineStr">
        <is>
          <t>SM-004</t>
        </is>
      </c>
      <c r="C60" s="22" t="inlineStr">
        <is>
          <t>Granite Bio</t>
        </is>
      </c>
      <c r="D60" s="22" t="inlineStr">
        <is>
          <t>Permitting &amp; Advisory</t>
        </is>
      </c>
      <c r="E60" s="22" t="inlineStr">
        <is>
          <t>Repeat</t>
        </is>
      </c>
      <c r="F60" s="226" t="n">
        <v>45323</v>
      </c>
      <c r="G60" s="226" t="n">
        <v>46082</v>
      </c>
      <c r="H60" s="224" t="n">
        <v>0.5574577732182725</v>
      </c>
      <c r="I60" s="225" t="n">
        <v>0.3478036318032085</v>
      </c>
      <c r="J60" s="224" t="n">
        <v>0.04854066703073617</v>
      </c>
      <c r="K60" s="22" t="n">
        <v>89</v>
      </c>
      <c r="L60" s="224" t="n">
        <v>0.7116146271075242</v>
      </c>
      <c r="M60" s="224" t="n">
        <v>0.1393644433045681</v>
      </c>
      <c r="N60" s="22" t="inlineStr">
        <is>
          <t>30-60 days</t>
        </is>
      </c>
      <c r="O60" s="22" t="inlineStr">
        <is>
          <t>Yes</t>
        </is>
      </c>
      <c r="P60" s="22" t="inlineStr">
        <is>
          <t>Legacy A</t>
        </is>
      </c>
      <c r="Q60" s="22" t="inlineStr">
        <is>
          <t>Charlotte</t>
        </is>
      </c>
      <c r="R60" s="22" t="inlineStr">
        <is>
          <t>Project ledger / data room</t>
        </is>
      </c>
    </row>
    <row r="61">
      <c r="A61" s="22" t="inlineStr">
        <is>
          <t>SM-004-P2</t>
        </is>
      </c>
      <c r="B61" s="22" t="inlineStr">
        <is>
          <t>SM-004</t>
        </is>
      </c>
      <c r="C61" s="22" t="inlineStr">
        <is>
          <t>Granite Bio</t>
        </is>
      </c>
      <c r="D61" s="22" t="inlineStr">
        <is>
          <t>Permitting &amp; Advisory</t>
        </is>
      </c>
      <c r="E61" s="22" t="inlineStr">
        <is>
          <t>Repeat</t>
        </is>
      </c>
      <c r="F61" s="226" t="n">
        <v>45352</v>
      </c>
      <c r="G61" s="226" t="n">
        <v>46143</v>
      </c>
      <c r="H61" s="224" t="n">
        <v>0.6572054335558328</v>
      </c>
      <c r="I61" s="225" t="n">
        <v>0.3942180588303575</v>
      </c>
      <c r="J61" s="224" t="n">
        <v>0.03481849065240183</v>
      </c>
      <c r="K61" s="22" t="n">
        <v>75</v>
      </c>
      <c r="L61" s="224" t="n">
        <v>0.8828023934700893</v>
      </c>
      <c r="M61" s="224" t="n">
        <v>0.1643013583889582</v>
      </c>
      <c r="N61" s="22" t="inlineStr">
        <is>
          <t>30-60 days</t>
        </is>
      </c>
      <c r="O61" s="22" t="inlineStr">
        <is>
          <t>No</t>
        </is>
      </c>
      <c r="P61" s="22" t="inlineStr">
        <is>
          <t>Legacy B</t>
        </is>
      </c>
      <c r="Q61" s="22" t="inlineStr">
        <is>
          <t>Indianapolis</t>
        </is>
      </c>
      <c r="R61" s="22" t="inlineStr">
        <is>
          <t>Project ledger / data room</t>
        </is>
      </c>
    </row>
    <row r="62">
      <c r="A62" s="22" t="inlineStr">
        <is>
          <t>SM-005-P1</t>
        </is>
      </c>
      <c r="B62" s="22" t="inlineStr">
        <is>
          <t>SM-005</t>
        </is>
      </c>
      <c r="C62" s="22" t="inlineStr">
        <is>
          <t>Oak Ridge Manufacturing</t>
        </is>
      </c>
      <c r="D62" s="22" t="inlineStr">
        <is>
          <t>EHS Compliance</t>
        </is>
      </c>
      <c r="E62" s="22" t="inlineStr">
        <is>
          <t>Project</t>
        </is>
      </c>
      <c r="F62" s="226" t="n">
        <v>45323</v>
      </c>
      <c r="G62" s="226" t="n">
        <v>46082</v>
      </c>
      <c r="H62" s="224" t="n">
        <v>1.033871607964437</v>
      </c>
      <c r="I62" s="225" t="n">
        <v>0.3121621954384181</v>
      </c>
      <c r="J62" s="224" t="n">
        <v>0.06420953126033159</v>
      </c>
      <c r="K62" s="22" t="n">
        <v>27</v>
      </c>
      <c r="L62" s="224" t="n">
        <v>0.6623382233264227</v>
      </c>
      <c r="M62" s="224" t="n">
        <v>0.05169358039822185</v>
      </c>
      <c r="N62" s="22" t="inlineStr">
        <is>
          <t>30-60 days</t>
        </is>
      </c>
      <c r="O62" s="22" t="inlineStr">
        <is>
          <t>Yes</t>
        </is>
      </c>
      <c r="P62" s="22" t="inlineStr">
        <is>
          <t>Central PSA</t>
        </is>
      </c>
      <c r="Q62" s="22" t="inlineStr">
        <is>
          <t>Charlotte</t>
        </is>
      </c>
      <c r="R62" s="22" t="inlineStr">
        <is>
          <t>Project ledger / data room</t>
        </is>
      </c>
    </row>
    <row r="63">
      <c r="A63" s="22" t="inlineStr">
        <is>
          <t>SM-005-P2</t>
        </is>
      </c>
      <c r="B63" s="22" t="inlineStr">
        <is>
          <t>SM-005</t>
        </is>
      </c>
      <c r="C63" s="22" t="inlineStr">
        <is>
          <t>Oak Ridge Manufacturing</t>
        </is>
      </c>
      <c r="D63" s="22" t="inlineStr">
        <is>
          <t>EHS Compliance</t>
        </is>
      </c>
      <c r="E63" s="22" t="inlineStr">
        <is>
          <t>Project</t>
        </is>
      </c>
      <c r="F63" s="226" t="n">
        <v>45352</v>
      </c>
      <c r="G63" s="226" t="n">
        <v>46143</v>
      </c>
      <c r="H63" s="224" t="n">
        <v>0.168785043223763</v>
      </c>
      <c r="I63" s="225" t="n">
        <v>0.3073120766972674</v>
      </c>
      <c r="J63" s="224" t="n">
        <v>0.01240124597811233</v>
      </c>
      <c r="K63" s="22" t="n">
        <v>98</v>
      </c>
      <c r="L63" s="224" t="n">
        <v>0.2189186625358058</v>
      </c>
      <c r="M63" s="224" t="n">
        <v>0.008439252161188153</v>
      </c>
      <c r="N63" s="22" t="inlineStr">
        <is>
          <t>30-60 days</t>
        </is>
      </c>
      <c r="O63" s="22" t="inlineStr">
        <is>
          <t>No</t>
        </is>
      </c>
      <c r="P63" s="22" t="inlineStr">
        <is>
          <t>Legacy A</t>
        </is>
      </c>
      <c r="Q63" s="22" t="inlineStr">
        <is>
          <t>Indianapolis</t>
        </is>
      </c>
      <c r="R63" s="22" t="inlineStr">
        <is>
          <t>Project ledger / data room</t>
        </is>
      </c>
    </row>
    <row r="64">
      <c r="A64" s="22" t="inlineStr">
        <is>
          <t>SM-006-P1</t>
        </is>
      </c>
      <c r="B64" s="22" t="inlineStr">
        <is>
          <t>SM-006</t>
        </is>
      </c>
      <c r="C64" s="22" t="inlineStr">
        <is>
          <t>Summit Water</t>
        </is>
      </c>
      <c r="D64" s="22" t="inlineStr">
        <is>
          <t>Industrial Hygiene</t>
        </is>
      </c>
      <c r="E64" s="22" t="inlineStr">
        <is>
          <t>Recurring</t>
        </is>
      </c>
      <c r="F64" s="226" t="n">
        <v>45323</v>
      </c>
      <c r="G64" s="226" t="n">
        <v>46082</v>
      </c>
      <c r="H64" s="224" t="n">
        <v>0.2112324399923698</v>
      </c>
      <c r="I64" s="225" t="n">
        <v>0.3660256515191371</v>
      </c>
      <c r="J64" s="224" t="n">
        <v>0.009959387729654821</v>
      </c>
      <c r="K64" s="22" t="n">
        <v>108</v>
      </c>
      <c r="L64" s="224" t="n">
        <v>0.2888698212414553</v>
      </c>
      <c r="M64" s="224" t="n">
        <v>0.1056162199961849</v>
      </c>
      <c r="N64" s="22" t="inlineStr">
        <is>
          <t>30-60 days</t>
        </is>
      </c>
      <c r="O64" s="22" t="inlineStr">
        <is>
          <t>Yes</t>
        </is>
      </c>
      <c r="P64" s="22" t="inlineStr">
        <is>
          <t>Legacy A</t>
        </is>
      </c>
      <c r="Q64" s="22" t="inlineStr">
        <is>
          <t>Chicago</t>
        </is>
      </c>
      <c r="R64" s="22" t="inlineStr">
        <is>
          <t>Project ledger / data room</t>
        </is>
      </c>
    </row>
    <row r="65">
      <c r="A65" s="22" t="inlineStr">
        <is>
          <t>SM-006-P2</t>
        </is>
      </c>
      <c r="B65" s="22" t="inlineStr">
        <is>
          <t>SM-006</t>
        </is>
      </c>
      <c r="C65" s="22" t="inlineStr">
        <is>
          <t>Summit Water</t>
        </is>
      </c>
      <c r="D65" s="22" t="inlineStr">
        <is>
          <t>Industrial Hygiene</t>
        </is>
      </c>
      <c r="E65" s="22" t="inlineStr">
        <is>
          <t>Recurring</t>
        </is>
      </c>
      <c r="F65" s="226" t="n">
        <v>45352</v>
      </c>
      <c r="G65" s="226" t="n">
        <v>46143</v>
      </c>
      <c r="H65" s="224" t="n">
        <v>0.9794176556099247</v>
      </c>
      <c r="I65" s="225" t="n">
        <v>0.3219587830801919</v>
      </c>
      <c r="J65" s="224" t="n">
        <v>0.08582167426962733</v>
      </c>
      <c r="K65" s="22" t="n">
        <v>59</v>
      </c>
      <c r="L65" s="224" t="n">
        <v>0.8689988681562127</v>
      </c>
      <c r="M65" s="224" t="n">
        <v>0.4897088278049623</v>
      </c>
      <c r="N65" s="22" t="inlineStr">
        <is>
          <t>30-60 days</t>
        </is>
      </c>
      <c r="O65" s="22" t="inlineStr">
        <is>
          <t>No</t>
        </is>
      </c>
      <c r="P65" s="22" t="inlineStr">
        <is>
          <t>Legacy B</t>
        </is>
      </c>
      <c r="Q65" s="22" t="inlineStr">
        <is>
          <t>Louisville</t>
        </is>
      </c>
      <c r="R65" s="22" t="inlineStr">
        <is>
          <t>Project ledger / data room</t>
        </is>
      </c>
    </row>
    <row r="66">
      <c r="A66" s="22" t="inlineStr">
        <is>
          <t>SM-007-P1</t>
        </is>
      </c>
      <c r="B66" s="22" t="inlineStr">
        <is>
          <t>SM-007</t>
        </is>
      </c>
      <c r="C66" s="22" t="inlineStr">
        <is>
          <t>Keystone Health</t>
        </is>
      </c>
      <c r="D66" s="22" t="inlineStr">
        <is>
          <t>Field Inspection</t>
        </is>
      </c>
      <c r="E66" s="22" t="inlineStr">
        <is>
          <t>Repeat</t>
        </is>
      </c>
      <c r="F66" s="226" t="n">
        <v>45323</v>
      </c>
      <c r="G66" s="226" t="n">
        <v>46082</v>
      </c>
      <c r="H66" s="224" t="n">
        <v>0.6402322736817841</v>
      </c>
      <c r="I66" s="225" t="n">
        <v>0.3161466059880879</v>
      </c>
      <c r="J66" s="224" t="n">
        <v>0.03942300068126764</v>
      </c>
      <c r="K66" s="22" t="n">
        <v>71</v>
      </c>
      <c r="L66" s="224" t="n">
        <v>0.4732060096049564</v>
      </c>
      <c r="M66" s="224" t="n">
        <v>0.160058068420446</v>
      </c>
      <c r="N66" s="22" t="inlineStr">
        <is>
          <t>30-60 days</t>
        </is>
      </c>
      <c r="O66" s="22" t="inlineStr">
        <is>
          <t>Yes</t>
        </is>
      </c>
      <c r="P66" s="22" t="inlineStr">
        <is>
          <t>Legacy B</t>
        </is>
      </c>
      <c r="Q66" s="22" t="inlineStr">
        <is>
          <t>Chicago</t>
        </is>
      </c>
      <c r="R66" s="22" t="inlineStr">
        <is>
          <t>Project ledger / data room</t>
        </is>
      </c>
    </row>
    <row r="67">
      <c r="A67" s="22" t="inlineStr">
        <is>
          <t>SM-007-P2</t>
        </is>
      </c>
      <c r="B67" s="22" t="inlineStr">
        <is>
          <t>SM-007</t>
        </is>
      </c>
      <c r="C67" s="22" t="inlineStr">
        <is>
          <t>Keystone Health</t>
        </is>
      </c>
      <c r="D67" s="22" t="inlineStr">
        <is>
          <t>Field Inspection</t>
        </is>
      </c>
      <c r="E67" s="22" t="inlineStr">
        <is>
          <t>Repeat</t>
        </is>
      </c>
      <c r="F67" s="226" t="n">
        <v>45352</v>
      </c>
      <c r="G67" s="226" t="n">
        <v>46143</v>
      </c>
      <c r="H67" s="224" t="n">
        <v>0.5384112663346049</v>
      </c>
      <c r="I67" s="225" t="n">
        <v>0.3195744666133931</v>
      </c>
      <c r="J67" s="224" t="n">
        <v>0.03011133838381658</v>
      </c>
      <c r="K67" s="22" t="n">
        <v>92</v>
      </c>
      <c r="L67" s="224" t="n">
        <v>0.225854334498437</v>
      </c>
      <c r="M67" s="224" t="n">
        <v>0.1346028165836512</v>
      </c>
      <c r="N67" s="22" t="inlineStr">
        <is>
          <t>30-60 days</t>
        </is>
      </c>
      <c r="O67" s="22" t="inlineStr">
        <is>
          <t>No</t>
        </is>
      </c>
      <c r="P67" s="22" t="inlineStr">
        <is>
          <t>Central PSA</t>
        </is>
      </c>
      <c r="Q67" s="22" t="inlineStr">
        <is>
          <t>Louisville</t>
        </is>
      </c>
      <c r="R67" s="22" t="inlineStr">
        <is>
          <t>Project ledger / data room</t>
        </is>
      </c>
    </row>
    <row r="68">
      <c r="A68" s="22" t="inlineStr">
        <is>
          <t>SM-008-P1</t>
        </is>
      </c>
      <c r="B68" s="22" t="inlineStr">
        <is>
          <t>SM-008</t>
        </is>
      </c>
      <c r="C68" s="22" t="inlineStr">
        <is>
          <t>Lakefront Infrastructure</t>
        </is>
      </c>
      <c r="D68" s="22" t="inlineStr">
        <is>
          <t>Permitting &amp; Advisory</t>
        </is>
      </c>
      <c r="E68" s="22" t="inlineStr">
        <is>
          <t>Project</t>
        </is>
      </c>
      <c r="F68" s="226" t="n">
        <v>45323</v>
      </c>
      <c r="G68" s="226" t="n">
        <v>46082</v>
      </c>
      <c r="H68" s="224" t="n">
        <v>0.649944779829027</v>
      </c>
      <c r="I68" s="225" t="n">
        <v>0.3018081980827038</v>
      </c>
      <c r="J68" s="224" t="n">
        <v>0.03677055732176999</v>
      </c>
      <c r="K68" s="22" t="n">
        <v>82</v>
      </c>
      <c r="L68" s="224" t="n">
        <v>0.5929201096219259</v>
      </c>
      <c r="M68" s="224" t="n">
        <v>0.03249723899145135</v>
      </c>
      <c r="N68" s="22" t="inlineStr">
        <is>
          <t>30-60 days</t>
        </is>
      </c>
      <c r="O68" s="22" t="inlineStr">
        <is>
          <t>Yes</t>
        </is>
      </c>
      <c r="P68" s="22" t="inlineStr">
        <is>
          <t>Legacy B</t>
        </is>
      </c>
      <c r="Q68" s="22" t="inlineStr">
        <is>
          <t>Chicago</t>
        </is>
      </c>
      <c r="R68" s="22" t="inlineStr">
        <is>
          <t>Project ledger / data room</t>
        </is>
      </c>
    </row>
    <row r="69">
      <c r="A69" s="22" t="inlineStr">
        <is>
          <t>SM-008-P2</t>
        </is>
      </c>
      <c r="B69" s="22" t="inlineStr">
        <is>
          <t>SM-008</t>
        </is>
      </c>
      <c r="C69" s="22" t="inlineStr">
        <is>
          <t>Lakefront Infrastructure</t>
        </is>
      </c>
      <c r="D69" s="22" t="inlineStr">
        <is>
          <t>Permitting &amp; Advisory</t>
        </is>
      </c>
      <c r="E69" s="22" t="inlineStr">
        <is>
          <t>Project</t>
        </is>
      </c>
      <c r="F69" s="226" t="n">
        <v>45352</v>
      </c>
      <c r="G69" s="226" t="n">
        <v>46143</v>
      </c>
      <c r="H69" s="224" t="n">
        <v>0.5166922046014566</v>
      </c>
      <c r="I69" s="225" t="n">
        <v>0.3064290792590752</v>
      </c>
      <c r="J69" s="224" t="n">
        <v>0.0461169298404384</v>
      </c>
      <c r="K69" s="22" t="n">
        <v>98</v>
      </c>
      <c r="L69" s="224" t="n">
        <v>0.7087446089162651</v>
      </c>
      <c r="M69" s="224" t="n">
        <v>0.02583461023007283</v>
      </c>
      <c r="N69" s="22" t="inlineStr">
        <is>
          <t>30-60 days</t>
        </is>
      </c>
      <c r="O69" s="22" t="inlineStr">
        <is>
          <t>No</t>
        </is>
      </c>
      <c r="P69" s="22" t="inlineStr">
        <is>
          <t>Central PSA</t>
        </is>
      </c>
      <c r="Q69" s="22" t="inlineStr">
        <is>
          <t>Louisville</t>
        </is>
      </c>
      <c r="R69" s="22" t="inlineStr">
        <is>
          <t>Project ledger / data room</t>
        </is>
      </c>
    </row>
    <row r="70">
      <c r="A70" s="22" t="inlineStr">
        <is>
          <t>SM-009-P1</t>
        </is>
      </c>
      <c r="B70" s="22" t="inlineStr">
        <is>
          <t>SM-009</t>
        </is>
      </c>
      <c r="C70" s="22" t="inlineStr">
        <is>
          <t>Blue Ridge Metals</t>
        </is>
      </c>
      <c r="D70" s="22" t="inlineStr">
        <is>
          <t>EHS Compliance</t>
        </is>
      </c>
      <c r="E70" s="22" t="inlineStr">
        <is>
          <t>Recurring</t>
        </is>
      </c>
      <c r="F70" s="226" t="n">
        <v>45323</v>
      </c>
      <c r="G70" s="226" t="n">
        <v>46082</v>
      </c>
      <c r="H70" s="224" t="n">
        <v>0.3266739880823474</v>
      </c>
      <c r="I70" s="225" t="n">
        <v>0.3039588189914068</v>
      </c>
      <c r="J70" s="224" t="n">
        <v>0.02579086938260279</v>
      </c>
      <c r="K70" s="22" t="n">
        <v>47</v>
      </c>
      <c r="L70" s="224" t="n">
        <v>0.1729920264695637</v>
      </c>
      <c r="M70" s="224" t="n">
        <v>0.1633369940411737</v>
      </c>
      <c r="N70" s="22" t="inlineStr">
        <is>
          <t>30-60 days</t>
        </is>
      </c>
      <c r="O70" s="22" t="inlineStr">
        <is>
          <t>Yes</t>
        </is>
      </c>
      <c r="P70" s="22" t="inlineStr">
        <is>
          <t>Central PSA</t>
        </is>
      </c>
      <c r="Q70" s="22" t="inlineStr">
        <is>
          <t>Chicago</t>
        </is>
      </c>
      <c r="R70" s="22" t="inlineStr">
        <is>
          <t>Project ledger / data room</t>
        </is>
      </c>
    </row>
    <row r="71">
      <c r="A71" s="22" t="inlineStr">
        <is>
          <t>SM-009-P2</t>
        </is>
      </c>
      <c r="B71" s="22" t="inlineStr">
        <is>
          <t>SM-009</t>
        </is>
      </c>
      <c r="C71" s="22" t="inlineStr">
        <is>
          <t>Blue Ridge Metals</t>
        </is>
      </c>
      <c r="D71" s="22" t="inlineStr">
        <is>
          <t>EHS Compliance</t>
        </is>
      </c>
      <c r="E71" s="22" t="inlineStr">
        <is>
          <t>Recurring</t>
        </is>
      </c>
      <c r="F71" s="226" t="n">
        <v>45352</v>
      </c>
      <c r="G71" s="226" t="n">
        <v>46143</v>
      </c>
      <c r="H71" s="224" t="n">
        <v>0.8279564407622307</v>
      </c>
      <c r="I71" s="225" t="n">
        <v>0.3422254181277661</v>
      </c>
      <c r="J71" s="224" t="n">
        <v>0.07084880459593437</v>
      </c>
      <c r="K71" s="22" t="n">
        <v>101</v>
      </c>
      <c r="L71" s="224" t="n">
        <v>0.5452995757426286</v>
      </c>
      <c r="M71" s="224" t="n">
        <v>0.4139782203811154</v>
      </c>
      <c r="N71" s="22" t="inlineStr">
        <is>
          <t>30-60 days</t>
        </is>
      </c>
      <c r="O71" s="22" t="inlineStr">
        <is>
          <t>No</t>
        </is>
      </c>
      <c r="P71" s="22" t="inlineStr">
        <is>
          <t>Legacy A</t>
        </is>
      </c>
      <c r="Q71" s="22" t="inlineStr">
        <is>
          <t>Louisville</t>
        </is>
      </c>
      <c r="R71" s="22" t="inlineStr">
        <is>
          <t>Project ledger / data room</t>
        </is>
      </c>
    </row>
    <row r="72">
      <c r="A72" s="22" t="inlineStr">
        <is>
          <t>SM-010-P1</t>
        </is>
      </c>
      <c r="B72" s="22" t="inlineStr">
        <is>
          <t>SM-010</t>
        </is>
      </c>
      <c r="C72" s="22" t="inlineStr">
        <is>
          <t>Pioneer Components</t>
        </is>
      </c>
      <c r="D72" s="22" t="inlineStr">
        <is>
          <t>Industrial Hygiene</t>
        </is>
      </c>
      <c r="E72" s="22" t="inlineStr">
        <is>
          <t>Repeat</t>
        </is>
      </c>
      <c r="F72" s="226" t="n">
        <v>45323</v>
      </c>
      <c r="G72" s="226" t="n">
        <v>46082</v>
      </c>
      <c r="H72" s="224" t="n">
        <v>0.1597239874097699</v>
      </c>
      <c r="I72" s="225" t="n">
        <v>0.3570594925393254</v>
      </c>
      <c r="J72" s="224" t="n">
        <v>0.01198263286708056</v>
      </c>
      <c r="K72" s="22" t="n">
        <v>28</v>
      </c>
      <c r="L72" s="224" t="n">
        <v>0.07307795891275365</v>
      </c>
      <c r="M72" s="224" t="n">
        <v>0.03993099685244248</v>
      </c>
      <c r="N72" s="22" t="inlineStr">
        <is>
          <t>30-60 days</t>
        </is>
      </c>
      <c r="O72" s="22" t="inlineStr">
        <is>
          <t>Yes</t>
        </is>
      </c>
      <c r="P72" s="22" t="inlineStr">
        <is>
          <t>Legacy A</t>
        </is>
      </c>
      <c r="Q72" s="22" t="inlineStr">
        <is>
          <t>Louisville</t>
        </is>
      </c>
      <c r="R72" s="22" t="inlineStr">
        <is>
          <t>Project ledger / data room</t>
        </is>
      </c>
    </row>
    <row r="73">
      <c r="A73" s="22" t="inlineStr">
        <is>
          <t>SM-010-P2</t>
        </is>
      </c>
      <c r="B73" s="22" t="inlineStr">
        <is>
          <t>SM-010</t>
        </is>
      </c>
      <c r="C73" s="22" t="inlineStr">
        <is>
          <t>Pioneer Components</t>
        </is>
      </c>
      <c r="D73" s="22" t="inlineStr">
        <is>
          <t>Industrial Hygiene</t>
        </is>
      </c>
      <c r="E73" s="22" t="inlineStr">
        <is>
          <t>Repeat</t>
        </is>
      </c>
      <c r="F73" s="226" t="n">
        <v>45352</v>
      </c>
      <c r="G73" s="226" t="n">
        <v>46143</v>
      </c>
      <c r="H73" s="224" t="n">
        <v>0.9828998858489026</v>
      </c>
      <c r="I73" s="225" t="n">
        <v>0.3688205571348548</v>
      </c>
      <c r="J73" s="224" t="n">
        <v>0.06021819897634155</v>
      </c>
      <c r="K73" s="22" t="n">
        <v>27</v>
      </c>
      <c r="L73" s="224" t="n">
        <v>1.315463776241488</v>
      </c>
      <c r="M73" s="224" t="n">
        <v>0.2457249714622257</v>
      </c>
      <c r="N73" s="22" t="inlineStr">
        <is>
          <t>30-60 days</t>
        </is>
      </c>
      <c r="O73" s="22" t="inlineStr">
        <is>
          <t>No</t>
        </is>
      </c>
      <c r="P73" s="22" t="inlineStr">
        <is>
          <t>Legacy B</t>
        </is>
      </c>
      <c r="Q73" s="22" t="inlineStr">
        <is>
          <t>Nashville</t>
        </is>
      </c>
      <c r="R73" s="22" t="inlineStr">
        <is>
          <t>Project ledger / data room</t>
        </is>
      </c>
    </row>
    <row r="74">
      <c r="A74" s="22" t="inlineStr">
        <is>
          <t>SM-011-P1</t>
        </is>
      </c>
      <c r="B74" s="22" t="inlineStr">
        <is>
          <t>SM-011</t>
        </is>
      </c>
      <c r="C74" s="22" t="inlineStr">
        <is>
          <t>Evergreen Chemicals</t>
        </is>
      </c>
      <c r="D74" s="22" t="inlineStr">
        <is>
          <t>Field Inspection</t>
        </is>
      </c>
      <c r="E74" s="22" t="inlineStr">
        <is>
          <t>Project</t>
        </is>
      </c>
      <c r="F74" s="226" t="n">
        <v>45323</v>
      </c>
      <c r="G74" s="226" t="n">
        <v>46082</v>
      </c>
      <c r="H74" s="224" t="n">
        <v>0.4994946227825815</v>
      </c>
      <c r="I74" s="225" t="n">
        <v>0.3083742526234518</v>
      </c>
      <c r="J74" s="224" t="n">
        <v>0.04136386489832079</v>
      </c>
      <c r="K74" s="22" t="n">
        <v>26</v>
      </c>
      <c r="L74" s="224" t="n">
        <v>0.6307493068268371</v>
      </c>
      <c r="M74" s="224" t="n">
        <v>0.02497473113912908</v>
      </c>
      <c r="N74" s="22" t="inlineStr">
        <is>
          <t>30-60 days</t>
        </is>
      </c>
      <c r="O74" s="22" t="inlineStr">
        <is>
          <t>Yes</t>
        </is>
      </c>
      <c r="P74" s="22" t="inlineStr">
        <is>
          <t>Legacy B</t>
        </is>
      </c>
      <c r="Q74" s="22" t="inlineStr">
        <is>
          <t>Indianapolis</t>
        </is>
      </c>
      <c r="R74" s="22" t="inlineStr">
        <is>
          <t>Project ledger / data room</t>
        </is>
      </c>
    </row>
    <row r="75">
      <c r="A75" s="22" t="inlineStr">
        <is>
          <t>SM-011-P2</t>
        </is>
      </c>
      <c r="B75" s="22" t="inlineStr">
        <is>
          <t>SM-011</t>
        </is>
      </c>
      <c r="C75" s="22" t="inlineStr">
        <is>
          <t>Evergreen Chemicals</t>
        </is>
      </c>
      <c r="D75" s="22" t="inlineStr">
        <is>
          <t>Field Inspection</t>
        </is>
      </c>
      <c r="E75" s="22" t="inlineStr">
        <is>
          <t>Project</t>
        </is>
      </c>
      <c r="F75" s="226" t="n">
        <v>45352</v>
      </c>
      <c r="G75" s="226" t="n">
        <v>46143</v>
      </c>
      <c r="H75" s="224" t="n">
        <v>0.6311226948901854</v>
      </c>
      <c r="I75" s="225" t="n">
        <v>0.3453773520972925</v>
      </c>
      <c r="J75" s="224" t="n">
        <v>0.03594722697844119</v>
      </c>
      <c r="K75" s="22" t="n">
        <v>75</v>
      </c>
      <c r="L75" s="224" t="n">
        <v>0.8372910937910658</v>
      </c>
      <c r="M75" s="224" t="n">
        <v>0.03155613474450927</v>
      </c>
      <c r="N75" s="22" t="inlineStr">
        <is>
          <t>30-60 days</t>
        </is>
      </c>
      <c r="O75" s="22" t="inlineStr">
        <is>
          <t>No</t>
        </is>
      </c>
      <c r="P75" s="22" t="inlineStr">
        <is>
          <t>Central PSA</t>
        </is>
      </c>
      <c r="Q75" s="22" t="inlineStr">
        <is>
          <t>Chicago</t>
        </is>
      </c>
      <c r="R75" s="22" t="inlineStr">
        <is>
          <t>Project ledger / data room</t>
        </is>
      </c>
    </row>
    <row r="76">
      <c r="A76" s="22" t="inlineStr">
        <is>
          <t>SM-012-P1</t>
        </is>
      </c>
      <c r="B76" s="22" t="inlineStr">
        <is>
          <t>SM-012</t>
        </is>
      </c>
      <c r="C76" s="22" t="inlineStr">
        <is>
          <t>Redwood Utilities</t>
        </is>
      </c>
      <c r="D76" s="22" t="inlineStr">
        <is>
          <t>Permitting &amp; Advisory</t>
        </is>
      </c>
      <c r="E76" s="22" t="inlineStr">
        <is>
          <t>Recurring</t>
        </is>
      </c>
      <c r="F76" s="226" t="n">
        <v>45323</v>
      </c>
      <c r="G76" s="226" t="n">
        <v>46082</v>
      </c>
      <c r="H76" s="224" t="n">
        <v>0.7545768223653102</v>
      </c>
      <c r="I76" s="225" t="n">
        <v>0.3526915026527171</v>
      </c>
      <c r="J76" s="224" t="n">
        <v>0.03917899324906766</v>
      </c>
      <c r="K76" s="22" t="n">
        <v>30</v>
      </c>
      <c r="L76" s="224" t="n">
        <v>0.4236564714576156</v>
      </c>
      <c r="M76" s="224" t="n">
        <v>0.3772884111826551</v>
      </c>
      <c r="N76" s="22" t="inlineStr">
        <is>
          <t>30-60 days</t>
        </is>
      </c>
      <c r="O76" s="22" t="inlineStr">
        <is>
          <t>Yes</t>
        </is>
      </c>
      <c r="P76" s="22" t="inlineStr">
        <is>
          <t>Legacy B</t>
        </is>
      </c>
      <c r="Q76" s="22" t="inlineStr">
        <is>
          <t>Raleigh</t>
        </is>
      </c>
      <c r="R76" s="22" t="inlineStr">
        <is>
          <t>Project ledger / data room</t>
        </is>
      </c>
    </row>
    <row r="77">
      <c r="A77" s="22" t="inlineStr">
        <is>
          <t>SM-012-P2</t>
        </is>
      </c>
      <c r="B77" s="22" t="inlineStr">
        <is>
          <t>SM-012</t>
        </is>
      </c>
      <c r="C77" s="22" t="inlineStr">
        <is>
          <t>Redwood Utilities</t>
        </is>
      </c>
      <c r="D77" s="22" t="inlineStr">
        <is>
          <t>Permitting &amp; Advisory</t>
        </is>
      </c>
      <c r="E77" s="22" t="inlineStr">
        <is>
          <t>Recurring</t>
        </is>
      </c>
      <c r="F77" s="226" t="n">
        <v>45352</v>
      </c>
      <c r="G77" s="226" t="n">
        <v>46143</v>
      </c>
      <c r="H77" s="224" t="n">
        <v>0.3640339397215512</v>
      </c>
      <c r="I77" s="225" t="n">
        <v>0.3050379717209533</v>
      </c>
      <c r="J77" s="224" t="n">
        <v>0.0182338821143578</v>
      </c>
      <c r="K77" s="22" t="n">
        <v>51</v>
      </c>
      <c r="L77" s="224" t="n">
        <v>0.2566458925149347</v>
      </c>
      <c r="M77" s="224" t="n">
        <v>0.1820169698607756</v>
      </c>
      <c r="N77" s="22" t="inlineStr">
        <is>
          <t>30-60 days</t>
        </is>
      </c>
      <c r="O77" s="22" t="inlineStr">
        <is>
          <t>No</t>
        </is>
      </c>
      <c r="P77" s="22" t="inlineStr">
        <is>
          <t>Central PSA</t>
        </is>
      </c>
      <c r="Q77" s="22" t="inlineStr">
        <is>
          <t>Charlotte</t>
        </is>
      </c>
      <c r="R77" s="22" t="inlineStr">
        <is>
          <t>Project ledger / data room</t>
        </is>
      </c>
    </row>
    <row r="78">
      <c r="A78" s="22" t="inlineStr">
        <is>
          <t>SM-013-P1</t>
        </is>
      </c>
      <c r="B78" s="22" t="inlineStr">
        <is>
          <t>SM-013</t>
        </is>
      </c>
      <c r="C78" s="22" t="inlineStr">
        <is>
          <t>Silverline Medical</t>
        </is>
      </c>
      <c r="D78" s="22" t="inlineStr">
        <is>
          <t>EHS Compliance</t>
        </is>
      </c>
      <c r="E78" s="22" t="inlineStr">
        <is>
          <t>Repeat</t>
        </is>
      </c>
      <c r="F78" s="226" t="n">
        <v>45323</v>
      </c>
      <c r="G78" s="226" t="n">
        <v>46082</v>
      </c>
      <c r="H78" s="224" t="n">
        <v>0.8008544325757804</v>
      </c>
      <c r="I78" s="225" t="n">
        <v>0.3500088599861839</v>
      </c>
      <c r="J78" s="224" t="n">
        <v>0.03915777284436332</v>
      </c>
      <c r="K78" s="22" t="n">
        <v>54</v>
      </c>
      <c r="L78" s="224" t="n">
        <v>0.3348877780165274</v>
      </c>
      <c r="M78" s="224" t="n">
        <v>0.2002136081439451</v>
      </c>
      <c r="N78" s="22" t="inlineStr">
        <is>
          <t>30-60 days</t>
        </is>
      </c>
      <c r="O78" s="22" t="inlineStr">
        <is>
          <t>Yes</t>
        </is>
      </c>
      <c r="P78" s="22" t="inlineStr">
        <is>
          <t>Central PSA</t>
        </is>
      </c>
      <c r="Q78" s="22" t="inlineStr">
        <is>
          <t>Charlotte</t>
        </is>
      </c>
      <c r="R78" s="22" t="inlineStr">
        <is>
          <t>Project ledger / data room</t>
        </is>
      </c>
    </row>
    <row r="79">
      <c r="A79" s="22" t="inlineStr">
        <is>
          <t>SM-013-P2</t>
        </is>
      </c>
      <c r="B79" s="22" t="inlineStr">
        <is>
          <t>SM-013</t>
        </is>
      </c>
      <c r="C79" s="22" t="inlineStr">
        <is>
          <t>Silverline Medical</t>
        </is>
      </c>
      <c r="D79" s="22" t="inlineStr">
        <is>
          <t>EHS Compliance</t>
        </is>
      </c>
      <c r="E79" s="22" t="inlineStr">
        <is>
          <t>Repeat</t>
        </is>
      </c>
      <c r="F79" s="226" t="n">
        <v>45352</v>
      </c>
      <c r="G79" s="226" t="n">
        <v>46143</v>
      </c>
      <c r="H79" s="224" t="n">
        <v>0.3057497739251757</v>
      </c>
      <c r="I79" s="225" t="n">
        <v>0.3250448756195227</v>
      </c>
      <c r="J79" s="224" t="n">
        <v>0.0124645945541321</v>
      </c>
      <c r="K79" s="22" t="n">
        <v>93</v>
      </c>
      <c r="L79" s="224" t="n">
        <v>0.2907830558811763</v>
      </c>
      <c r="M79" s="224" t="n">
        <v>0.07643744348129392</v>
      </c>
      <c r="N79" s="22" t="inlineStr">
        <is>
          <t>30-60 days</t>
        </is>
      </c>
      <c r="O79" s="22" t="inlineStr">
        <is>
          <t>No</t>
        </is>
      </c>
      <c r="P79" s="22" t="inlineStr">
        <is>
          <t>Legacy A</t>
        </is>
      </c>
      <c r="Q79" s="22" t="inlineStr">
        <is>
          <t>Indianapolis</t>
        </is>
      </c>
      <c r="R79" s="22" t="inlineStr">
        <is>
          <t>Project ledger / data room</t>
        </is>
      </c>
    </row>
    <row r="80">
      <c r="A80" s="22" t="inlineStr">
        <is>
          <t>SM-014-P1</t>
        </is>
      </c>
      <c r="B80" s="22" t="inlineStr">
        <is>
          <t>SM-014</t>
        </is>
      </c>
      <c r="C80" s="22" t="inlineStr">
        <is>
          <t>Prairie Public Works</t>
        </is>
      </c>
      <c r="D80" s="22" t="inlineStr">
        <is>
          <t>Industrial Hygiene</t>
        </is>
      </c>
      <c r="E80" s="22" t="inlineStr">
        <is>
          <t>Project</t>
        </is>
      </c>
      <c r="F80" s="226" t="n">
        <v>45323</v>
      </c>
      <c r="G80" s="226" t="n">
        <v>46082</v>
      </c>
      <c r="H80" s="224" t="n">
        <v>0.3122151252678706</v>
      </c>
      <c r="I80" s="225" t="n">
        <v>0.3934642839782354</v>
      </c>
      <c r="J80" s="224" t="n">
        <v>0.01414773718327838</v>
      </c>
      <c r="K80" s="22" t="n">
        <v>101</v>
      </c>
      <c r="L80" s="224" t="n">
        <v>0.2598184291907956</v>
      </c>
      <c r="M80" s="224" t="n">
        <v>0.01561075626339353</v>
      </c>
      <c r="N80" s="22" t="inlineStr">
        <is>
          <t>30-60 days</t>
        </is>
      </c>
      <c r="O80" s="22" t="inlineStr">
        <is>
          <t>Yes</t>
        </is>
      </c>
      <c r="P80" s="22" t="inlineStr">
        <is>
          <t>Central PSA</t>
        </is>
      </c>
      <c r="Q80" s="22" t="inlineStr">
        <is>
          <t>Raleigh</t>
        </is>
      </c>
      <c r="R80" s="22" t="inlineStr">
        <is>
          <t>Project ledger / data room</t>
        </is>
      </c>
    </row>
    <row r="81">
      <c r="A81" s="22" t="inlineStr">
        <is>
          <t>SM-014-P2</t>
        </is>
      </c>
      <c r="B81" s="22" t="inlineStr">
        <is>
          <t>SM-014</t>
        </is>
      </c>
      <c r="C81" s="22" t="inlineStr">
        <is>
          <t>Prairie Public Works</t>
        </is>
      </c>
      <c r="D81" s="22" t="inlineStr">
        <is>
          <t>Industrial Hygiene</t>
        </is>
      </c>
      <c r="E81" s="22" t="inlineStr">
        <is>
          <t>Project</t>
        </is>
      </c>
      <c r="F81" s="226" t="n">
        <v>45352</v>
      </c>
      <c r="G81" s="226" t="n">
        <v>46143</v>
      </c>
      <c r="H81" s="224" t="n">
        <v>0.7823825256471801</v>
      </c>
      <c r="I81" s="225" t="n">
        <v>0.3495001573457616</v>
      </c>
      <c r="J81" s="224" t="n">
        <v>0.06394466888084856</v>
      </c>
      <c r="K81" s="22" t="n">
        <v>59</v>
      </c>
      <c r="L81" s="224" t="n">
        <v>0.7093752452159768</v>
      </c>
      <c r="M81" s="224" t="n">
        <v>0.03911912628235901</v>
      </c>
      <c r="N81" s="22" t="inlineStr">
        <is>
          <t>30-60 days</t>
        </is>
      </c>
      <c r="O81" s="22" t="inlineStr">
        <is>
          <t>No</t>
        </is>
      </c>
      <c r="P81" s="22" t="inlineStr">
        <is>
          <t>Legacy A</t>
        </is>
      </c>
      <c r="Q81" s="22" t="inlineStr">
        <is>
          <t>Charlotte</t>
        </is>
      </c>
      <c r="R81" s="22" t="inlineStr">
        <is>
          <t>Project ledger / data room</t>
        </is>
      </c>
    </row>
    <row r="82">
      <c r="A82" s="22" t="inlineStr">
        <is>
          <t>SM-015-P1</t>
        </is>
      </c>
      <c r="B82" s="22" t="inlineStr">
        <is>
          <t>SM-015</t>
        </is>
      </c>
      <c r="C82" s="22" t="inlineStr">
        <is>
          <t>Atlas Manufacturing</t>
        </is>
      </c>
      <c r="D82" s="22" t="inlineStr">
        <is>
          <t>Field Inspection</t>
        </is>
      </c>
      <c r="E82" s="22" t="inlineStr">
        <is>
          <t>Recurring</t>
        </is>
      </c>
      <c r="F82" s="226" t="n">
        <v>45323</v>
      </c>
      <c r="G82" s="226" t="n">
        <v>46082</v>
      </c>
      <c r="H82" s="224" t="n">
        <v>0.4457855226922118</v>
      </c>
      <c r="I82" s="225" t="n">
        <v>0.3342704625417474</v>
      </c>
      <c r="J82" s="224" t="n">
        <v>0.03638248549363032</v>
      </c>
      <c r="K82" s="22" t="n">
        <v>90</v>
      </c>
      <c r="L82" s="224" t="n">
        <v>0.4618235256557892</v>
      </c>
      <c r="M82" s="224" t="n">
        <v>0.2228927613461059</v>
      </c>
      <c r="N82" s="22" t="inlineStr">
        <is>
          <t>30-60 days</t>
        </is>
      </c>
      <c r="O82" s="22" t="inlineStr">
        <is>
          <t>Yes</t>
        </is>
      </c>
      <c r="P82" s="22" t="inlineStr">
        <is>
          <t>Central PSA</t>
        </is>
      </c>
      <c r="Q82" s="22" t="inlineStr">
        <is>
          <t>Raleigh</t>
        </is>
      </c>
      <c r="R82" s="22" t="inlineStr">
        <is>
          <t>Project ledger / data room</t>
        </is>
      </c>
    </row>
    <row r="83">
      <c r="A83" s="22" t="inlineStr">
        <is>
          <t>SM-015-P2</t>
        </is>
      </c>
      <c r="B83" s="22" t="inlineStr">
        <is>
          <t>SM-015</t>
        </is>
      </c>
      <c r="C83" s="22" t="inlineStr">
        <is>
          <t>Atlas Manufacturing</t>
        </is>
      </c>
      <c r="D83" s="22" t="inlineStr">
        <is>
          <t>Field Inspection</t>
        </is>
      </c>
      <c r="E83" s="22" t="inlineStr">
        <is>
          <t>Recurring</t>
        </is>
      </c>
      <c r="F83" s="226" t="n">
        <v>45352</v>
      </c>
      <c r="G83" s="226" t="n">
        <v>46143</v>
      </c>
      <c r="H83" s="224" t="n">
        <v>0.6368055726369335</v>
      </c>
      <c r="I83" s="225" t="n">
        <v>0.3404697708706841</v>
      </c>
      <c r="J83" s="224" t="n">
        <v>0.03653838116072571</v>
      </c>
      <c r="K83" s="22" t="n">
        <v>25</v>
      </c>
      <c r="L83" s="224" t="n">
        <v>0.3373914249634756</v>
      </c>
      <c r="M83" s="224" t="n">
        <v>0.3184027863184667</v>
      </c>
      <c r="N83" s="22" t="inlineStr">
        <is>
          <t>30-60 days</t>
        </is>
      </c>
      <c r="O83" s="22" t="inlineStr">
        <is>
          <t>No</t>
        </is>
      </c>
      <c r="P83" s="22" t="inlineStr">
        <is>
          <t>Legacy A</t>
        </is>
      </c>
      <c r="Q83" s="22" t="inlineStr">
        <is>
          <t>Charlotte</t>
        </is>
      </c>
      <c r="R83" s="22" t="inlineStr">
        <is>
          <t>Project ledger / data room</t>
        </is>
      </c>
    </row>
    <row r="84">
      <c r="A84" s="22" t="inlineStr">
        <is>
          <t>SM-016-P1</t>
        </is>
      </c>
      <c r="B84" s="22" t="inlineStr">
        <is>
          <t>SM-016</t>
        </is>
      </c>
      <c r="C84" s="22" t="inlineStr">
        <is>
          <t>Cobalt Industries</t>
        </is>
      </c>
      <c r="D84" s="22" t="inlineStr">
        <is>
          <t>Permitting &amp; Advisory</t>
        </is>
      </c>
      <c r="E84" s="22" t="inlineStr">
        <is>
          <t>Repeat</t>
        </is>
      </c>
      <c r="F84" s="226" t="n">
        <v>45323</v>
      </c>
      <c r="G84" s="226" t="n">
        <v>46082</v>
      </c>
      <c r="H84" s="224" t="n">
        <v>0.09328934476947241</v>
      </c>
      <c r="I84" s="225" t="n">
        <v>0.3255593876769697</v>
      </c>
      <c r="J84" s="224" t="n">
        <v>0.004493031836402871</v>
      </c>
      <c r="K84" s="22" t="n">
        <v>28</v>
      </c>
      <c r="L84" s="224" t="n">
        <v>0.1157971699995272</v>
      </c>
      <c r="M84" s="224" t="n">
        <v>0.0233223361923681</v>
      </c>
      <c r="N84" s="22" t="inlineStr">
        <is>
          <t>30-60 days</t>
        </is>
      </c>
      <c r="O84" s="22" t="inlineStr">
        <is>
          <t>Yes</t>
        </is>
      </c>
      <c r="P84" s="22" t="inlineStr">
        <is>
          <t>Legacy B</t>
        </is>
      </c>
      <c r="Q84" s="22" t="inlineStr">
        <is>
          <t>Nashville</t>
        </is>
      </c>
      <c r="R84" s="22" t="inlineStr">
        <is>
          <t>Project ledger / data room</t>
        </is>
      </c>
    </row>
    <row r="85">
      <c r="A85" s="22" t="inlineStr">
        <is>
          <t>SM-016-P2</t>
        </is>
      </c>
      <c r="B85" s="22" t="inlineStr">
        <is>
          <t>SM-016</t>
        </is>
      </c>
      <c r="C85" s="22" t="inlineStr">
        <is>
          <t>Cobalt Industries</t>
        </is>
      </c>
      <c r="D85" s="22" t="inlineStr">
        <is>
          <t>Permitting &amp; Advisory</t>
        </is>
      </c>
      <c r="E85" s="22" t="inlineStr">
        <is>
          <t>Repeat</t>
        </is>
      </c>
      <c r="F85" s="226" t="n">
        <v>45352</v>
      </c>
      <c r="G85" s="226" t="n">
        <v>46143</v>
      </c>
      <c r="H85" s="224" t="n">
        <v>0.9772951949737673</v>
      </c>
      <c r="I85" s="225" t="n">
        <v>0.3870537821247748</v>
      </c>
      <c r="J85" s="224" t="n">
        <v>0.07185774495235143</v>
      </c>
      <c r="K85" s="22" t="n">
        <v>48</v>
      </c>
      <c r="L85" s="224" t="n">
        <v>0.6276316145408622</v>
      </c>
      <c r="M85" s="224" t="n">
        <v>0.2443237987434418</v>
      </c>
      <c r="N85" s="22" t="inlineStr">
        <is>
          <t>30-60 days</t>
        </is>
      </c>
      <c r="O85" s="22" t="inlineStr">
        <is>
          <t>No</t>
        </is>
      </c>
      <c r="P85" s="22" t="inlineStr">
        <is>
          <t>Central PSA</t>
        </is>
      </c>
      <c r="Q85" s="22" t="inlineStr">
        <is>
          <t>Raleigh</t>
        </is>
      </c>
      <c r="R85" s="22" t="inlineStr">
        <is>
          <t>Project ledger / data room</t>
        </is>
      </c>
    </row>
    <row r="86">
      <c r="A86" s="22" t="inlineStr">
        <is>
          <t>SM-017-P1</t>
        </is>
      </c>
      <c r="B86" s="22" t="inlineStr">
        <is>
          <t>SM-017</t>
        </is>
      </c>
      <c r="C86" s="22" t="inlineStr">
        <is>
          <t>Meridian Transit</t>
        </is>
      </c>
      <c r="D86" s="22" t="inlineStr">
        <is>
          <t>EHS Compliance</t>
        </is>
      </c>
      <c r="E86" s="22" t="inlineStr">
        <is>
          <t>Project</t>
        </is>
      </c>
      <c r="F86" s="226" t="n">
        <v>45323</v>
      </c>
      <c r="G86" s="226" t="n">
        <v>46082</v>
      </c>
      <c r="H86" s="224" t="n">
        <v>0.412253227638871</v>
      </c>
      <c r="I86" s="225" t="n">
        <v>0.3157532939829206</v>
      </c>
      <c r="J86" s="224" t="n">
        <v>0.02567976079081457</v>
      </c>
      <c r="K86" s="22" t="n">
        <v>46</v>
      </c>
      <c r="L86" s="224" t="n">
        <v>0.5614008937338865</v>
      </c>
      <c r="M86" s="224" t="n">
        <v>0.02061266138194355</v>
      </c>
      <c r="N86" s="22" t="inlineStr">
        <is>
          <t>30-60 days</t>
        </is>
      </c>
      <c r="O86" s="22" t="inlineStr">
        <is>
          <t>Yes</t>
        </is>
      </c>
      <c r="P86" s="22" t="inlineStr">
        <is>
          <t>Central PSA</t>
        </is>
      </c>
      <c r="Q86" s="22" t="inlineStr">
        <is>
          <t>Chicago</t>
        </is>
      </c>
      <c r="R86" s="22" t="inlineStr">
        <is>
          <t>Project ledger / data room</t>
        </is>
      </c>
    </row>
    <row r="87">
      <c r="A87" s="22" t="inlineStr">
        <is>
          <t>SM-017-P2</t>
        </is>
      </c>
      <c r="B87" s="22" t="inlineStr">
        <is>
          <t>SM-017</t>
        </is>
      </c>
      <c r="C87" s="22" t="inlineStr">
        <is>
          <t>Meridian Transit</t>
        </is>
      </c>
      <c r="D87" s="22" t="inlineStr">
        <is>
          <t>EHS Compliance</t>
        </is>
      </c>
      <c r="E87" s="22" t="inlineStr">
        <is>
          <t>Project</t>
        </is>
      </c>
      <c r="F87" s="226" t="n">
        <v>45352</v>
      </c>
      <c r="G87" s="226" t="n">
        <v>46143</v>
      </c>
      <c r="H87" s="224" t="n">
        <v>0.6463247565184631</v>
      </c>
      <c r="I87" s="225" t="n">
        <v>0.3972622997946376</v>
      </c>
      <c r="J87" s="224" t="n">
        <v>0.0435323435269954</v>
      </c>
      <c r="K87" s="22" t="n">
        <v>44</v>
      </c>
      <c r="L87" s="224" t="n">
        <v>0.8826642426436003</v>
      </c>
      <c r="M87" s="224" t="n">
        <v>0.03231623782592315</v>
      </c>
      <c r="N87" s="22" t="inlineStr">
        <is>
          <t>30-60 days</t>
        </is>
      </c>
      <c r="O87" s="22" t="inlineStr">
        <is>
          <t>No</t>
        </is>
      </c>
      <c r="P87" s="22" t="inlineStr">
        <is>
          <t>Legacy A</t>
        </is>
      </c>
      <c r="Q87" s="22" t="inlineStr">
        <is>
          <t>Louisville</t>
        </is>
      </c>
      <c r="R87" s="22" t="inlineStr">
        <is>
          <t>Project ledger / data room</t>
        </is>
      </c>
    </row>
    <row r="88">
      <c r="A88" s="22" t="inlineStr">
        <is>
          <t>SM-018-P1</t>
        </is>
      </c>
      <c r="B88" s="22" t="inlineStr">
        <is>
          <t>SM-018</t>
        </is>
      </c>
      <c r="C88" s="22" t="inlineStr">
        <is>
          <t>Frontier Foods</t>
        </is>
      </c>
      <c r="D88" s="22" t="inlineStr">
        <is>
          <t>Industrial Hygiene</t>
        </is>
      </c>
      <c r="E88" s="22" t="inlineStr">
        <is>
          <t>Recurring</t>
        </is>
      </c>
      <c r="F88" s="226" t="n">
        <v>45323</v>
      </c>
      <c r="G88" s="226" t="n">
        <v>46082</v>
      </c>
      <c r="H88" s="224" t="n">
        <v>0.4863361718260273</v>
      </c>
      <c r="I88" s="225" t="n">
        <v>0.3001068914944923</v>
      </c>
      <c r="J88" s="224" t="n">
        <v>0.02873338801938712</v>
      </c>
      <c r="K88" s="22" t="n">
        <v>67</v>
      </c>
      <c r="L88" s="224" t="n">
        <v>0.4390467909234255</v>
      </c>
      <c r="M88" s="224" t="n">
        <v>0.2431680859130136</v>
      </c>
      <c r="N88" s="22" t="inlineStr">
        <is>
          <t>30-60 days</t>
        </is>
      </c>
      <c r="O88" s="22" t="inlineStr">
        <is>
          <t>Yes</t>
        </is>
      </c>
      <c r="P88" s="22" t="inlineStr">
        <is>
          <t>Legacy B</t>
        </is>
      </c>
      <c r="Q88" s="22" t="inlineStr">
        <is>
          <t>Nashville</t>
        </is>
      </c>
      <c r="R88" s="22" t="inlineStr">
        <is>
          <t>Project ledger / data room</t>
        </is>
      </c>
    </row>
    <row r="89">
      <c r="A89" s="22" t="inlineStr">
        <is>
          <t>SM-018-P2</t>
        </is>
      </c>
      <c r="B89" s="22" t="inlineStr">
        <is>
          <t>SM-018</t>
        </is>
      </c>
      <c r="C89" s="22" t="inlineStr">
        <is>
          <t>Frontier Foods</t>
        </is>
      </c>
      <c r="D89" s="22" t="inlineStr">
        <is>
          <t>Industrial Hygiene</t>
        </is>
      </c>
      <c r="E89" s="22" t="inlineStr">
        <is>
          <t>Recurring</t>
        </is>
      </c>
      <c r="F89" s="226" t="n">
        <v>45352</v>
      </c>
      <c r="G89" s="226" t="n">
        <v>46143</v>
      </c>
      <c r="H89" s="224" t="n">
        <v>0.5602352567454014</v>
      </c>
      <c r="I89" s="225" t="n">
        <v>0.3200980054201032</v>
      </c>
      <c r="J89" s="224" t="n">
        <v>0.03654794529940883</v>
      </c>
      <c r="K89" s="22" t="n">
        <v>20</v>
      </c>
      <c r="L89" s="224" t="n">
        <v>0.3720907142123472</v>
      </c>
      <c r="M89" s="224" t="n">
        <v>0.2801176283727007</v>
      </c>
      <c r="N89" s="22" t="inlineStr">
        <is>
          <t>30-60 days</t>
        </is>
      </c>
      <c r="O89" s="22" t="inlineStr">
        <is>
          <t>No</t>
        </is>
      </c>
      <c r="P89" s="22" t="inlineStr">
        <is>
          <t>Central PSA</t>
        </is>
      </c>
      <c r="Q89" s="22" t="inlineStr">
        <is>
          <t>Raleigh</t>
        </is>
      </c>
      <c r="R89" s="22" t="inlineStr">
        <is>
          <t>Project ledger / data room</t>
        </is>
      </c>
    </row>
    <row r="90">
      <c r="A90" s="22" t="inlineStr">
        <is>
          <t>SM-019-P1</t>
        </is>
      </c>
      <c r="B90" s="22" t="inlineStr">
        <is>
          <t>SM-019</t>
        </is>
      </c>
      <c r="C90" s="22" t="inlineStr">
        <is>
          <t>Northfield Foods 2</t>
        </is>
      </c>
      <c r="D90" s="22" t="inlineStr">
        <is>
          <t>Field Inspection</t>
        </is>
      </c>
      <c r="E90" s="22" t="inlineStr">
        <is>
          <t>Repeat</t>
        </is>
      </c>
      <c r="F90" s="226" t="n">
        <v>45323</v>
      </c>
      <c r="G90" s="226" t="n">
        <v>46082</v>
      </c>
      <c r="H90" s="224" t="n">
        <v>0.1897863011541628</v>
      </c>
      <c r="I90" s="225" t="n">
        <v>0.3041666957691153</v>
      </c>
      <c r="J90" s="224" t="n">
        <v>0.007804906093721675</v>
      </c>
      <c r="K90" s="22" t="n">
        <v>50</v>
      </c>
      <c r="L90" s="224" t="n">
        <v>0.1200985869782379</v>
      </c>
      <c r="M90" s="224" t="n">
        <v>0.04744657528854069</v>
      </c>
      <c r="N90" s="22" t="inlineStr">
        <is>
          <t>30-60 days</t>
        </is>
      </c>
      <c r="O90" s="22" t="inlineStr">
        <is>
          <t>Yes</t>
        </is>
      </c>
      <c r="P90" s="22" t="inlineStr">
        <is>
          <t>Legacy A</t>
        </is>
      </c>
      <c r="Q90" s="22" t="inlineStr">
        <is>
          <t>Chicago</t>
        </is>
      </c>
      <c r="R90" s="22" t="inlineStr">
        <is>
          <t>Project ledger / data room</t>
        </is>
      </c>
    </row>
    <row r="91">
      <c r="A91" s="22" t="inlineStr">
        <is>
          <t>SM-019-P2</t>
        </is>
      </c>
      <c r="B91" s="22" t="inlineStr">
        <is>
          <t>SM-019</t>
        </is>
      </c>
      <c r="C91" s="22" t="inlineStr">
        <is>
          <t>Northfield Foods 2</t>
        </is>
      </c>
      <c r="D91" s="22" t="inlineStr">
        <is>
          <t>Field Inspection</t>
        </is>
      </c>
      <c r="E91" s="22" t="inlineStr">
        <is>
          <t>Repeat</t>
        </is>
      </c>
      <c r="F91" s="226" t="n">
        <v>45352</v>
      </c>
      <c r="G91" s="226" t="n">
        <v>46143</v>
      </c>
      <c r="H91" s="224" t="n">
        <v>0.8447785718313605</v>
      </c>
      <c r="I91" s="225" t="n">
        <v>0.3585583284181633</v>
      </c>
      <c r="J91" s="224" t="n">
        <v>0.05614354241501122</v>
      </c>
      <c r="K91" s="22" t="n">
        <v>95</v>
      </c>
      <c r="L91" s="224" t="n">
        <v>0.8933902339903704</v>
      </c>
      <c r="M91" s="224" t="n">
        <v>0.2111946429578401</v>
      </c>
      <c r="N91" s="22" t="inlineStr">
        <is>
          <t>30-60 days</t>
        </is>
      </c>
      <c r="O91" s="22" t="inlineStr">
        <is>
          <t>No</t>
        </is>
      </c>
      <c r="P91" s="22" t="inlineStr">
        <is>
          <t>Legacy B</t>
        </is>
      </c>
      <c r="Q91" s="22" t="inlineStr">
        <is>
          <t>Louisville</t>
        </is>
      </c>
      <c r="R91" s="22" t="inlineStr">
        <is>
          <t>Project ledger / data room</t>
        </is>
      </c>
    </row>
    <row r="92">
      <c r="A92" s="22" t="inlineStr">
        <is>
          <t>SM-020-P1</t>
        </is>
      </c>
      <c r="B92" s="22" t="inlineStr">
        <is>
          <t>SM-020</t>
        </is>
      </c>
      <c r="C92" s="22" t="inlineStr">
        <is>
          <t>Ironbridge Logistics 2</t>
        </is>
      </c>
      <c r="D92" s="22" t="inlineStr">
        <is>
          <t>Permitting &amp; Advisory</t>
        </is>
      </c>
      <c r="E92" s="22" t="inlineStr">
        <is>
          <t>Project</t>
        </is>
      </c>
      <c r="F92" s="226" t="n">
        <v>45323</v>
      </c>
      <c r="G92" s="226" t="n">
        <v>46082</v>
      </c>
      <c r="H92" s="224" t="n">
        <v>0.4590008964958722</v>
      </c>
      <c r="I92" s="225" t="n">
        <v>0.338951647106045</v>
      </c>
      <c r="J92" s="224" t="n">
        <v>0.02584484308595765</v>
      </c>
      <c r="K92" s="22" t="n">
        <v>118</v>
      </c>
      <c r="L92" s="224" t="n">
        <v>0.2522040780018392</v>
      </c>
      <c r="M92" s="224" t="n">
        <v>0.02295004482479361</v>
      </c>
      <c r="N92" s="22" t="inlineStr">
        <is>
          <t>30-60 days</t>
        </is>
      </c>
      <c r="O92" s="22" t="inlineStr">
        <is>
          <t>Yes</t>
        </is>
      </c>
      <c r="P92" s="22" t="inlineStr">
        <is>
          <t>Legacy A</t>
        </is>
      </c>
      <c r="Q92" s="22" t="inlineStr">
        <is>
          <t>Charlotte</t>
        </is>
      </c>
      <c r="R92" s="22" t="inlineStr">
        <is>
          <t>Project ledger / data room</t>
        </is>
      </c>
    </row>
    <row r="93">
      <c r="A93" s="22" t="inlineStr">
        <is>
          <t>SM-020-P2</t>
        </is>
      </c>
      <c r="B93" s="22" t="inlineStr">
        <is>
          <t>SM-020</t>
        </is>
      </c>
      <c r="C93" s="22" t="inlineStr">
        <is>
          <t>Ironbridge Logistics 2</t>
        </is>
      </c>
      <c r="D93" s="22" t="inlineStr">
        <is>
          <t>Permitting &amp; Advisory</t>
        </is>
      </c>
      <c r="E93" s="22" t="inlineStr">
        <is>
          <t>Project</t>
        </is>
      </c>
      <c r="F93" s="226" t="n">
        <v>45352</v>
      </c>
      <c r="G93" s="226" t="n">
        <v>46143</v>
      </c>
      <c r="H93" s="224" t="n">
        <v>0.5635574209037456</v>
      </c>
      <c r="I93" s="225" t="n">
        <v>0.3724155773361826</v>
      </c>
      <c r="J93" s="224" t="n">
        <v>0.04066685154368038</v>
      </c>
      <c r="K93" s="22" t="n">
        <v>24</v>
      </c>
      <c r="L93" s="224" t="n">
        <v>0.6961565890542591</v>
      </c>
      <c r="M93" s="224" t="n">
        <v>0.02817787104518728</v>
      </c>
      <c r="N93" s="22" t="inlineStr">
        <is>
          <t>30-60 days</t>
        </is>
      </c>
      <c r="O93" s="22" t="inlineStr">
        <is>
          <t>No</t>
        </is>
      </c>
      <c r="P93" s="22" t="inlineStr">
        <is>
          <t>Legacy B</t>
        </is>
      </c>
      <c r="Q93" s="22" t="inlineStr">
        <is>
          <t>Indianapolis</t>
        </is>
      </c>
      <c r="R93" s="22" t="inlineStr">
        <is>
          <t>Project ledger / data room</t>
        </is>
      </c>
    </row>
    <row r="94">
      <c r="A94" s="22" t="inlineStr">
        <is>
          <t>SM-021-P1</t>
        </is>
      </c>
      <c r="B94" s="22" t="inlineStr">
        <is>
          <t>SM-021</t>
        </is>
      </c>
      <c r="C94" s="22" t="inlineStr">
        <is>
          <t>Cedar Municipal 2</t>
        </is>
      </c>
      <c r="D94" s="22" t="inlineStr">
        <is>
          <t>EHS Compliance</t>
        </is>
      </c>
      <c r="E94" s="22" t="inlineStr">
        <is>
          <t>Recurring</t>
        </is>
      </c>
      <c r="F94" s="226" t="n">
        <v>45323</v>
      </c>
      <c r="G94" s="226" t="n">
        <v>46082</v>
      </c>
      <c r="H94" s="224" t="n">
        <v>0.5932791808919573</v>
      </c>
      <c r="I94" s="225" t="n">
        <v>0.3733852123476962</v>
      </c>
      <c r="J94" s="224" t="n">
        <v>0.04782479588661843</v>
      </c>
      <c r="K94" s="22" t="n">
        <v>33</v>
      </c>
      <c r="L94" s="224" t="n">
        <v>0.5480459651080575</v>
      </c>
      <c r="M94" s="224" t="n">
        <v>0.2966395904459787</v>
      </c>
      <c r="N94" s="22" t="inlineStr">
        <is>
          <t>30-60 days</t>
        </is>
      </c>
      <c r="O94" s="22" t="inlineStr">
        <is>
          <t>Yes</t>
        </is>
      </c>
      <c r="P94" s="22" t="inlineStr">
        <is>
          <t>Central PSA</t>
        </is>
      </c>
      <c r="Q94" s="22" t="inlineStr">
        <is>
          <t>Chicago</t>
        </is>
      </c>
      <c r="R94" s="22" t="inlineStr">
        <is>
          <t>Project ledger / data room</t>
        </is>
      </c>
    </row>
    <row r="95">
      <c r="A95" s="22" t="inlineStr">
        <is>
          <t>SM-021-P2</t>
        </is>
      </c>
      <c r="B95" s="22" t="inlineStr">
        <is>
          <t>SM-021</t>
        </is>
      </c>
      <c r="C95" s="22" t="inlineStr">
        <is>
          <t>Cedar Municipal 2</t>
        </is>
      </c>
      <c r="D95" s="22" t="inlineStr">
        <is>
          <t>EHS Compliance</t>
        </is>
      </c>
      <c r="E95" s="22" t="inlineStr">
        <is>
          <t>Recurring</t>
        </is>
      </c>
      <c r="F95" s="226" t="n">
        <v>45352</v>
      </c>
      <c r="G95" s="226" t="n">
        <v>46143</v>
      </c>
      <c r="H95" s="224" t="n">
        <v>0.4172725809217551</v>
      </c>
      <c r="I95" s="225" t="n">
        <v>0.350437105125546</v>
      </c>
      <c r="J95" s="224" t="n">
        <v>0.03411073146297355</v>
      </c>
      <c r="K95" s="22" t="n">
        <v>100</v>
      </c>
      <c r="L95" s="224" t="n">
        <v>0.5117468993951136</v>
      </c>
      <c r="M95" s="224" t="n">
        <v>0.2086362904608775</v>
      </c>
      <c r="N95" s="22" t="inlineStr">
        <is>
          <t>30-60 days</t>
        </is>
      </c>
      <c r="O95" s="22" t="inlineStr">
        <is>
          <t>No</t>
        </is>
      </c>
      <c r="P95" s="22" t="inlineStr">
        <is>
          <t>Legacy A</t>
        </is>
      </c>
      <c r="Q95" s="22" t="inlineStr">
        <is>
          <t>Louisville</t>
        </is>
      </c>
      <c r="R95" s="22" t="inlineStr">
        <is>
          <t>Project ledger / data room</t>
        </is>
      </c>
    </row>
    <row r="96">
      <c r="A96" s="22" t="inlineStr">
        <is>
          <t>SM-022-P1</t>
        </is>
      </c>
      <c r="B96" s="22" t="inlineStr">
        <is>
          <t>SM-022</t>
        </is>
      </c>
      <c r="C96" s="22" t="inlineStr">
        <is>
          <t>Granite Bio 2</t>
        </is>
      </c>
      <c r="D96" s="22" t="inlineStr">
        <is>
          <t>Industrial Hygiene</t>
        </is>
      </c>
      <c r="E96" s="22" t="inlineStr">
        <is>
          <t>Repeat</t>
        </is>
      </c>
      <c r="F96" s="226" t="n">
        <v>45323</v>
      </c>
      <c r="G96" s="226" t="n">
        <v>46082</v>
      </c>
      <c r="H96" s="224" t="n">
        <v>0.3948915172195108</v>
      </c>
      <c r="I96" s="225" t="n">
        <v>0.3682895369500501</v>
      </c>
      <c r="J96" s="224" t="n">
        <v>0.02948509116359404</v>
      </c>
      <c r="K96" s="22" t="n">
        <v>42</v>
      </c>
      <c r="L96" s="224" t="n">
        <v>0.1702616343916268</v>
      </c>
      <c r="M96" s="224" t="n">
        <v>0.09872287930487771</v>
      </c>
      <c r="N96" s="22" t="inlineStr">
        <is>
          <t>30-60 days</t>
        </is>
      </c>
      <c r="O96" s="22" t="inlineStr">
        <is>
          <t>Yes</t>
        </is>
      </c>
      <c r="P96" s="22" t="inlineStr">
        <is>
          <t>Legacy A</t>
        </is>
      </c>
      <c r="Q96" s="22" t="inlineStr">
        <is>
          <t>Indianapolis</t>
        </is>
      </c>
      <c r="R96" s="22" t="inlineStr">
        <is>
          <t>Project ledger / data room</t>
        </is>
      </c>
    </row>
    <row r="97">
      <c r="A97" s="22" t="inlineStr">
        <is>
          <t>SM-022-P2</t>
        </is>
      </c>
      <c r="B97" s="22" t="inlineStr">
        <is>
          <t>SM-022</t>
        </is>
      </c>
      <c r="C97" s="22" t="inlineStr">
        <is>
          <t>Granite Bio 2</t>
        </is>
      </c>
      <c r="D97" s="22" t="inlineStr">
        <is>
          <t>Industrial Hygiene</t>
        </is>
      </c>
      <c r="E97" s="22" t="inlineStr">
        <is>
          <t>Repeat</t>
        </is>
      </c>
      <c r="F97" s="226" t="n">
        <v>45352</v>
      </c>
      <c r="G97" s="226" t="n">
        <v>46143</v>
      </c>
      <c r="H97" s="224" t="n">
        <v>0.603653689008296</v>
      </c>
      <c r="I97" s="225" t="n">
        <v>0.3133093197920321</v>
      </c>
      <c r="J97" s="224" t="n">
        <v>0.03503326750042918</v>
      </c>
      <c r="K97" s="22" t="n">
        <v>30</v>
      </c>
      <c r="L97" s="224" t="n">
        <v>0.7460080262139109</v>
      </c>
      <c r="M97" s="224" t="n">
        <v>0.150913422252074</v>
      </c>
      <c r="N97" s="22" t="inlineStr">
        <is>
          <t>30-60 days</t>
        </is>
      </c>
      <c r="O97" s="22" t="inlineStr">
        <is>
          <t>No</t>
        </is>
      </c>
      <c r="P97" s="22" t="inlineStr">
        <is>
          <t>Legacy B</t>
        </is>
      </c>
      <c r="Q97" s="22" t="inlineStr">
        <is>
          <t>Chicago</t>
        </is>
      </c>
      <c r="R97" s="22" t="inlineStr">
        <is>
          <t>Project ledger / data room</t>
        </is>
      </c>
    </row>
    <row r="98">
      <c r="A98" s="22" t="inlineStr">
        <is>
          <t>SM-023-P1</t>
        </is>
      </c>
      <c r="B98" s="22" t="inlineStr">
        <is>
          <t>SM-023</t>
        </is>
      </c>
      <c r="C98" s="22" t="inlineStr">
        <is>
          <t>Oak Ridge Manufacturing 2</t>
        </is>
      </c>
      <c r="D98" s="22" t="inlineStr">
        <is>
          <t>Field Inspection</t>
        </is>
      </c>
      <c r="E98" s="22" t="inlineStr">
        <is>
          <t>Project</t>
        </is>
      </c>
      <c r="F98" s="226" t="n">
        <v>45323</v>
      </c>
      <c r="G98" s="226" t="n">
        <v>46082</v>
      </c>
      <c r="H98" s="224" t="n">
        <v>0.4644789160249287</v>
      </c>
      <c r="I98" s="225" t="n">
        <v>0.3626226458932786</v>
      </c>
      <c r="J98" s="224" t="n">
        <v>0.03438686457514818</v>
      </c>
      <c r="K98" s="22" t="n">
        <v>68</v>
      </c>
      <c r="L98" s="224" t="n">
        <v>0.1873310014816663</v>
      </c>
      <c r="M98" s="224" t="n">
        <v>0.02322394580124644</v>
      </c>
      <c r="N98" s="22" t="inlineStr">
        <is>
          <t>30-60 days</t>
        </is>
      </c>
      <c r="O98" s="22" t="inlineStr">
        <is>
          <t>Yes</t>
        </is>
      </c>
      <c r="P98" s="22" t="inlineStr">
        <is>
          <t>Legacy B</t>
        </is>
      </c>
      <c r="Q98" s="22" t="inlineStr">
        <is>
          <t>Nashville</t>
        </is>
      </c>
      <c r="R98" s="22" t="inlineStr">
        <is>
          <t>Project ledger / data room</t>
        </is>
      </c>
    </row>
    <row r="99">
      <c r="A99" s="22" t="inlineStr">
        <is>
          <t>SM-023-P2</t>
        </is>
      </c>
      <c r="B99" s="22" t="inlineStr">
        <is>
          <t>SM-023</t>
        </is>
      </c>
      <c r="C99" s="22" t="inlineStr">
        <is>
          <t>Oak Ridge Manufacturing 2</t>
        </is>
      </c>
      <c r="D99" s="22" t="inlineStr">
        <is>
          <t>Field Inspection</t>
        </is>
      </c>
      <c r="E99" s="22" t="inlineStr">
        <is>
          <t>Project</t>
        </is>
      </c>
      <c r="F99" s="226" t="n">
        <v>45352</v>
      </c>
      <c r="G99" s="226" t="n">
        <v>46143</v>
      </c>
      <c r="H99" s="224" t="n">
        <v>0.5220597346169726</v>
      </c>
      <c r="I99" s="225" t="n">
        <v>0.3797697552070852</v>
      </c>
      <c r="J99" s="224" t="n">
        <v>0.04041435041478184</v>
      </c>
      <c r="K99" s="22" t="n">
        <v>70</v>
      </c>
      <c r="L99" s="224" t="n">
        <v>0.4882301668306363</v>
      </c>
      <c r="M99" s="224" t="n">
        <v>0.02610298673084863</v>
      </c>
      <c r="N99" s="22" t="inlineStr">
        <is>
          <t>30-60 days</t>
        </is>
      </c>
      <c r="O99" s="22" t="inlineStr">
        <is>
          <t>No</t>
        </is>
      </c>
      <c r="P99" s="22" t="inlineStr">
        <is>
          <t>Central PSA</t>
        </is>
      </c>
      <c r="Q99" s="22" t="inlineStr">
        <is>
          <t>Raleigh</t>
        </is>
      </c>
      <c r="R99" s="22" t="inlineStr">
        <is>
          <t>Project ledger / data room</t>
        </is>
      </c>
    </row>
    <row r="100">
      <c r="A100" s="22" t="inlineStr">
        <is>
          <t>SM-024-P1</t>
        </is>
      </c>
      <c r="B100" s="22" t="inlineStr">
        <is>
          <t>SM-024</t>
        </is>
      </c>
      <c r="C100" s="22" t="inlineStr">
        <is>
          <t>Summit Water 2</t>
        </is>
      </c>
      <c r="D100" s="22" t="inlineStr">
        <is>
          <t>Permitting &amp; Advisory</t>
        </is>
      </c>
      <c r="E100" s="22" t="inlineStr">
        <is>
          <t>Recurring</t>
        </is>
      </c>
      <c r="F100" s="226" t="n">
        <v>45323</v>
      </c>
      <c r="G100" s="226" t="n">
        <v>46082</v>
      </c>
      <c r="H100" s="224" t="n">
        <v>0.8857912034361094</v>
      </c>
      <c r="I100" s="225" t="n">
        <v>0.373678832854225</v>
      </c>
      <c r="J100" s="224" t="n">
        <v>0.04660118872410131</v>
      </c>
      <c r="K100" s="22" t="n">
        <v>27</v>
      </c>
      <c r="L100" s="224" t="n">
        <v>0.5895456185952599</v>
      </c>
      <c r="M100" s="224" t="n">
        <v>0.4428956017180547</v>
      </c>
      <c r="N100" s="22" t="inlineStr">
        <is>
          <t>30-60 days</t>
        </is>
      </c>
      <c r="O100" s="22" t="inlineStr">
        <is>
          <t>Yes</t>
        </is>
      </c>
      <c r="P100" s="22" t="inlineStr">
        <is>
          <t>Central PSA</t>
        </is>
      </c>
      <c r="Q100" s="22" t="inlineStr">
        <is>
          <t>Louisville</t>
        </is>
      </c>
      <c r="R100" s="22" t="inlineStr">
        <is>
          <t>Project ledger / data room</t>
        </is>
      </c>
    </row>
    <row r="101">
      <c r="A101" s="22" t="inlineStr">
        <is>
          <t>SM-024-P2</t>
        </is>
      </c>
      <c r="B101" s="22" t="inlineStr">
        <is>
          <t>SM-024</t>
        </is>
      </c>
      <c r="C101" s="22" t="inlineStr">
        <is>
          <t>Summit Water 2</t>
        </is>
      </c>
      <c r="D101" s="22" t="inlineStr">
        <is>
          <t>Permitting &amp; Advisory</t>
        </is>
      </c>
      <c r="E101" s="22" t="inlineStr">
        <is>
          <t>Recurring</t>
        </is>
      </c>
      <c r="F101" s="226" t="n">
        <v>45352</v>
      </c>
      <c r="G101" s="226" t="n">
        <v>46143</v>
      </c>
      <c r="H101" s="224" t="n">
        <v>0.08874089161988628</v>
      </c>
      <c r="I101" s="225" t="n">
        <v>0.3729335038039396</v>
      </c>
      <c r="J101" s="224" t="n">
        <v>0.004460194981260077</v>
      </c>
      <c r="K101" s="22" t="n">
        <v>93</v>
      </c>
      <c r="L101" s="224" t="n">
        <v>0.122083958883448</v>
      </c>
      <c r="M101" s="224" t="n">
        <v>0.04437044580994314</v>
      </c>
      <c r="N101" s="22" t="inlineStr">
        <is>
          <t>30-60 days</t>
        </is>
      </c>
      <c r="O101" s="22" t="inlineStr">
        <is>
          <t>No</t>
        </is>
      </c>
      <c r="P101" s="22" t="inlineStr">
        <is>
          <t>Legacy A</t>
        </is>
      </c>
      <c r="Q101" s="22" t="inlineStr">
        <is>
          <t>Nashville</t>
        </is>
      </c>
      <c r="R101" s="22" t="inlineStr">
        <is>
          <t>Project ledger / data room</t>
        </is>
      </c>
    </row>
    <row r="102">
      <c r="A102" s="22" t="inlineStr">
        <is>
          <t>SM-025-P1</t>
        </is>
      </c>
      <c r="B102" s="22" t="inlineStr">
        <is>
          <t>SM-025</t>
        </is>
      </c>
      <c r="C102" s="22" t="inlineStr">
        <is>
          <t>Keystone Health 2</t>
        </is>
      </c>
      <c r="D102" s="22" t="inlineStr">
        <is>
          <t>EHS Compliance</t>
        </is>
      </c>
      <c r="E102" s="22" t="inlineStr">
        <is>
          <t>Repeat</t>
        </is>
      </c>
      <c r="F102" s="226" t="n">
        <v>45323</v>
      </c>
      <c r="G102" s="226" t="n">
        <v>46082</v>
      </c>
      <c r="H102" s="224" t="n">
        <v>0.5424224690539543</v>
      </c>
      <c r="I102" s="225" t="n">
        <v>0.3479010164070626</v>
      </c>
      <c r="J102" s="224" t="n">
        <v>0.04023951764339373</v>
      </c>
      <c r="K102" s="22" t="n">
        <v>96</v>
      </c>
      <c r="L102" s="224" t="n">
        <v>0.5516295566021533</v>
      </c>
      <c r="M102" s="224" t="n">
        <v>0.1356056172634886</v>
      </c>
      <c r="N102" s="22" t="inlineStr">
        <is>
          <t>30-60 days</t>
        </is>
      </c>
      <c r="O102" s="22" t="inlineStr">
        <is>
          <t>Yes</t>
        </is>
      </c>
      <c r="P102" s="22" t="inlineStr">
        <is>
          <t>Legacy B</t>
        </is>
      </c>
      <c r="Q102" s="22" t="inlineStr">
        <is>
          <t>Indianapolis</t>
        </is>
      </c>
      <c r="R102" s="22" t="inlineStr">
        <is>
          <t>Project ledger / data room</t>
        </is>
      </c>
    </row>
    <row r="103">
      <c r="A103" s="22" t="inlineStr">
        <is>
          <t>SM-025-P2</t>
        </is>
      </c>
      <c r="B103" s="22" t="inlineStr">
        <is>
          <t>SM-025</t>
        </is>
      </c>
      <c r="C103" s="22" t="inlineStr">
        <is>
          <t>Keystone Health 2</t>
        </is>
      </c>
      <c r="D103" s="22" t="inlineStr">
        <is>
          <t>EHS Compliance</t>
        </is>
      </c>
      <c r="E103" s="22" t="inlineStr">
        <is>
          <t>Repeat</t>
        </is>
      </c>
      <c r="F103" s="226" t="n">
        <v>45352</v>
      </c>
      <c r="G103" s="226" t="n">
        <v>46143</v>
      </c>
      <c r="H103" s="224" t="n">
        <v>0.420103070416136</v>
      </c>
      <c r="I103" s="225" t="n">
        <v>0.3642762975381986</v>
      </c>
      <c r="J103" s="224" t="n">
        <v>0.01843143027915308</v>
      </c>
      <c r="K103" s="22" t="n">
        <v>34</v>
      </c>
      <c r="L103" s="224" t="n">
        <v>0.2747223201924344</v>
      </c>
      <c r="M103" s="224" t="n">
        <v>0.105025767604034</v>
      </c>
      <c r="N103" s="22" t="inlineStr">
        <is>
          <t>30-60 days</t>
        </is>
      </c>
      <c r="O103" s="22" t="inlineStr">
        <is>
          <t>No</t>
        </is>
      </c>
      <c r="P103" s="22" t="inlineStr">
        <is>
          <t>Central PSA</t>
        </is>
      </c>
      <c r="Q103" s="22" t="inlineStr">
        <is>
          <t>Chicago</t>
        </is>
      </c>
      <c r="R103" s="22" t="inlineStr">
        <is>
          <t>Project ledger / data room</t>
        </is>
      </c>
    </row>
    <row r="104">
      <c r="A104" s="22" t="inlineStr">
        <is>
          <t>SM-026-P1</t>
        </is>
      </c>
      <c r="B104" s="22" t="inlineStr">
        <is>
          <t>SM-026</t>
        </is>
      </c>
      <c r="C104" s="22" t="inlineStr">
        <is>
          <t>Lakefront Infrastructure 2</t>
        </is>
      </c>
      <c r="D104" s="22" t="inlineStr">
        <is>
          <t>Industrial Hygiene</t>
        </is>
      </c>
      <c r="E104" s="22" t="inlineStr">
        <is>
          <t>Project</t>
        </is>
      </c>
      <c r="F104" s="226" t="n">
        <v>45323</v>
      </c>
      <c r="G104" s="226" t="n">
        <v>46082</v>
      </c>
      <c r="H104" s="224" t="n">
        <v>0.674321228308855</v>
      </c>
      <c r="I104" s="225" t="n">
        <v>0.3567761697869308</v>
      </c>
      <c r="J104" s="224" t="n">
        <v>0.02739326189462012</v>
      </c>
      <c r="K104" s="22" t="n">
        <v>26</v>
      </c>
      <c r="L104" s="224" t="n">
        <v>0.450967672886516</v>
      </c>
      <c r="M104" s="224" t="n">
        <v>0.03371606141544275</v>
      </c>
      <c r="N104" s="22" t="inlineStr">
        <is>
          <t>30-60 days</t>
        </is>
      </c>
      <c r="O104" s="22" t="inlineStr">
        <is>
          <t>Yes</t>
        </is>
      </c>
      <c r="P104" s="22" t="inlineStr">
        <is>
          <t>Legacy A</t>
        </is>
      </c>
      <c r="Q104" s="22" t="inlineStr">
        <is>
          <t>Louisville</t>
        </is>
      </c>
      <c r="R104" s="22" t="inlineStr">
        <is>
          <t>Project ledger / data room</t>
        </is>
      </c>
    </row>
    <row r="105">
      <c r="A105" s="22" t="inlineStr">
        <is>
          <t>SM-026-P2</t>
        </is>
      </c>
      <c r="B105" s="22" t="inlineStr">
        <is>
          <t>SM-026</t>
        </is>
      </c>
      <c r="C105" s="22" t="inlineStr">
        <is>
          <t>Lakefront Infrastructure 2</t>
        </is>
      </c>
      <c r="D105" s="22" t="inlineStr">
        <is>
          <t>Industrial Hygiene</t>
        </is>
      </c>
      <c r="E105" s="22" t="inlineStr">
        <is>
          <t>Project</t>
        </is>
      </c>
      <c r="F105" s="226" t="n">
        <v>45352</v>
      </c>
      <c r="G105" s="226" t="n">
        <v>46143</v>
      </c>
      <c r="H105" s="224" t="n">
        <v>0.2761977555753297</v>
      </c>
      <c r="I105" s="225" t="n">
        <v>0.3672001578655236</v>
      </c>
      <c r="J105" s="224" t="n">
        <v>0.02060690977833719</v>
      </c>
      <c r="K105" s="22" t="n">
        <v>87</v>
      </c>
      <c r="L105" s="224" t="n">
        <v>0.1908130087668679</v>
      </c>
      <c r="M105" s="224" t="n">
        <v>0.01380988777876649</v>
      </c>
      <c r="N105" s="22" t="inlineStr">
        <is>
          <t>30-60 days</t>
        </is>
      </c>
      <c r="O105" s="22" t="inlineStr">
        <is>
          <t>No</t>
        </is>
      </c>
      <c r="P105" s="22" t="inlineStr">
        <is>
          <t>Legacy B</t>
        </is>
      </c>
      <c r="Q105" s="22" t="inlineStr">
        <is>
          <t>Nashville</t>
        </is>
      </c>
      <c r="R105" s="22" t="inlineStr">
        <is>
          <t>Project ledger / data room</t>
        </is>
      </c>
    </row>
    <row r="106">
      <c r="A106" s="22" t="inlineStr">
        <is>
          <t>SM-027-P1</t>
        </is>
      </c>
      <c r="B106" s="22" t="inlineStr">
        <is>
          <t>SM-027</t>
        </is>
      </c>
      <c r="C106" s="22" t="inlineStr">
        <is>
          <t>Blue Ridge Metals 2</t>
        </is>
      </c>
      <c r="D106" s="22" t="inlineStr">
        <is>
          <t>Field Inspection</t>
        </is>
      </c>
      <c r="E106" s="22" t="inlineStr">
        <is>
          <t>Recurring</t>
        </is>
      </c>
      <c r="F106" s="226" t="n">
        <v>45323</v>
      </c>
      <c r="G106" s="226" t="n">
        <v>46082</v>
      </c>
      <c r="H106" s="224" t="n">
        <v>0.4940642949336517</v>
      </c>
      <c r="I106" s="225" t="n">
        <v>0.3466339154296888</v>
      </c>
      <c r="J106" s="224" t="n">
        <v>0.02268997346275954</v>
      </c>
      <c r="K106" s="22" t="n">
        <v>109</v>
      </c>
      <c r="L106" s="224" t="n">
        <v>0.2960680434915051</v>
      </c>
      <c r="M106" s="224" t="n">
        <v>0.2470321474668258</v>
      </c>
      <c r="N106" s="22" t="inlineStr">
        <is>
          <t>30-60 days</t>
        </is>
      </c>
      <c r="O106" s="22" t="inlineStr">
        <is>
          <t>Yes</t>
        </is>
      </c>
      <c r="P106" s="22" t="inlineStr">
        <is>
          <t>Legacy A</t>
        </is>
      </c>
      <c r="Q106" s="22" t="inlineStr">
        <is>
          <t>Raleigh</t>
        </is>
      </c>
      <c r="R106" s="22" t="inlineStr">
        <is>
          <t>Project ledger / data room</t>
        </is>
      </c>
    </row>
    <row r="107">
      <c r="A107" s="22" t="inlineStr">
        <is>
          <t>SM-027-P2</t>
        </is>
      </c>
      <c r="B107" s="22" t="inlineStr">
        <is>
          <t>SM-027</t>
        </is>
      </c>
      <c r="C107" s="22" t="inlineStr">
        <is>
          <t>Blue Ridge Metals 2</t>
        </is>
      </c>
      <c r="D107" s="22" t="inlineStr">
        <is>
          <t>Field Inspection</t>
        </is>
      </c>
      <c r="E107" s="22" t="inlineStr">
        <is>
          <t>Recurring</t>
        </is>
      </c>
      <c r="F107" s="226" t="n">
        <v>45352</v>
      </c>
      <c r="G107" s="226" t="n">
        <v>46143</v>
      </c>
      <c r="H107" s="224" t="n">
        <v>0.4444481333646275</v>
      </c>
      <c r="I107" s="225" t="n">
        <v>0.3978125736757027</v>
      </c>
      <c r="J107" s="224" t="n">
        <v>0.03858375004415554</v>
      </c>
      <c r="K107" s="22" t="n">
        <v>21</v>
      </c>
      <c r="L107" s="224" t="n">
        <v>0.3817679788808487</v>
      </c>
      <c r="M107" s="224" t="n">
        <v>0.2222240666823138</v>
      </c>
      <c r="N107" s="22" t="inlineStr">
        <is>
          <t>30-60 days</t>
        </is>
      </c>
      <c r="O107" s="22" t="inlineStr">
        <is>
          <t>No</t>
        </is>
      </c>
      <c r="P107" s="22" t="inlineStr">
        <is>
          <t>Legacy B</t>
        </is>
      </c>
      <c r="Q107" s="22" t="inlineStr">
        <is>
          <t>Charlotte</t>
        </is>
      </c>
      <c r="R107" s="22" t="inlineStr">
        <is>
          <t>Project ledger / data room</t>
        </is>
      </c>
    </row>
    <row r="108">
      <c r="A108" s="22" t="inlineStr">
        <is>
          <t>SM-028-P1</t>
        </is>
      </c>
      <c r="B108" s="22" t="inlineStr">
        <is>
          <t>SM-028</t>
        </is>
      </c>
      <c r="C108" s="22" t="inlineStr">
        <is>
          <t>Pioneer Components 2</t>
        </is>
      </c>
      <c r="D108" s="22" t="inlineStr">
        <is>
          <t>Permitting &amp; Advisory</t>
        </is>
      </c>
      <c r="E108" s="22" t="inlineStr">
        <is>
          <t>Repeat</t>
        </is>
      </c>
      <c r="F108" s="226" t="n">
        <v>45323</v>
      </c>
      <c r="G108" s="226" t="n">
        <v>46082</v>
      </c>
      <c r="H108" s="224" t="n">
        <v>0.4248531889448871</v>
      </c>
      <c r="I108" s="225" t="n">
        <v>0.3449450969651095</v>
      </c>
      <c r="J108" s="224" t="n">
        <v>0.0227011218188394</v>
      </c>
      <c r="K108" s="22" t="n">
        <v>40</v>
      </c>
      <c r="L108" s="224" t="n">
        <v>0.5716770455924514</v>
      </c>
      <c r="M108" s="224" t="n">
        <v>0.1062132972362218</v>
      </c>
      <c r="N108" s="22" t="inlineStr">
        <is>
          <t>30-60 days</t>
        </is>
      </c>
      <c r="O108" s="22" t="inlineStr">
        <is>
          <t>Yes</t>
        </is>
      </c>
      <c r="P108" s="22" t="inlineStr">
        <is>
          <t>Legacy A</t>
        </is>
      </c>
      <c r="Q108" s="22" t="inlineStr">
        <is>
          <t>Raleigh</t>
        </is>
      </c>
      <c r="R108" s="22" t="inlineStr">
        <is>
          <t>Project ledger / data room</t>
        </is>
      </c>
    </row>
    <row r="109">
      <c r="A109" s="22" t="inlineStr">
        <is>
          <t>SM-028-P2</t>
        </is>
      </c>
      <c r="B109" s="22" t="inlineStr">
        <is>
          <t>SM-028</t>
        </is>
      </c>
      <c r="C109" s="22" t="inlineStr">
        <is>
          <t>Pioneer Components 2</t>
        </is>
      </c>
      <c r="D109" s="22" t="inlineStr">
        <is>
          <t>Permitting &amp; Advisory</t>
        </is>
      </c>
      <c r="E109" s="22" t="inlineStr">
        <is>
          <t>Repeat</t>
        </is>
      </c>
      <c r="F109" s="226" t="n">
        <v>45352</v>
      </c>
      <c r="G109" s="226" t="n">
        <v>46143</v>
      </c>
      <c r="H109" s="224" t="n">
        <v>0.5016526837674866</v>
      </c>
      <c r="I109" s="225" t="n">
        <v>0.3210708797533906</v>
      </c>
      <c r="J109" s="224" t="n">
        <v>0.03465096604089505</v>
      </c>
      <c r="K109" s="22" t="n">
        <v>34</v>
      </c>
      <c r="L109" s="224" t="n">
        <v>0.4635600446806401</v>
      </c>
      <c r="M109" s="224" t="n">
        <v>0.1254131709418717</v>
      </c>
      <c r="N109" s="22" t="inlineStr">
        <is>
          <t>30-60 days</t>
        </is>
      </c>
      <c r="O109" s="22" t="inlineStr">
        <is>
          <t>No</t>
        </is>
      </c>
      <c r="P109" s="22" t="inlineStr">
        <is>
          <t>Legacy B</t>
        </is>
      </c>
      <c r="Q109" s="22" t="inlineStr">
        <is>
          <t>Charlotte</t>
        </is>
      </c>
      <c r="R109" s="22" t="inlineStr">
        <is>
          <t>Project ledger / data room</t>
        </is>
      </c>
    </row>
    <row r="110">
      <c r="A110" s="22" t="inlineStr">
        <is>
          <t>SM-029-P1</t>
        </is>
      </c>
      <c r="B110" s="22" t="inlineStr">
        <is>
          <t>SM-029</t>
        </is>
      </c>
      <c r="C110" s="22" t="inlineStr">
        <is>
          <t>Evergreen Chemicals 2</t>
        </is>
      </c>
      <c r="D110" s="22" t="inlineStr">
        <is>
          <t>EHS Compliance</t>
        </is>
      </c>
      <c r="E110" s="22" t="inlineStr">
        <is>
          <t>Project</t>
        </is>
      </c>
      <c r="F110" s="226" t="n">
        <v>45323</v>
      </c>
      <c r="G110" s="226" t="n">
        <v>46082</v>
      </c>
      <c r="H110" s="224" t="n">
        <v>0.802767837422472</v>
      </c>
      <c r="I110" s="225" t="n">
        <v>0.3820217010614784</v>
      </c>
      <c r="J110" s="224" t="n">
        <v>0.05253089372587514</v>
      </c>
      <c r="K110" s="22" t="n">
        <v>108</v>
      </c>
      <c r="L110" s="224" t="n">
        <v>0.8857234885808333</v>
      </c>
      <c r="M110" s="224" t="n">
        <v>0.04013839187112361</v>
      </c>
      <c r="N110" s="22" t="inlineStr">
        <is>
          <t>30-60 days</t>
        </is>
      </c>
      <c r="O110" s="22" t="inlineStr">
        <is>
          <t>Yes</t>
        </is>
      </c>
      <c r="P110" s="22" t="inlineStr">
        <is>
          <t>Legacy A</t>
        </is>
      </c>
      <c r="Q110" s="22" t="inlineStr">
        <is>
          <t>Nashville</t>
        </is>
      </c>
      <c r="R110" s="22" t="inlineStr">
        <is>
          <t>Project ledger / data room</t>
        </is>
      </c>
    </row>
    <row r="111">
      <c r="A111" s="22" t="inlineStr">
        <is>
          <t>SM-029-P2</t>
        </is>
      </c>
      <c r="B111" s="22" t="inlineStr">
        <is>
          <t>SM-029</t>
        </is>
      </c>
      <c r="C111" s="22" t="inlineStr">
        <is>
          <t>Evergreen Chemicals 2</t>
        </is>
      </c>
      <c r="D111" s="22" t="inlineStr">
        <is>
          <t>EHS Compliance</t>
        </is>
      </c>
      <c r="E111" s="22" t="inlineStr">
        <is>
          <t>Project</t>
        </is>
      </c>
      <c r="F111" s="226" t="n">
        <v>45352</v>
      </c>
      <c r="G111" s="226" t="n">
        <v>46143</v>
      </c>
      <c r="H111" s="224" t="n">
        <v>0.1117314797039963</v>
      </c>
      <c r="I111" s="225" t="n">
        <v>0.323138360305047</v>
      </c>
      <c r="J111" s="224" t="n">
        <v>0.009484358473566752</v>
      </c>
      <c r="K111" s="22" t="n">
        <v>68</v>
      </c>
      <c r="L111" s="224" t="n">
        <v>0.04746737648648405</v>
      </c>
      <c r="M111" s="224" t="n">
        <v>0.005586573985199817</v>
      </c>
      <c r="N111" s="22" t="inlineStr">
        <is>
          <t>30-60 days</t>
        </is>
      </c>
      <c r="O111" s="22" t="inlineStr">
        <is>
          <t>No</t>
        </is>
      </c>
      <c r="P111" s="22" t="inlineStr">
        <is>
          <t>Legacy B</t>
        </is>
      </c>
      <c r="Q111" s="22" t="inlineStr">
        <is>
          <t>Raleigh</t>
        </is>
      </c>
      <c r="R111" s="22" t="inlineStr">
        <is>
          <t>Project ledger / data room</t>
        </is>
      </c>
    </row>
    <row r="112">
      <c r="A112" s="22" t="inlineStr">
        <is>
          <t>SM-030-P1</t>
        </is>
      </c>
      <c r="B112" s="22" t="inlineStr">
        <is>
          <t>SM-030</t>
        </is>
      </c>
      <c r="C112" s="22" t="inlineStr">
        <is>
          <t>Redwood Utilities 2</t>
        </is>
      </c>
      <c r="D112" s="22" t="inlineStr">
        <is>
          <t>Industrial Hygiene</t>
        </is>
      </c>
      <c r="E112" s="22" t="inlineStr">
        <is>
          <t>Recurring</t>
        </is>
      </c>
      <c r="F112" s="226" t="n">
        <v>45323</v>
      </c>
      <c r="G112" s="226" t="n">
        <v>46082</v>
      </c>
      <c r="H112" s="224" t="n">
        <v>0.006542423751698987</v>
      </c>
      <c r="I112" s="225" t="n">
        <v>0.3450760300497855</v>
      </c>
      <c r="J112" s="224" t="n">
        <v>0.0003604715332823935</v>
      </c>
      <c r="K112" s="22" t="n">
        <v>34</v>
      </c>
      <c r="L112" s="224" t="n">
        <v>0.004867302532307646</v>
      </c>
      <c r="M112" s="224" t="n">
        <v>0.003271211875849494</v>
      </c>
      <c r="N112" s="22" t="inlineStr">
        <is>
          <t>30-60 days</t>
        </is>
      </c>
      <c r="O112" s="22" t="inlineStr">
        <is>
          <t>Yes</t>
        </is>
      </c>
      <c r="P112" s="22" t="inlineStr">
        <is>
          <t>Central PSA</t>
        </is>
      </c>
      <c r="Q112" s="22" t="inlineStr">
        <is>
          <t>Charlotte</t>
        </is>
      </c>
      <c r="R112" s="22" t="inlineStr">
        <is>
          <t>Project ledger / data room</t>
        </is>
      </c>
    </row>
    <row r="113">
      <c r="A113" s="22" t="inlineStr">
        <is>
          <t>SM-030-P2</t>
        </is>
      </c>
      <c r="B113" s="22" t="inlineStr">
        <is>
          <t>SM-030</t>
        </is>
      </c>
      <c r="C113" s="22" t="inlineStr">
        <is>
          <t>Redwood Utilities 2</t>
        </is>
      </c>
      <c r="D113" s="22" t="inlineStr">
        <is>
          <t>Industrial Hygiene</t>
        </is>
      </c>
      <c r="E113" s="22" t="inlineStr">
        <is>
          <t>Recurring</t>
        </is>
      </c>
      <c r="F113" s="226" t="n">
        <v>45352</v>
      </c>
      <c r="G113" s="226" t="n">
        <v>46143</v>
      </c>
      <c r="H113" s="224" t="n">
        <v>0.8959503377888637</v>
      </c>
      <c r="I113" s="225" t="n">
        <v>0.3316078045374969</v>
      </c>
      <c r="J113" s="224" t="n">
        <v>0.07347827743243454</v>
      </c>
      <c r="K113" s="22" t="n">
        <v>20</v>
      </c>
      <c r="L113" s="224" t="n">
        <v>1.031000552892586</v>
      </c>
      <c r="M113" s="224" t="n">
        <v>0.4479751688944318</v>
      </c>
      <c r="N113" s="22" t="inlineStr">
        <is>
          <t>30-60 days</t>
        </is>
      </c>
      <c r="O113" s="22" t="inlineStr">
        <is>
          <t>No</t>
        </is>
      </c>
      <c r="P113" s="22" t="inlineStr">
        <is>
          <t>Legacy A</t>
        </is>
      </c>
      <c r="Q113" s="22" t="inlineStr">
        <is>
          <t>Indianapolis</t>
        </is>
      </c>
      <c r="R113" s="22" t="inlineStr">
        <is>
          <t>Project ledger / data room</t>
        </is>
      </c>
    </row>
    <row r="114">
      <c r="A114" s="22" t="inlineStr">
        <is>
          <t>SM-031-P1</t>
        </is>
      </c>
      <c r="B114" s="22" t="inlineStr">
        <is>
          <t>SM-031</t>
        </is>
      </c>
      <c r="C114" s="22" t="inlineStr">
        <is>
          <t>Silverline Medical 2</t>
        </is>
      </c>
      <c r="D114" s="22" t="inlineStr">
        <is>
          <t>Field Inspection</t>
        </is>
      </c>
      <c r="E114" s="22" t="inlineStr">
        <is>
          <t>Repeat</t>
        </is>
      </c>
      <c r="F114" s="226" t="n">
        <v>45323</v>
      </c>
      <c r="G114" s="226" t="n">
        <v>46082</v>
      </c>
      <c r="H114" s="224" t="n">
        <v>0.8904862059546573</v>
      </c>
      <c r="I114" s="225" t="n">
        <v>0.3120041347592182</v>
      </c>
      <c r="J114" s="224" t="n">
        <v>0.07686671853523372</v>
      </c>
      <c r="K114" s="22" t="n">
        <v>91</v>
      </c>
      <c r="L114" s="224" t="n">
        <v>1.159027070571415</v>
      </c>
      <c r="M114" s="224" t="n">
        <v>0.2226215514886643</v>
      </c>
      <c r="N114" s="22" t="inlineStr">
        <is>
          <t>30-60 days</t>
        </is>
      </c>
      <c r="O114" s="22" t="inlineStr">
        <is>
          <t>Yes</t>
        </is>
      </c>
      <c r="P114" s="22" t="inlineStr">
        <is>
          <t>Central PSA</t>
        </is>
      </c>
      <c r="Q114" s="22" t="inlineStr">
        <is>
          <t>Nashville</t>
        </is>
      </c>
      <c r="R114" s="22" t="inlineStr">
        <is>
          <t>Project ledger / data room</t>
        </is>
      </c>
    </row>
    <row r="115">
      <c r="A115" s="22" t="inlineStr">
        <is>
          <t>SM-032-P1</t>
        </is>
      </c>
      <c r="B115" s="22" t="inlineStr">
        <is>
          <t>SM-032</t>
        </is>
      </c>
      <c r="C115" s="22" t="inlineStr">
        <is>
          <t>Prairie Public Works 2</t>
        </is>
      </c>
      <c r="D115" s="22" t="inlineStr">
        <is>
          <t>Permitting &amp; Advisory</t>
        </is>
      </c>
      <c r="E115" s="22" t="inlineStr">
        <is>
          <t>Project</t>
        </is>
      </c>
      <c r="F115" s="226" t="n">
        <v>45323</v>
      </c>
      <c r="G115" s="226" t="n">
        <v>46082</v>
      </c>
      <c r="H115" s="224" t="n">
        <v>0.8784796503687519</v>
      </c>
      <c r="I115" s="225" t="n">
        <v>0.3372221999354492</v>
      </c>
      <c r="J115" s="224" t="n">
        <v>0.05239689160302849</v>
      </c>
      <c r="K115" s="22" t="n">
        <v>119</v>
      </c>
      <c r="L115" s="224" t="n">
        <v>0.8689715623754612</v>
      </c>
      <c r="M115" s="224" t="n">
        <v>0.0439239825184376</v>
      </c>
      <c r="N115" s="22" t="inlineStr">
        <is>
          <t>30-60 days</t>
        </is>
      </c>
      <c r="O115" s="22" t="inlineStr">
        <is>
          <t>Yes</t>
        </is>
      </c>
      <c r="P115" s="22" t="inlineStr">
        <is>
          <t>Legacy A</t>
        </is>
      </c>
      <c r="Q115" s="22" t="inlineStr">
        <is>
          <t>Chicago</t>
        </is>
      </c>
      <c r="R115" s="22" t="inlineStr">
        <is>
          <t>Project ledger / data room</t>
        </is>
      </c>
    </row>
    <row r="116">
      <c r="A116" s="22" t="inlineStr">
        <is>
          <t>SM-033-P1</t>
        </is>
      </c>
      <c r="B116" s="22" t="inlineStr">
        <is>
          <t>SM-033</t>
        </is>
      </c>
      <c r="C116" s="22" t="inlineStr">
        <is>
          <t>Atlas Manufacturing 2</t>
        </is>
      </c>
      <c r="D116" s="22" t="inlineStr">
        <is>
          <t>EHS Compliance</t>
        </is>
      </c>
      <c r="E116" s="22" t="inlineStr">
        <is>
          <t>Recurring</t>
        </is>
      </c>
      <c r="F116" s="226" t="n">
        <v>45323</v>
      </c>
      <c r="G116" s="226" t="n">
        <v>46082</v>
      </c>
      <c r="H116" s="224" t="n">
        <v>0.8664730947828463</v>
      </c>
      <c r="I116" s="225" t="n">
        <v>0.3428052751389566</v>
      </c>
      <c r="J116" s="224" t="n">
        <v>0.04657965495559165</v>
      </c>
      <c r="K116" s="22" t="n">
        <v>24</v>
      </c>
      <c r="L116" s="224" t="n">
        <v>0.4347180933162715</v>
      </c>
      <c r="M116" s="224" t="n">
        <v>0.4332365473914231</v>
      </c>
      <c r="N116" s="22" t="inlineStr">
        <is>
          <t>30-60 days</t>
        </is>
      </c>
      <c r="O116" s="22" t="inlineStr">
        <is>
          <t>Yes</t>
        </is>
      </c>
      <c r="P116" s="22" t="inlineStr">
        <is>
          <t>Legacy A</t>
        </is>
      </c>
      <c r="Q116" s="22" t="inlineStr">
        <is>
          <t>Charlotte</t>
        </is>
      </c>
      <c r="R116" s="22" t="inlineStr">
        <is>
          <t>Project ledger / data room</t>
        </is>
      </c>
    </row>
    <row r="117">
      <c r="A117" s="22" t="inlineStr">
        <is>
          <t>SM-034-P1</t>
        </is>
      </c>
      <c r="B117" s="22" t="inlineStr">
        <is>
          <t>SM-034</t>
        </is>
      </c>
      <c r="C117" s="22" t="inlineStr">
        <is>
          <t>Cobalt Industries 2</t>
        </is>
      </c>
      <c r="D117" s="22" t="inlineStr">
        <is>
          <t>Industrial Hygiene</t>
        </is>
      </c>
      <c r="E117" s="22" t="inlineStr">
        <is>
          <t>Repeat</t>
        </is>
      </c>
      <c r="F117" s="226" t="n">
        <v>45323</v>
      </c>
      <c r="G117" s="226" t="n">
        <v>46082</v>
      </c>
      <c r="H117" s="224" t="n">
        <v>0.8544665391969408</v>
      </c>
      <c r="I117" s="225" t="n">
        <v>0.3285623190067437</v>
      </c>
      <c r="J117" s="224" t="n">
        <v>0.07415017426652742</v>
      </c>
      <c r="K117" s="22" t="n">
        <v>44</v>
      </c>
      <c r="L117" s="224" t="n">
        <v>0.5688423130043418</v>
      </c>
      <c r="M117" s="224" t="n">
        <v>0.2136166347992352</v>
      </c>
      <c r="N117" s="22" t="inlineStr">
        <is>
          <t>30-60 days</t>
        </is>
      </c>
      <c r="O117" s="22" t="inlineStr">
        <is>
          <t>Yes</t>
        </is>
      </c>
      <c r="P117" s="22" t="inlineStr">
        <is>
          <t>Central PSA</t>
        </is>
      </c>
      <c r="Q117" s="22" t="inlineStr">
        <is>
          <t>Charlotte</t>
        </is>
      </c>
      <c r="R117" s="22" t="inlineStr">
        <is>
          <t>Project ledger / data room</t>
        </is>
      </c>
    </row>
    <row r="118">
      <c r="A118" s="22" t="inlineStr">
        <is>
          <t>SM-035-P1</t>
        </is>
      </c>
      <c r="B118" s="22" t="inlineStr">
        <is>
          <t>SM-035</t>
        </is>
      </c>
      <c r="C118" s="22" t="inlineStr">
        <is>
          <t>Meridian Transit 2</t>
        </is>
      </c>
      <c r="D118" s="22" t="inlineStr">
        <is>
          <t>Field Inspection</t>
        </is>
      </c>
      <c r="E118" s="22" t="inlineStr">
        <is>
          <t>Project</t>
        </is>
      </c>
      <c r="F118" s="226" t="n">
        <v>45323</v>
      </c>
      <c r="G118" s="226" t="n">
        <v>46082</v>
      </c>
      <c r="H118" s="224" t="n">
        <v>0.8424599836110354</v>
      </c>
      <c r="I118" s="225" t="n">
        <v>0.3189849047163007</v>
      </c>
      <c r="J118" s="224" t="n">
        <v>0.04942499097118939</v>
      </c>
      <c r="K118" s="22" t="n">
        <v>115</v>
      </c>
      <c r="L118" s="224" t="n">
        <v>1.081943181320169</v>
      </c>
      <c r="M118" s="224" t="n">
        <v>0.04212299918055177</v>
      </c>
      <c r="N118" s="22" t="inlineStr">
        <is>
          <t>30-60 days</t>
        </is>
      </c>
      <c r="O118" s="22" t="inlineStr">
        <is>
          <t>Yes</t>
        </is>
      </c>
      <c r="P118" s="22" t="inlineStr">
        <is>
          <t>Central PSA</t>
        </is>
      </c>
      <c r="Q118" s="22" t="inlineStr">
        <is>
          <t>Indianapolis</t>
        </is>
      </c>
      <c r="R118" s="22" t="inlineStr">
        <is>
          <t>Project ledger / data room</t>
        </is>
      </c>
    </row>
  </sheetData>
  <mergeCells count="1">
    <mergeCell ref="A1:R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7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</cols>
  <sheetData>
    <row r="1" ht="26" customHeight="1">
      <c r="A1" s="9" t="inlineStr">
        <is>
          <t>Employee and Utilization Schedule - December 31, 2025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/>
    <row r="3">
      <c r="A3" s="15" t="inlineStr">
        <is>
          <t>Employee ID</t>
        </is>
      </c>
      <c r="B3" s="15" t="inlineStr">
        <is>
          <t>Office</t>
        </is>
      </c>
      <c r="C3" s="15" t="inlineStr">
        <is>
          <t>Region</t>
        </is>
      </c>
      <c r="D3" s="15" t="inlineStr">
        <is>
          <t>Function</t>
        </is>
      </c>
      <c r="E3" s="15" t="inlineStr">
        <is>
          <t>Service Line</t>
        </is>
      </c>
      <c r="F3" s="15" t="inlineStr">
        <is>
          <t>Billable?</t>
        </is>
      </c>
      <c r="G3" s="15" t="inlineStr">
        <is>
          <t>Annual Base Salary ($000)</t>
        </is>
      </c>
      <c r="H3" s="15" t="inlineStr">
        <is>
          <t>Bonus Target %</t>
        </is>
      </c>
      <c r="I3" s="15" t="inlineStr">
        <is>
          <t>Recorded Utilization %</t>
        </is>
      </c>
      <c r="J3" s="15" t="inlineStr">
        <is>
          <t>Standardized Utilization %</t>
        </is>
      </c>
      <c r="K3" s="15" t="inlineStr">
        <is>
          <t>Hire Date</t>
        </is>
      </c>
      <c r="L3" s="15" t="inlineStr">
        <is>
          <t>Acquisition Origin</t>
        </is>
      </c>
      <c r="M3" s="15" t="inlineStr">
        <is>
          <t>Status</t>
        </is>
      </c>
      <c r="N3" s="15" t="inlineStr">
        <is>
          <t>Manager Level</t>
        </is>
      </c>
      <c r="O3" s="15" t="inlineStr">
        <is>
          <t>Retention Critical?</t>
        </is>
      </c>
      <c r="P3" s="15" t="inlineStr">
        <is>
          <t>Source</t>
        </is>
      </c>
    </row>
    <row r="4">
      <c r="A4" s="22" t="inlineStr">
        <is>
          <t>E0001</t>
        </is>
      </c>
      <c r="B4" s="22" t="inlineStr">
        <is>
          <t>Chicago</t>
        </is>
      </c>
      <c r="C4" s="22" t="inlineStr">
        <is>
          <t>Midwest</t>
        </is>
      </c>
      <c r="D4" s="22" t="inlineStr">
        <is>
          <t>Technical</t>
        </is>
      </c>
      <c r="E4" s="22" t="inlineStr">
        <is>
          <t>Industrial Hygiene</t>
        </is>
      </c>
      <c r="F4" s="22" t="inlineStr">
        <is>
          <t>Yes</t>
        </is>
      </c>
      <c r="G4" s="234" t="n">
        <v>77</v>
      </c>
      <c r="H4" s="225" t="n">
        <v>0.05</v>
      </c>
      <c r="I4" s="225" t="n">
        <v>0.6200000000000001</v>
      </c>
      <c r="J4" s="225" t="n">
        <v>0.5800000000000001</v>
      </c>
      <c r="K4" s="226" t="n">
        <v>42401</v>
      </c>
      <c r="L4" s="22" t="inlineStr">
        <is>
          <t>Northstar</t>
        </is>
      </c>
      <c r="M4" s="22" t="inlineStr">
        <is>
          <t>Active</t>
        </is>
      </c>
      <c r="N4" s="22" t="inlineStr">
        <is>
          <t>Staff</t>
        </is>
      </c>
      <c r="O4" s="22" t="inlineStr">
        <is>
          <t>No</t>
        </is>
      </c>
      <c r="P4" s="22" t="inlineStr">
        <is>
          <t>HRIS / KS-DL-1.2</t>
        </is>
      </c>
    </row>
    <row r="5">
      <c r="A5" s="22" t="inlineStr">
        <is>
          <t>E0002</t>
        </is>
      </c>
      <c r="B5" s="22" t="inlineStr">
        <is>
          <t>Detroit</t>
        </is>
      </c>
      <c r="C5" s="22" t="inlineStr">
        <is>
          <t>Midwest</t>
        </is>
      </c>
      <c r="D5" s="22" t="inlineStr">
        <is>
          <t>Technical</t>
        </is>
      </c>
      <c r="E5" s="22" t="inlineStr">
        <is>
          <t>Field Inspection</t>
        </is>
      </c>
      <c r="F5" s="22" t="inlineStr">
        <is>
          <t>Yes</t>
        </is>
      </c>
      <c r="G5" s="234" t="n">
        <v>94</v>
      </c>
      <c r="H5" s="225" t="n">
        <v>0.05</v>
      </c>
      <c r="I5" s="225" t="n">
        <v>0.6900000000000001</v>
      </c>
      <c r="J5" s="225" t="n">
        <v>0.65</v>
      </c>
      <c r="K5" s="226" t="n">
        <v>42795</v>
      </c>
      <c r="L5" s="22" t="inlineStr">
        <is>
          <t>Delta</t>
        </is>
      </c>
      <c r="M5" s="22" t="inlineStr">
        <is>
          <t>Active</t>
        </is>
      </c>
      <c r="N5" s="22" t="inlineStr">
        <is>
          <t>Staff</t>
        </is>
      </c>
      <c r="O5" s="22" t="inlineStr">
        <is>
          <t>No</t>
        </is>
      </c>
      <c r="P5" s="22" t="inlineStr">
        <is>
          <t>HRIS / KS-DL-1.2</t>
        </is>
      </c>
    </row>
    <row r="6">
      <c r="A6" s="22" t="inlineStr">
        <is>
          <t>E0003</t>
        </is>
      </c>
      <c r="B6" s="22" t="inlineStr">
        <is>
          <t>Louisville</t>
        </is>
      </c>
      <c r="C6" s="22" t="inlineStr">
        <is>
          <t>Southeast</t>
        </is>
      </c>
      <c r="D6" s="22" t="inlineStr">
        <is>
          <t>Technical</t>
        </is>
      </c>
      <c r="E6" s="22" t="inlineStr">
        <is>
          <t>Permitting &amp; Advisory</t>
        </is>
      </c>
      <c r="F6" s="22" t="inlineStr">
        <is>
          <t>Yes</t>
        </is>
      </c>
      <c r="G6" s="234" t="n">
        <v>111</v>
      </c>
      <c r="H6" s="225" t="n">
        <v>0.05</v>
      </c>
      <c r="I6" s="225" t="n">
        <v>0.76</v>
      </c>
      <c r="J6" s="225" t="n">
        <v>0.72</v>
      </c>
      <c r="K6" s="226" t="n">
        <v>43191</v>
      </c>
      <c r="L6" s="22" t="inlineStr">
        <is>
          <t>Meridian</t>
        </is>
      </c>
      <c r="M6" s="22" t="inlineStr">
        <is>
          <t>Active</t>
        </is>
      </c>
      <c r="N6" s="22" t="inlineStr">
        <is>
          <t>Staff</t>
        </is>
      </c>
      <c r="O6" s="22" t="inlineStr">
        <is>
          <t>No</t>
        </is>
      </c>
      <c r="P6" s="22" t="inlineStr">
        <is>
          <t>HRIS / KS-DL-1.2</t>
        </is>
      </c>
    </row>
    <row r="7">
      <c r="A7" s="22" t="inlineStr">
        <is>
          <t>E0004</t>
        </is>
      </c>
      <c r="B7" s="22" t="inlineStr">
        <is>
          <t>Nashville</t>
        </is>
      </c>
      <c r="C7" s="22" t="inlineStr">
        <is>
          <t>Midwest</t>
        </is>
      </c>
      <c r="D7" s="22" t="inlineStr">
        <is>
          <t>Project Management</t>
        </is>
      </c>
      <c r="E7" s="22" t="inlineStr">
        <is>
          <t>EHS Compliance</t>
        </is>
      </c>
      <c r="F7" s="22" t="inlineStr">
        <is>
          <t>Yes</t>
        </is>
      </c>
      <c r="G7" s="234" t="n">
        <v>128</v>
      </c>
      <c r="H7" s="225" t="n">
        <v>0.05</v>
      </c>
      <c r="I7" s="225" t="n">
        <v>0.8300000000000001</v>
      </c>
      <c r="J7" s="225" t="n">
        <v>0.79</v>
      </c>
      <c r="K7" s="226" t="n">
        <v>43586</v>
      </c>
      <c r="L7" s="22" t="inlineStr">
        <is>
          <t>Summit</t>
        </is>
      </c>
      <c r="M7" s="22" t="inlineStr">
        <is>
          <t>Active</t>
        </is>
      </c>
      <c r="N7" s="22" t="inlineStr">
        <is>
          <t>Staff</t>
        </is>
      </c>
      <c r="O7" s="22" t="inlineStr">
        <is>
          <t>No</t>
        </is>
      </c>
      <c r="P7" s="22" t="inlineStr">
        <is>
          <t>HRIS / KS-DL-1.2</t>
        </is>
      </c>
    </row>
    <row r="8">
      <c r="A8" s="22" t="inlineStr">
        <is>
          <t>E0005</t>
        </is>
      </c>
      <c r="B8" s="22" t="inlineStr">
        <is>
          <t>Raleigh</t>
        </is>
      </c>
      <c r="C8" s="22" t="inlineStr">
        <is>
          <t>Midwest</t>
        </is>
      </c>
      <c r="D8" s="22" t="inlineStr">
        <is>
          <t>Corporate</t>
        </is>
      </c>
      <c r="E8" s="22" t="inlineStr">
        <is>
          <t>Industrial Hygiene</t>
        </is>
      </c>
      <c r="F8" s="22" t="inlineStr">
        <is>
          <t>No</t>
        </is>
      </c>
      <c r="G8" s="234" t="n">
        <v>135</v>
      </c>
      <c r="H8" s="225" t="n">
        <v>0.15</v>
      </c>
      <c r="I8" s="225" t="n">
        <v>0</v>
      </c>
      <c r="J8" s="225" t="n">
        <v>0</v>
      </c>
      <c r="K8" s="226" t="n">
        <v>43983</v>
      </c>
      <c r="L8" s="22" t="inlineStr">
        <is>
          <t>Legacy Alderstone</t>
        </is>
      </c>
      <c r="M8" s="22" t="inlineStr">
        <is>
          <t>Active</t>
        </is>
      </c>
      <c r="N8" s="22" t="inlineStr">
        <is>
          <t>Staff</t>
        </is>
      </c>
      <c r="O8" s="22" t="inlineStr">
        <is>
          <t>No</t>
        </is>
      </c>
      <c r="P8" s="22" t="inlineStr">
        <is>
          <t>HRIS / KS-DL-1.2</t>
        </is>
      </c>
    </row>
    <row r="9">
      <c r="A9" s="22" t="inlineStr">
        <is>
          <t>E0006</t>
        </is>
      </c>
      <c r="B9" s="22" t="inlineStr">
        <is>
          <t>Charlotte</t>
        </is>
      </c>
      <c r="C9" s="22" t="inlineStr">
        <is>
          <t>Southeast</t>
        </is>
      </c>
      <c r="D9" s="22" t="inlineStr">
        <is>
          <t>Sales</t>
        </is>
      </c>
      <c r="E9" s="22" t="inlineStr">
        <is>
          <t>Field Inspection</t>
        </is>
      </c>
      <c r="F9" s="22" t="inlineStr">
        <is>
          <t>No</t>
        </is>
      </c>
      <c r="G9" s="234" t="n">
        <v>148</v>
      </c>
      <c r="H9" s="225" t="n">
        <v>0.15</v>
      </c>
      <c r="I9" s="225" t="n">
        <v>0</v>
      </c>
      <c r="J9" s="225" t="n">
        <v>0</v>
      </c>
      <c r="K9" s="226" t="n">
        <v>44378</v>
      </c>
      <c r="L9" s="22" t="inlineStr">
        <is>
          <t>Northstar</t>
        </is>
      </c>
      <c r="M9" s="22" t="inlineStr">
        <is>
          <t>Active</t>
        </is>
      </c>
      <c r="N9" s="22" t="inlineStr">
        <is>
          <t>Staff</t>
        </is>
      </c>
      <c r="O9" s="22" t="inlineStr">
        <is>
          <t>No</t>
        </is>
      </c>
      <c r="P9" s="22" t="inlineStr">
        <is>
          <t>HRIS / KS-DL-1.2</t>
        </is>
      </c>
    </row>
    <row r="10">
      <c r="A10" s="22" t="inlineStr">
        <is>
          <t>E0007</t>
        </is>
      </c>
      <c r="B10" s="22" t="inlineStr">
        <is>
          <t>Cincinnati</t>
        </is>
      </c>
      <c r="C10" s="22" t="inlineStr">
        <is>
          <t>Midwest</t>
        </is>
      </c>
      <c r="D10" s="22" t="inlineStr">
        <is>
          <t>Finance</t>
        </is>
      </c>
      <c r="E10" s="22" t="inlineStr">
        <is>
          <t>Permitting &amp; Advisory</t>
        </is>
      </c>
      <c r="F10" s="22" t="inlineStr">
        <is>
          <t>No</t>
        </is>
      </c>
      <c r="G10" s="234" t="n">
        <v>161</v>
      </c>
      <c r="H10" s="225" t="n">
        <v>0.15</v>
      </c>
      <c r="I10" s="225" t="n">
        <v>0</v>
      </c>
      <c r="J10" s="225" t="n">
        <v>0</v>
      </c>
      <c r="K10" s="226" t="n">
        <v>44774</v>
      </c>
      <c r="L10" s="22" t="inlineStr">
        <is>
          <t>Delta</t>
        </is>
      </c>
      <c r="M10" s="22" t="inlineStr">
        <is>
          <t>Active</t>
        </is>
      </c>
      <c r="N10" s="22" t="inlineStr">
        <is>
          <t>Staff</t>
        </is>
      </c>
      <c r="O10" s="22" t="inlineStr">
        <is>
          <t>No</t>
        </is>
      </c>
      <c r="P10" s="22" t="inlineStr">
        <is>
          <t>HRIS / KS-DL-1.2</t>
        </is>
      </c>
    </row>
    <row r="11">
      <c r="A11" s="22" t="inlineStr">
        <is>
          <t>E0008</t>
        </is>
      </c>
      <c r="B11" s="22" t="inlineStr">
        <is>
          <t>Columbus</t>
        </is>
      </c>
      <c r="C11" s="22" t="inlineStr">
        <is>
          <t>Midwest</t>
        </is>
      </c>
      <c r="D11" s="22" t="inlineStr">
        <is>
          <t>HR</t>
        </is>
      </c>
      <c r="E11" s="22" t="inlineStr">
        <is>
          <t>EHS Compliance</t>
        </is>
      </c>
      <c r="F11" s="22" t="inlineStr">
        <is>
          <t>No</t>
        </is>
      </c>
      <c r="G11" s="234" t="n">
        <v>174</v>
      </c>
      <c r="H11" s="225" t="n">
        <v>0.15</v>
      </c>
      <c r="I11" s="225" t="n">
        <v>0</v>
      </c>
      <c r="J11" s="225" t="n">
        <v>0</v>
      </c>
      <c r="K11" s="226" t="n">
        <v>45170</v>
      </c>
      <c r="L11" s="22" t="inlineStr">
        <is>
          <t>Meridian</t>
        </is>
      </c>
      <c r="M11" s="22" t="inlineStr">
        <is>
          <t>Active</t>
        </is>
      </c>
      <c r="N11" s="22" t="inlineStr">
        <is>
          <t>Staff</t>
        </is>
      </c>
      <c r="O11" s="22" t="inlineStr">
        <is>
          <t>No</t>
        </is>
      </c>
      <c r="P11" s="22" t="inlineStr">
        <is>
          <t>HRIS / KS-DL-1.2</t>
        </is>
      </c>
    </row>
    <row r="12">
      <c r="A12" s="22" t="inlineStr">
        <is>
          <t>E0009</t>
        </is>
      </c>
      <c r="B12" s="22" t="inlineStr">
        <is>
          <t>Knoxville</t>
        </is>
      </c>
      <c r="C12" s="22" t="inlineStr">
        <is>
          <t>Southeast</t>
        </is>
      </c>
      <c r="D12" s="22" t="inlineStr">
        <is>
          <t>IT</t>
        </is>
      </c>
      <c r="E12" s="22" t="inlineStr">
        <is>
          <t>Industrial Hygiene</t>
        </is>
      </c>
      <c r="F12" s="22" t="inlineStr">
        <is>
          <t>No</t>
        </is>
      </c>
      <c r="G12" s="234" t="n">
        <v>77</v>
      </c>
      <c r="H12" s="225" t="n">
        <v>0.15</v>
      </c>
      <c r="I12" s="225" t="n">
        <v>0</v>
      </c>
      <c r="J12" s="225" t="n">
        <v>0</v>
      </c>
      <c r="K12" s="226" t="n">
        <v>45566</v>
      </c>
      <c r="L12" s="22" t="inlineStr">
        <is>
          <t>Summit</t>
        </is>
      </c>
      <c r="M12" s="22" t="inlineStr">
        <is>
          <t>Active</t>
        </is>
      </c>
      <c r="N12" s="22" t="inlineStr">
        <is>
          <t>Staff</t>
        </is>
      </c>
      <c r="O12" s="22" t="inlineStr">
        <is>
          <t>No</t>
        </is>
      </c>
      <c r="P12" s="22" t="inlineStr">
        <is>
          <t>HRIS / KS-DL-1.2</t>
        </is>
      </c>
    </row>
    <row r="13">
      <c r="A13" s="22" t="inlineStr">
        <is>
          <t>E0010</t>
        </is>
      </c>
      <c r="B13" s="22" t="inlineStr">
        <is>
          <t>Greenville</t>
        </is>
      </c>
      <c r="C13" s="22" t="inlineStr">
        <is>
          <t>Midwest</t>
        </is>
      </c>
      <c r="D13" s="22" t="inlineStr">
        <is>
          <t>Technical</t>
        </is>
      </c>
      <c r="E13" s="22" t="inlineStr">
        <is>
          <t>Field Inspection</t>
        </is>
      </c>
      <c r="F13" s="22" t="inlineStr">
        <is>
          <t>Yes</t>
        </is>
      </c>
      <c r="G13" s="234" t="n">
        <v>140</v>
      </c>
      <c r="H13" s="225" t="n">
        <v>0.05</v>
      </c>
      <c r="I13" s="225" t="n">
        <v>0.65</v>
      </c>
      <c r="J13" s="225" t="n">
        <v>0.61</v>
      </c>
      <c r="K13" s="226" t="n">
        <v>45962</v>
      </c>
      <c r="L13" s="22" t="inlineStr">
        <is>
          <t>Legacy Alderstone</t>
        </is>
      </c>
      <c r="M13" s="22" t="inlineStr">
        <is>
          <t>Active</t>
        </is>
      </c>
      <c r="N13" s="22" t="inlineStr">
        <is>
          <t>Staff</t>
        </is>
      </c>
      <c r="O13" s="22" t="inlineStr">
        <is>
          <t>No</t>
        </is>
      </c>
      <c r="P13" s="22" t="inlineStr">
        <is>
          <t>HRIS / KS-DL-1.2</t>
        </is>
      </c>
    </row>
    <row r="14">
      <c r="A14" s="22" t="inlineStr">
        <is>
          <t>E0011</t>
        </is>
      </c>
      <c r="B14" s="22" t="inlineStr">
        <is>
          <t>Milwaukee</t>
        </is>
      </c>
      <c r="C14" s="22" t="inlineStr">
        <is>
          <t>Midwest</t>
        </is>
      </c>
      <c r="D14" s="22" t="inlineStr">
        <is>
          <t>Technical</t>
        </is>
      </c>
      <c r="E14" s="22" t="inlineStr">
        <is>
          <t>Permitting &amp; Advisory</t>
        </is>
      </c>
      <c r="F14" s="22" t="inlineStr">
        <is>
          <t>Yes</t>
        </is>
      </c>
      <c r="G14" s="234" t="n">
        <v>67</v>
      </c>
      <c r="H14" s="225" t="n">
        <v>0.05</v>
      </c>
      <c r="I14" s="225" t="n">
        <v>0.7200000000000001</v>
      </c>
      <c r="J14" s="225" t="n">
        <v>0.68</v>
      </c>
      <c r="K14" s="226" t="n">
        <v>42339</v>
      </c>
      <c r="L14" s="22" t="inlineStr">
        <is>
          <t>Northstar</t>
        </is>
      </c>
      <c r="M14" s="22" t="inlineStr">
        <is>
          <t>Active</t>
        </is>
      </c>
      <c r="N14" s="22" t="inlineStr">
        <is>
          <t>Staff</t>
        </is>
      </c>
      <c r="O14" s="22" t="inlineStr">
        <is>
          <t>No</t>
        </is>
      </c>
      <c r="P14" s="22" t="inlineStr">
        <is>
          <t>HRIS / KS-DL-1.2</t>
        </is>
      </c>
    </row>
    <row r="15">
      <c r="A15" s="22" t="inlineStr">
        <is>
          <t>E0012</t>
        </is>
      </c>
      <c r="B15" s="22" t="inlineStr">
        <is>
          <t>St. Louis</t>
        </is>
      </c>
      <c r="C15" s="22" t="inlineStr">
        <is>
          <t>Southeast</t>
        </is>
      </c>
      <c r="D15" s="22" t="inlineStr">
        <is>
          <t>Technical</t>
        </is>
      </c>
      <c r="E15" s="22" t="inlineStr">
        <is>
          <t>EHS Compliance</t>
        </is>
      </c>
      <c r="F15" s="22" t="inlineStr">
        <is>
          <t>Yes</t>
        </is>
      </c>
      <c r="G15" s="234" t="n">
        <v>84</v>
      </c>
      <c r="H15" s="225" t="n">
        <v>0.05</v>
      </c>
      <c r="I15" s="225" t="n">
        <v>0.79</v>
      </c>
      <c r="J15" s="225" t="n">
        <v>0.75</v>
      </c>
      <c r="K15" s="226" t="n">
        <v>42370</v>
      </c>
      <c r="L15" s="22" t="inlineStr">
        <is>
          <t>Delta</t>
        </is>
      </c>
      <c r="M15" s="22" t="inlineStr">
        <is>
          <t>Active</t>
        </is>
      </c>
      <c r="N15" s="22" t="inlineStr">
        <is>
          <t>Manager</t>
        </is>
      </c>
      <c r="O15" s="22" t="inlineStr">
        <is>
          <t>No</t>
        </is>
      </c>
      <c r="P15" s="22" t="inlineStr">
        <is>
          <t>HRIS / KS-DL-1.2</t>
        </is>
      </c>
    </row>
    <row r="16">
      <c r="A16" s="22" t="inlineStr">
        <is>
          <t>E0013</t>
        </is>
      </c>
      <c r="B16" s="22" t="inlineStr">
        <is>
          <t>Richmond</t>
        </is>
      </c>
      <c r="C16" s="22" t="inlineStr">
        <is>
          <t>Midwest</t>
        </is>
      </c>
      <c r="D16" s="22" t="inlineStr">
        <is>
          <t>Technical</t>
        </is>
      </c>
      <c r="E16" s="22" t="inlineStr">
        <is>
          <t>Industrial Hygiene</t>
        </is>
      </c>
      <c r="F16" s="22" t="inlineStr">
        <is>
          <t>Yes</t>
        </is>
      </c>
      <c r="G16" s="234" t="n">
        <v>101</v>
      </c>
      <c r="H16" s="225" t="n">
        <v>0.05</v>
      </c>
      <c r="I16" s="225" t="n">
        <v>0.5600000000000001</v>
      </c>
      <c r="J16" s="225" t="n">
        <v>0.52</v>
      </c>
      <c r="K16" s="226" t="n">
        <v>42767</v>
      </c>
      <c r="L16" s="22" t="inlineStr">
        <is>
          <t>Meridian</t>
        </is>
      </c>
      <c r="M16" s="22" t="inlineStr">
        <is>
          <t>Active</t>
        </is>
      </c>
      <c r="N16" s="22" t="inlineStr">
        <is>
          <t>Staff</t>
        </is>
      </c>
      <c r="O16" s="22" t="inlineStr">
        <is>
          <t>No</t>
        </is>
      </c>
      <c r="P16" s="22" t="inlineStr">
        <is>
          <t>HRIS / KS-DL-1.2</t>
        </is>
      </c>
    </row>
    <row r="17">
      <c r="A17" s="22" t="inlineStr">
        <is>
          <t>E0014</t>
        </is>
      </c>
      <c r="B17" s="22" t="inlineStr">
        <is>
          <t>Indianapolis</t>
        </is>
      </c>
      <c r="C17" s="22" t="inlineStr">
        <is>
          <t>Midwest</t>
        </is>
      </c>
      <c r="D17" s="22" t="inlineStr">
        <is>
          <t>Project Management</t>
        </is>
      </c>
      <c r="E17" s="22" t="inlineStr">
        <is>
          <t>Field Inspection</t>
        </is>
      </c>
      <c r="F17" s="22" t="inlineStr">
        <is>
          <t>Yes</t>
        </is>
      </c>
      <c r="G17" s="234" t="n">
        <v>118</v>
      </c>
      <c r="H17" s="225" t="n">
        <v>0.05</v>
      </c>
      <c r="I17" s="225" t="n">
        <v>0.63</v>
      </c>
      <c r="J17" s="225" t="n">
        <v>0.59</v>
      </c>
      <c r="K17" s="226" t="n">
        <v>43160</v>
      </c>
      <c r="L17" s="22" t="inlineStr">
        <is>
          <t>Summit</t>
        </is>
      </c>
      <c r="M17" s="22" t="inlineStr">
        <is>
          <t>Active</t>
        </is>
      </c>
      <c r="N17" s="22" t="inlineStr">
        <is>
          <t>Staff</t>
        </is>
      </c>
      <c r="O17" s="22" t="inlineStr">
        <is>
          <t>No</t>
        </is>
      </c>
      <c r="P17" s="22" t="inlineStr">
        <is>
          <t>HRIS / KS-DL-1.2</t>
        </is>
      </c>
    </row>
    <row r="18">
      <c r="A18" s="22" t="inlineStr">
        <is>
          <t>E0015</t>
        </is>
      </c>
      <c r="B18" s="22" t="inlineStr">
        <is>
          <t>Chicago</t>
        </is>
      </c>
      <c r="C18" s="22" t="inlineStr">
        <is>
          <t>Southeast</t>
        </is>
      </c>
      <c r="D18" s="22" t="inlineStr">
        <is>
          <t>Corporate</t>
        </is>
      </c>
      <c r="E18" s="22" t="inlineStr">
        <is>
          <t>Permitting &amp; Advisory</t>
        </is>
      </c>
      <c r="F18" s="22" t="inlineStr">
        <is>
          <t>No</t>
        </is>
      </c>
      <c r="G18" s="234" t="n">
        <v>155</v>
      </c>
      <c r="H18" s="225" t="n">
        <v>0.15</v>
      </c>
      <c r="I18" s="225" t="n">
        <v>0</v>
      </c>
      <c r="J18" s="225" t="n">
        <v>0</v>
      </c>
      <c r="K18" s="226" t="n">
        <v>43556</v>
      </c>
      <c r="L18" s="22" t="inlineStr">
        <is>
          <t>Legacy Alderstone</t>
        </is>
      </c>
      <c r="M18" s="22" t="inlineStr">
        <is>
          <t>Active</t>
        </is>
      </c>
      <c r="N18" s="22" t="inlineStr">
        <is>
          <t>Staff</t>
        </is>
      </c>
      <c r="O18" s="22" t="inlineStr">
        <is>
          <t>No</t>
        </is>
      </c>
      <c r="P18" s="22" t="inlineStr">
        <is>
          <t>HRIS / KS-DL-1.2</t>
        </is>
      </c>
    </row>
    <row r="19">
      <c r="A19" s="22" t="inlineStr">
        <is>
          <t>E0016</t>
        </is>
      </c>
      <c r="B19" s="22" t="inlineStr">
        <is>
          <t>Detroit</t>
        </is>
      </c>
      <c r="C19" s="22" t="inlineStr">
        <is>
          <t>Midwest</t>
        </is>
      </c>
      <c r="D19" s="22" t="inlineStr">
        <is>
          <t>Sales</t>
        </is>
      </c>
      <c r="E19" s="22" t="inlineStr">
        <is>
          <t>EHS Compliance</t>
        </is>
      </c>
      <c r="F19" s="22" t="inlineStr">
        <is>
          <t>No</t>
        </is>
      </c>
      <c r="G19" s="234" t="n">
        <v>168</v>
      </c>
      <c r="H19" s="225" t="n">
        <v>0.15</v>
      </c>
      <c r="I19" s="225" t="n">
        <v>0</v>
      </c>
      <c r="J19" s="225" t="n">
        <v>0</v>
      </c>
      <c r="K19" s="226" t="n">
        <v>43952</v>
      </c>
      <c r="L19" s="22" t="inlineStr">
        <is>
          <t>Northstar</t>
        </is>
      </c>
      <c r="M19" s="22" t="inlineStr">
        <is>
          <t>Active</t>
        </is>
      </c>
      <c r="N19" s="22" t="inlineStr">
        <is>
          <t>Staff</t>
        </is>
      </c>
      <c r="O19" s="22" t="inlineStr">
        <is>
          <t>No</t>
        </is>
      </c>
      <c r="P19" s="22" t="inlineStr">
        <is>
          <t>HRIS / KS-DL-1.2</t>
        </is>
      </c>
    </row>
    <row r="20">
      <c r="A20" s="22" t="inlineStr">
        <is>
          <t>E0017</t>
        </is>
      </c>
      <c r="B20" s="22" t="inlineStr">
        <is>
          <t>Louisville</t>
        </is>
      </c>
      <c r="C20" s="22" t="inlineStr">
        <is>
          <t>Midwest</t>
        </is>
      </c>
      <c r="D20" s="22" t="inlineStr">
        <is>
          <t>Finance</t>
        </is>
      </c>
      <c r="E20" s="22" t="inlineStr">
        <is>
          <t>Industrial Hygiene</t>
        </is>
      </c>
      <c r="F20" s="22" t="inlineStr">
        <is>
          <t>No</t>
        </is>
      </c>
      <c r="G20" s="234" t="n">
        <v>71</v>
      </c>
      <c r="H20" s="225" t="n">
        <v>0.15</v>
      </c>
      <c r="I20" s="225" t="n">
        <v>0</v>
      </c>
      <c r="J20" s="225" t="n">
        <v>0</v>
      </c>
      <c r="K20" s="226" t="n">
        <v>44348</v>
      </c>
      <c r="L20" s="22" t="inlineStr">
        <is>
          <t>Delta</t>
        </is>
      </c>
      <c r="M20" s="22" t="inlineStr">
        <is>
          <t>Active</t>
        </is>
      </c>
      <c r="N20" s="22" t="inlineStr">
        <is>
          <t>Staff</t>
        </is>
      </c>
      <c r="O20" s="22" t="inlineStr">
        <is>
          <t>No</t>
        </is>
      </c>
      <c r="P20" s="22" t="inlineStr">
        <is>
          <t>HRIS / KS-DL-1.2</t>
        </is>
      </c>
    </row>
    <row r="21">
      <c r="A21" s="22" t="inlineStr">
        <is>
          <t>E0018</t>
        </is>
      </c>
      <c r="B21" s="22" t="inlineStr">
        <is>
          <t>Nashville</t>
        </is>
      </c>
      <c r="C21" s="22" t="inlineStr">
        <is>
          <t>Southeast</t>
        </is>
      </c>
      <c r="D21" s="22" t="inlineStr">
        <is>
          <t>HR</t>
        </is>
      </c>
      <c r="E21" s="22" t="inlineStr">
        <is>
          <t>Field Inspection</t>
        </is>
      </c>
      <c r="F21" s="22" t="inlineStr">
        <is>
          <t>No</t>
        </is>
      </c>
      <c r="G21" s="234" t="n">
        <v>84</v>
      </c>
      <c r="H21" s="225" t="n">
        <v>0.15</v>
      </c>
      <c r="I21" s="225" t="n">
        <v>0</v>
      </c>
      <c r="J21" s="225" t="n">
        <v>0</v>
      </c>
      <c r="K21" s="226" t="n">
        <v>44743</v>
      </c>
      <c r="L21" s="22" t="inlineStr">
        <is>
          <t>Meridian</t>
        </is>
      </c>
      <c r="M21" s="22" t="inlineStr">
        <is>
          <t>Active</t>
        </is>
      </c>
      <c r="N21" s="22" t="inlineStr">
        <is>
          <t>Staff</t>
        </is>
      </c>
      <c r="O21" s="22" t="inlineStr">
        <is>
          <t>No</t>
        </is>
      </c>
      <c r="P21" s="22" t="inlineStr">
        <is>
          <t>HRIS / KS-DL-1.2</t>
        </is>
      </c>
    </row>
    <row r="22">
      <c r="A22" s="22" t="inlineStr">
        <is>
          <t>E0019</t>
        </is>
      </c>
      <c r="B22" s="22" t="inlineStr">
        <is>
          <t>Raleigh</t>
        </is>
      </c>
      <c r="C22" s="22" t="inlineStr">
        <is>
          <t>Midwest</t>
        </is>
      </c>
      <c r="D22" s="22" t="inlineStr">
        <is>
          <t>IT</t>
        </is>
      </c>
      <c r="E22" s="22" t="inlineStr">
        <is>
          <t>Permitting &amp; Advisory</t>
        </is>
      </c>
      <c r="F22" s="22" t="inlineStr">
        <is>
          <t>No</t>
        </is>
      </c>
      <c r="G22" s="234" t="n">
        <v>97</v>
      </c>
      <c r="H22" s="225" t="n">
        <v>0.15</v>
      </c>
      <c r="I22" s="225" t="n">
        <v>0</v>
      </c>
      <c r="J22" s="225" t="n">
        <v>0</v>
      </c>
      <c r="K22" s="226" t="n">
        <v>45139</v>
      </c>
      <c r="L22" s="22" t="inlineStr">
        <is>
          <t>Summit</t>
        </is>
      </c>
      <c r="M22" s="22" t="inlineStr">
        <is>
          <t>Active</t>
        </is>
      </c>
      <c r="N22" s="22" t="inlineStr">
        <is>
          <t>Staff</t>
        </is>
      </c>
      <c r="O22" s="22" t="inlineStr">
        <is>
          <t>No</t>
        </is>
      </c>
      <c r="P22" s="22" t="inlineStr">
        <is>
          <t>HRIS / KS-DL-1.2</t>
        </is>
      </c>
    </row>
    <row r="23">
      <c r="A23" s="22" t="inlineStr">
        <is>
          <t>E0020</t>
        </is>
      </c>
      <c r="B23" s="22" t="inlineStr">
        <is>
          <t>Charlotte</t>
        </is>
      </c>
      <c r="C23" s="22" t="inlineStr">
        <is>
          <t>Midwest</t>
        </is>
      </c>
      <c r="D23" s="22" t="inlineStr">
        <is>
          <t>Technical</t>
        </is>
      </c>
      <c r="E23" s="22" t="inlineStr">
        <is>
          <t>EHS Compliance</t>
        </is>
      </c>
      <c r="F23" s="22" t="inlineStr">
        <is>
          <t>Yes</t>
        </is>
      </c>
      <c r="G23" s="234" t="n">
        <v>130</v>
      </c>
      <c r="H23" s="225" t="n">
        <v>0.05</v>
      </c>
      <c r="I23" s="225" t="n">
        <v>0.75</v>
      </c>
      <c r="J23" s="225" t="n">
        <v>0.71</v>
      </c>
      <c r="K23" s="226" t="n">
        <v>45536</v>
      </c>
      <c r="L23" s="22" t="inlineStr">
        <is>
          <t>Legacy Alderstone</t>
        </is>
      </c>
      <c r="M23" s="22" t="inlineStr">
        <is>
          <t>Active</t>
        </is>
      </c>
      <c r="N23" s="22" t="inlineStr">
        <is>
          <t>Staff</t>
        </is>
      </c>
      <c r="O23" s="22" t="inlineStr">
        <is>
          <t>No</t>
        </is>
      </c>
      <c r="P23" s="22" t="inlineStr">
        <is>
          <t>HRIS / KS-DL-1.2</t>
        </is>
      </c>
    </row>
    <row r="24">
      <c r="A24" s="22" t="inlineStr">
        <is>
          <t>E0021</t>
        </is>
      </c>
      <c r="B24" s="22" t="inlineStr">
        <is>
          <t>Cincinnati</t>
        </is>
      </c>
      <c r="C24" s="22" t="inlineStr">
        <is>
          <t>Southeast</t>
        </is>
      </c>
      <c r="D24" s="22" t="inlineStr">
        <is>
          <t>Technical</t>
        </is>
      </c>
      <c r="E24" s="22" t="inlineStr">
        <is>
          <t>Industrial Hygiene</t>
        </is>
      </c>
      <c r="F24" s="22" t="inlineStr">
        <is>
          <t>Yes</t>
        </is>
      </c>
      <c r="G24" s="234" t="n">
        <v>147</v>
      </c>
      <c r="H24" s="225" t="n">
        <v>0.05</v>
      </c>
      <c r="I24" s="225" t="n">
        <v>0.8200000000000001</v>
      </c>
      <c r="J24" s="225" t="n">
        <v>0.78</v>
      </c>
      <c r="K24" s="226" t="n">
        <v>45931</v>
      </c>
      <c r="L24" s="22" t="inlineStr">
        <is>
          <t>Northstar</t>
        </is>
      </c>
      <c r="M24" s="22" t="inlineStr">
        <is>
          <t>Active</t>
        </is>
      </c>
      <c r="N24" s="22" t="inlineStr">
        <is>
          <t>Staff</t>
        </is>
      </c>
      <c r="O24" s="22" t="inlineStr">
        <is>
          <t>No</t>
        </is>
      </c>
      <c r="P24" s="22" t="inlineStr">
        <is>
          <t>HRIS / KS-DL-1.2</t>
        </is>
      </c>
    </row>
    <row r="25">
      <c r="A25" s="22" t="inlineStr">
        <is>
          <t>E0022</t>
        </is>
      </c>
      <c r="B25" s="22" t="inlineStr">
        <is>
          <t>Columbus</t>
        </is>
      </c>
      <c r="C25" s="22" t="inlineStr">
        <is>
          <t>Midwest</t>
        </is>
      </c>
      <c r="D25" s="22" t="inlineStr">
        <is>
          <t>Technical</t>
        </is>
      </c>
      <c r="E25" s="22" t="inlineStr">
        <is>
          <t>Field Inspection</t>
        </is>
      </c>
      <c r="F25" s="22" t="inlineStr">
        <is>
          <t>Yes</t>
        </is>
      </c>
      <c r="G25" s="234" t="n">
        <v>74</v>
      </c>
      <c r="H25" s="225" t="n">
        <v>0.05</v>
      </c>
      <c r="I25" s="225" t="n">
        <v>0.5900000000000001</v>
      </c>
      <c r="J25" s="225" t="n">
        <v>0.55</v>
      </c>
      <c r="K25" s="226" t="n">
        <v>42309</v>
      </c>
      <c r="L25" s="22" t="inlineStr">
        <is>
          <t>Delta</t>
        </is>
      </c>
      <c r="M25" s="22" t="inlineStr">
        <is>
          <t>Active</t>
        </is>
      </c>
      <c r="N25" s="22" t="inlineStr">
        <is>
          <t>Staff</t>
        </is>
      </c>
      <c r="O25" s="22" t="inlineStr">
        <is>
          <t>No</t>
        </is>
      </c>
      <c r="P25" s="22" t="inlineStr">
        <is>
          <t>HRIS / KS-DL-1.2</t>
        </is>
      </c>
    </row>
    <row r="26">
      <c r="A26" s="22" t="inlineStr">
        <is>
          <t>E0023</t>
        </is>
      </c>
      <c r="B26" s="22" t="inlineStr">
        <is>
          <t>Knoxville</t>
        </is>
      </c>
      <c r="C26" s="22" t="inlineStr">
        <is>
          <t>Midwest</t>
        </is>
      </c>
      <c r="D26" s="22" t="inlineStr">
        <is>
          <t>Technical</t>
        </is>
      </c>
      <c r="E26" s="22" t="inlineStr">
        <is>
          <t>Permitting &amp; Advisory</t>
        </is>
      </c>
      <c r="F26" s="22" t="inlineStr">
        <is>
          <t>Yes</t>
        </is>
      </c>
      <c r="G26" s="234" t="n">
        <v>91</v>
      </c>
      <c r="H26" s="225" t="n">
        <v>0.05</v>
      </c>
      <c r="I26" s="225" t="n">
        <v>0.66</v>
      </c>
      <c r="J26" s="225" t="n">
        <v>0.62</v>
      </c>
      <c r="K26" s="226" t="n">
        <v>42705</v>
      </c>
      <c r="L26" s="22" t="inlineStr">
        <is>
          <t>Meridian</t>
        </is>
      </c>
      <c r="M26" s="22" t="inlineStr">
        <is>
          <t>Active</t>
        </is>
      </c>
      <c r="N26" s="22" t="inlineStr">
        <is>
          <t>Staff</t>
        </is>
      </c>
      <c r="O26" s="22" t="inlineStr">
        <is>
          <t>No</t>
        </is>
      </c>
      <c r="P26" s="22" t="inlineStr">
        <is>
          <t>HRIS / KS-DL-1.2</t>
        </is>
      </c>
    </row>
    <row r="27">
      <c r="A27" s="22" t="inlineStr">
        <is>
          <t>E0024</t>
        </is>
      </c>
      <c r="B27" s="22" t="inlineStr">
        <is>
          <t>Greenville</t>
        </is>
      </c>
      <c r="C27" s="22" t="inlineStr">
        <is>
          <t>Southeast</t>
        </is>
      </c>
      <c r="D27" s="22" t="inlineStr">
        <is>
          <t>Project Management</t>
        </is>
      </c>
      <c r="E27" s="22" t="inlineStr">
        <is>
          <t>EHS Compliance</t>
        </is>
      </c>
      <c r="F27" s="22" t="inlineStr">
        <is>
          <t>Yes</t>
        </is>
      </c>
      <c r="G27" s="234" t="n">
        <v>108</v>
      </c>
      <c r="H27" s="225" t="n">
        <v>0.05</v>
      </c>
      <c r="I27" s="225" t="n">
        <v>0.73</v>
      </c>
      <c r="J27" s="225" t="n">
        <v>0.6899999999999999</v>
      </c>
      <c r="K27" s="226" t="n">
        <v>42736</v>
      </c>
      <c r="L27" s="22" t="inlineStr">
        <is>
          <t>Summit</t>
        </is>
      </c>
      <c r="M27" s="22" t="inlineStr">
        <is>
          <t>Active</t>
        </is>
      </c>
      <c r="N27" s="22" t="inlineStr">
        <is>
          <t>Manager</t>
        </is>
      </c>
      <c r="O27" s="22" t="inlineStr">
        <is>
          <t>No</t>
        </is>
      </c>
      <c r="P27" s="22" t="inlineStr">
        <is>
          <t>HRIS / KS-DL-1.2</t>
        </is>
      </c>
    </row>
    <row r="28">
      <c r="A28" s="22" t="inlineStr">
        <is>
          <t>E0025</t>
        </is>
      </c>
      <c r="B28" s="22" t="inlineStr">
        <is>
          <t>Milwaukee</t>
        </is>
      </c>
      <c r="C28" s="22" t="inlineStr">
        <is>
          <t>Midwest</t>
        </is>
      </c>
      <c r="D28" s="22" t="inlineStr">
        <is>
          <t>Corporate</t>
        </is>
      </c>
      <c r="E28" s="22" t="inlineStr">
        <is>
          <t>Industrial Hygiene</t>
        </is>
      </c>
      <c r="F28" s="22" t="inlineStr">
        <is>
          <t>No</t>
        </is>
      </c>
      <c r="G28" s="234" t="n">
        <v>175</v>
      </c>
      <c r="H28" s="225" t="n">
        <v>0.15</v>
      </c>
      <c r="I28" s="225" t="n">
        <v>0</v>
      </c>
      <c r="J28" s="225" t="n">
        <v>0</v>
      </c>
      <c r="K28" s="226" t="n">
        <v>43132</v>
      </c>
      <c r="L28" s="22" t="inlineStr">
        <is>
          <t>Legacy Alderstone</t>
        </is>
      </c>
      <c r="M28" s="22" t="inlineStr">
        <is>
          <t>Active</t>
        </is>
      </c>
      <c r="N28" s="22" t="inlineStr">
        <is>
          <t>Staff</t>
        </is>
      </c>
      <c r="O28" s="22" t="inlineStr">
        <is>
          <t>No</t>
        </is>
      </c>
      <c r="P28" s="22" t="inlineStr">
        <is>
          <t>HRIS / KS-DL-1.2</t>
        </is>
      </c>
    </row>
    <row r="29">
      <c r="A29" s="22" t="inlineStr">
        <is>
          <t>E0026</t>
        </is>
      </c>
      <c r="B29" s="22" t="inlineStr">
        <is>
          <t>St. Louis</t>
        </is>
      </c>
      <c r="C29" s="22" t="inlineStr">
        <is>
          <t>Midwest</t>
        </is>
      </c>
      <c r="D29" s="22" t="inlineStr">
        <is>
          <t>Sales</t>
        </is>
      </c>
      <c r="E29" s="22" t="inlineStr">
        <is>
          <t>Field Inspection</t>
        </is>
      </c>
      <c r="F29" s="22" t="inlineStr">
        <is>
          <t>No</t>
        </is>
      </c>
      <c r="G29" s="234" t="n">
        <v>78</v>
      </c>
      <c r="H29" s="225" t="n">
        <v>0.15</v>
      </c>
      <c r="I29" s="225" t="n">
        <v>0</v>
      </c>
      <c r="J29" s="225" t="n">
        <v>0</v>
      </c>
      <c r="K29" s="226" t="n">
        <v>43525</v>
      </c>
      <c r="L29" s="22" t="inlineStr">
        <is>
          <t>Northstar</t>
        </is>
      </c>
      <c r="M29" s="22" t="inlineStr">
        <is>
          <t>Active</t>
        </is>
      </c>
      <c r="N29" s="22" t="inlineStr">
        <is>
          <t>Staff</t>
        </is>
      </c>
      <c r="O29" s="22" t="inlineStr">
        <is>
          <t>No</t>
        </is>
      </c>
      <c r="P29" s="22" t="inlineStr">
        <is>
          <t>HRIS / KS-DL-1.2</t>
        </is>
      </c>
    </row>
    <row r="30">
      <c r="A30" s="22" t="inlineStr">
        <is>
          <t>E0027</t>
        </is>
      </c>
      <c r="B30" s="22" t="inlineStr">
        <is>
          <t>Richmond</t>
        </is>
      </c>
      <c r="C30" s="22" t="inlineStr">
        <is>
          <t>Southeast</t>
        </is>
      </c>
      <c r="D30" s="22" t="inlineStr">
        <is>
          <t>Finance</t>
        </is>
      </c>
      <c r="E30" s="22" t="inlineStr">
        <is>
          <t>Permitting &amp; Advisory</t>
        </is>
      </c>
      <c r="F30" s="22" t="inlineStr">
        <is>
          <t>No</t>
        </is>
      </c>
      <c r="G30" s="234" t="n">
        <v>91</v>
      </c>
      <c r="H30" s="225" t="n">
        <v>0.15</v>
      </c>
      <c r="I30" s="225" t="n">
        <v>0</v>
      </c>
      <c r="J30" s="225" t="n">
        <v>0</v>
      </c>
      <c r="K30" s="226" t="n">
        <v>43922</v>
      </c>
      <c r="L30" s="22" t="inlineStr">
        <is>
          <t>Delta</t>
        </is>
      </c>
      <c r="M30" s="22" t="inlineStr">
        <is>
          <t>Active</t>
        </is>
      </c>
      <c r="N30" s="22" t="inlineStr">
        <is>
          <t>Staff</t>
        </is>
      </c>
      <c r="O30" s="22" t="inlineStr">
        <is>
          <t>No</t>
        </is>
      </c>
      <c r="P30" s="22" t="inlineStr">
        <is>
          <t>HRIS / KS-DL-1.2</t>
        </is>
      </c>
    </row>
    <row r="31">
      <c r="A31" s="22" t="inlineStr">
        <is>
          <t>E0028</t>
        </is>
      </c>
      <c r="B31" s="22" t="inlineStr">
        <is>
          <t>Indianapolis</t>
        </is>
      </c>
      <c r="C31" s="22" t="inlineStr">
        <is>
          <t>Midwest</t>
        </is>
      </c>
      <c r="D31" s="22" t="inlineStr">
        <is>
          <t>HR</t>
        </is>
      </c>
      <c r="E31" s="22" t="inlineStr">
        <is>
          <t>EHS Compliance</t>
        </is>
      </c>
      <c r="F31" s="22" t="inlineStr">
        <is>
          <t>No</t>
        </is>
      </c>
      <c r="G31" s="234" t="n">
        <v>104</v>
      </c>
      <c r="H31" s="225" t="n">
        <v>0.15</v>
      </c>
      <c r="I31" s="225" t="n">
        <v>0</v>
      </c>
      <c r="J31" s="225" t="n">
        <v>0</v>
      </c>
      <c r="K31" s="226" t="n">
        <v>44317</v>
      </c>
      <c r="L31" s="22" t="inlineStr">
        <is>
          <t>Meridian</t>
        </is>
      </c>
      <c r="M31" s="22" t="inlineStr">
        <is>
          <t>Active</t>
        </is>
      </c>
      <c r="N31" s="22" t="inlineStr">
        <is>
          <t>Staff</t>
        </is>
      </c>
      <c r="O31" s="22" t="inlineStr">
        <is>
          <t>No</t>
        </is>
      </c>
      <c r="P31" s="22" t="inlineStr">
        <is>
          <t>HRIS / KS-DL-1.2</t>
        </is>
      </c>
    </row>
    <row r="32">
      <c r="A32" s="22" t="inlineStr">
        <is>
          <t>E0029</t>
        </is>
      </c>
      <c r="B32" s="22" t="inlineStr">
        <is>
          <t>Chicago</t>
        </is>
      </c>
      <c r="C32" s="22" t="inlineStr">
        <is>
          <t>Midwest</t>
        </is>
      </c>
      <c r="D32" s="22" t="inlineStr">
        <is>
          <t>IT</t>
        </is>
      </c>
      <c r="E32" s="22" t="inlineStr">
        <is>
          <t>Industrial Hygiene</t>
        </is>
      </c>
      <c r="F32" s="22" t="inlineStr">
        <is>
          <t>No</t>
        </is>
      </c>
      <c r="G32" s="234" t="n">
        <v>117</v>
      </c>
      <c r="H32" s="225" t="n">
        <v>0.15</v>
      </c>
      <c r="I32" s="225" t="n">
        <v>0</v>
      </c>
      <c r="J32" s="225" t="n">
        <v>0</v>
      </c>
      <c r="K32" s="226" t="n">
        <v>44713</v>
      </c>
      <c r="L32" s="22" t="inlineStr">
        <is>
          <t>Summit</t>
        </is>
      </c>
      <c r="M32" s="22" t="inlineStr">
        <is>
          <t>Active</t>
        </is>
      </c>
      <c r="N32" s="22" t="inlineStr">
        <is>
          <t>Staff</t>
        </is>
      </c>
      <c r="O32" s="22" t="inlineStr">
        <is>
          <t>Yes</t>
        </is>
      </c>
      <c r="P32" s="22" t="inlineStr">
        <is>
          <t>HRIS / KS-DL-1.2</t>
        </is>
      </c>
    </row>
    <row r="33">
      <c r="A33" s="22" t="inlineStr">
        <is>
          <t>E0030</t>
        </is>
      </c>
      <c r="B33" s="22" t="inlineStr">
        <is>
          <t>Detroit</t>
        </is>
      </c>
      <c r="C33" s="22" t="inlineStr">
        <is>
          <t>Southeast</t>
        </is>
      </c>
      <c r="D33" s="22" t="inlineStr">
        <is>
          <t>Technical</t>
        </is>
      </c>
      <c r="E33" s="22" t="inlineStr">
        <is>
          <t>Field Inspection</t>
        </is>
      </c>
      <c r="F33" s="22" t="inlineStr">
        <is>
          <t>Yes</t>
        </is>
      </c>
      <c r="G33" s="234" t="n">
        <v>120</v>
      </c>
      <c r="H33" s="225" t="n">
        <v>0.05</v>
      </c>
      <c r="I33" s="225" t="n">
        <v>0.55</v>
      </c>
      <c r="J33" s="225" t="n">
        <v>0.51</v>
      </c>
      <c r="K33" s="226" t="n">
        <v>45108</v>
      </c>
      <c r="L33" s="22" t="inlineStr">
        <is>
          <t>Legacy Alderstone</t>
        </is>
      </c>
      <c r="M33" s="22" t="inlineStr">
        <is>
          <t>Active</t>
        </is>
      </c>
      <c r="N33" s="22" t="inlineStr">
        <is>
          <t>Staff</t>
        </is>
      </c>
      <c r="O33" s="22" t="inlineStr">
        <is>
          <t>No</t>
        </is>
      </c>
      <c r="P33" s="22" t="inlineStr">
        <is>
          <t>HRIS / KS-DL-1.2</t>
        </is>
      </c>
    </row>
    <row r="34">
      <c r="A34" s="22" t="inlineStr">
        <is>
          <t>E0031</t>
        </is>
      </c>
      <c r="B34" s="22" t="inlineStr">
        <is>
          <t>Louisville</t>
        </is>
      </c>
      <c r="C34" s="22" t="inlineStr">
        <is>
          <t>Midwest</t>
        </is>
      </c>
      <c r="D34" s="22" t="inlineStr">
        <is>
          <t>Technical</t>
        </is>
      </c>
      <c r="E34" s="22" t="inlineStr">
        <is>
          <t>Permitting &amp; Advisory</t>
        </is>
      </c>
      <c r="F34" s="22" t="inlineStr">
        <is>
          <t>Yes</t>
        </is>
      </c>
      <c r="G34" s="234" t="n">
        <v>137</v>
      </c>
      <c r="H34" s="225" t="n">
        <v>0.05</v>
      </c>
      <c r="I34" s="225" t="n">
        <v>0.6200000000000001</v>
      </c>
      <c r="J34" s="225" t="n">
        <v>0.5800000000000001</v>
      </c>
      <c r="K34" s="226" t="n">
        <v>45505</v>
      </c>
      <c r="L34" s="22" t="inlineStr">
        <is>
          <t>Northstar</t>
        </is>
      </c>
      <c r="M34" s="22" t="inlineStr">
        <is>
          <t>Active</t>
        </is>
      </c>
      <c r="N34" s="22" t="inlineStr">
        <is>
          <t>Staff</t>
        </is>
      </c>
      <c r="O34" s="22" t="inlineStr">
        <is>
          <t>No</t>
        </is>
      </c>
      <c r="P34" s="22" t="inlineStr">
        <is>
          <t>HRIS / KS-DL-1.2</t>
        </is>
      </c>
    </row>
    <row r="35">
      <c r="A35" s="22" t="inlineStr">
        <is>
          <t>E0032</t>
        </is>
      </c>
      <c r="B35" s="22" t="inlineStr">
        <is>
          <t>Nashville</t>
        </is>
      </c>
      <c r="C35" s="22" t="inlineStr">
        <is>
          <t>Midwest</t>
        </is>
      </c>
      <c r="D35" s="22" t="inlineStr">
        <is>
          <t>Technical</t>
        </is>
      </c>
      <c r="E35" s="22" t="inlineStr">
        <is>
          <t>EHS Compliance</t>
        </is>
      </c>
      <c r="F35" s="22" t="inlineStr">
        <is>
          <t>Yes</t>
        </is>
      </c>
      <c r="G35" s="234" t="n">
        <v>64</v>
      </c>
      <c r="H35" s="225" t="n">
        <v>0.05</v>
      </c>
      <c r="I35" s="225" t="n">
        <v>0.6900000000000001</v>
      </c>
      <c r="J35" s="225" t="n">
        <v>0.65</v>
      </c>
      <c r="K35" s="226" t="n">
        <v>45901</v>
      </c>
      <c r="L35" s="22" t="inlineStr">
        <is>
          <t>Delta</t>
        </is>
      </c>
      <c r="M35" s="22" t="inlineStr">
        <is>
          <t>Active</t>
        </is>
      </c>
      <c r="N35" s="22" t="inlineStr">
        <is>
          <t>Staff</t>
        </is>
      </c>
      <c r="O35" s="22" t="inlineStr">
        <is>
          <t>No</t>
        </is>
      </c>
      <c r="P35" s="22" t="inlineStr">
        <is>
          <t>HRIS / KS-DL-1.2</t>
        </is>
      </c>
    </row>
    <row r="36">
      <c r="A36" s="22" t="inlineStr">
        <is>
          <t>E0033</t>
        </is>
      </c>
      <c r="B36" s="22" t="inlineStr">
        <is>
          <t>Raleigh</t>
        </is>
      </c>
      <c r="C36" s="22" t="inlineStr">
        <is>
          <t>Southeast</t>
        </is>
      </c>
      <c r="D36" s="22" t="inlineStr">
        <is>
          <t>Technical</t>
        </is>
      </c>
      <c r="E36" s="22" t="inlineStr">
        <is>
          <t>Industrial Hygiene</t>
        </is>
      </c>
      <c r="F36" s="22" t="inlineStr">
        <is>
          <t>Yes</t>
        </is>
      </c>
      <c r="G36" s="234" t="n">
        <v>81</v>
      </c>
      <c r="H36" s="225" t="n">
        <v>0.05</v>
      </c>
      <c r="I36" s="225" t="n">
        <v>0.76</v>
      </c>
      <c r="J36" s="225" t="n">
        <v>0.72</v>
      </c>
      <c r="K36" s="226" t="n">
        <v>42278</v>
      </c>
      <c r="L36" s="22" t="inlineStr">
        <is>
          <t>Meridian</t>
        </is>
      </c>
      <c r="M36" s="22" t="inlineStr">
        <is>
          <t>Active</t>
        </is>
      </c>
      <c r="N36" s="22" t="inlineStr">
        <is>
          <t>Staff</t>
        </is>
      </c>
      <c r="O36" s="22" t="inlineStr">
        <is>
          <t>No</t>
        </is>
      </c>
      <c r="P36" s="22" t="inlineStr">
        <is>
          <t>HRIS / KS-DL-1.2</t>
        </is>
      </c>
    </row>
    <row r="37">
      <c r="A37" s="22" t="inlineStr">
        <is>
          <t>E0034</t>
        </is>
      </c>
      <c r="B37" s="22" t="inlineStr">
        <is>
          <t>Charlotte</t>
        </is>
      </c>
      <c r="C37" s="22" t="inlineStr">
        <is>
          <t>Midwest</t>
        </is>
      </c>
      <c r="D37" s="22" t="inlineStr">
        <is>
          <t>Project Management</t>
        </is>
      </c>
      <c r="E37" s="22" t="inlineStr">
        <is>
          <t>Field Inspection</t>
        </is>
      </c>
      <c r="F37" s="22" t="inlineStr">
        <is>
          <t>Yes</t>
        </is>
      </c>
      <c r="G37" s="234" t="n">
        <v>98</v>
      </c>
      <c r="H37" s="225" t="n">
        <v>0.05</v>
      </c>
      <c r="I37" s="225" t="n">
        <v>0.8300000000000001</v>
      </c>
      <c r="J37" s="225" t="n">
        <v>0.79</v>
      </c>
      <c r="K37" s="226" t="n">
        <v>42675</v>
      </c>
      <c r="L37" s="22" t="inlineStr">
        <is>
          <t>Summit</t>
        </is>
      </c>
      <c r="M37" s="22" t="inlineStr">
        <is>
          <t>Active</t>
        </is>
      </c>
      <c r="N37" s="22" t="inlineStr">
        <is>
          <t>Staff</t>
        </is>
      </c>
      <c r="O37" s="22" t="inlineStr">
        <is>
          <t>No</t>
        </is>
      </c>
      <c r="P37" s="22" t="inlineStr">
        <is>
          <t>HRIS / KS-DL-1.2</t>
        </is>
      </c>
    </row>
    <row r="38">
      <c r="A38" s="22" t="inlineStr">
        <is>
          <t>E0035</t>
        </is>
      </c>
      <c r="B38" s="22" t="inlineStr">
        <is>
          <t>Cincinnati</t>
        </is>
      </c>
      <c r="C38" s="22" t="inlineStr">
        <is>
          <t>Midwest</t>
        </is>
      </c>
      <c r="D38" s="22" t="inlineStr">
        <is>
          <t>Corporate</t>
        </is>
      </c>
      <c r="E38" s="22" t="inlineStr">
        <is>
          <t>Permitting &amp; Advisory</t>
        </is>
      </c>
      <c r="F38" s="22" t="inlineStr">
        <is>
          <t>No</t>
        </is>
      </c>
      <c r="G38" s="234" t="n">
        <v>85</v>
      </c>
      <c r="H38" s="225" t="n">
        <v>0.15</v>
      </c>
      <c r="I38" s="225" t="n">
        <v>0</v>
      </c>
      <c r="J38" s="225" t="n">
        <v>0</v>
      </c>
      <c r="K38" s="226" t="n">
        <v>43070</v>
      </c>
      <c r="L38" s="22" t="inlineStr">
        <is>
          <t>Legacy Alderstone</t>
        </is>
      </c>
      <c r="M38" s="22" t="inlineStr">
        <is>
          <t>Active</t>
        </is>
      </c>
      <c r="N38" s="22" t="inlineStr">
        <is>
          <t>Staff</t>
        </is>
      </c>
      <c r="O38" s="22" t="inlineStr">
        <is>
          <t>No</t>
        </is>
      </c>
      <c r="P38" s="22" t="inlineStr">
        <is>
          <t>HRIS / KS-DL-1.2</t>
        </is>
      </c>
    </row>
    <row r="39">
      <c r="A39" s="22" t="inlineStr">
        <is>
          <t>E0036</t>
        </is>
      </c>
      <c r="B39" s="22" t="inlineStr">
        <is>
          <t>Columbus</t>
        </is>
      </c>
      <c r="C39" s="22" t="inlineStr">
        <is>
          <t>Southeast</t>
        </is>
      </c>
      <c r="D39" s="22" t="inlineStr">
        <is>
          <t>Sales</t>
        </is>
      </c>
      <c r="E39" s="22" t="inlineStr">
        <is>
          <t>EHS Compliance</t>
        </is>
      </c>
      <c r="F39" s="22" t="inlineStr">
        <is>
          <t>No</t>
        </is>
      </c>
      <c r="G39" s="234" t="n">
        <v>98</v>
      </c>
      <c r="H39" s="225" t="n">
        <v>0.15</v>
      </c>
      <c r="I39" s="225" t="n">
        <v>0</v>
      </c>
      <c r="J39" s="225" t="n">
        <v>0</v>
      </c>
      <c r="K39" s="226" t="n">
        <v>43101</v>
      </c>
      <c r="L39" s="22" t="inlineStr">
        <is>
          <t>Northstar</t>
        </is>
      </c>
      <c r="M39" s="22" t="inlineStr">
        <is>
          <t>Active</t>
        </is>
      </c>
      <c r="N39" s="22" t="inlineStr">
        <is>
          <t>Manager</t>
        </is>
      </c>
      <c r="O39" s="22" t="inlineStr">
        <is>
          <t>No</t>
        </is>
      </c>
      <c r="P39" s="22" t="inlineStr">
        <is>
          <t>HRIS / KS-DL-1.2</t>
        </is>
      </c>
    </row>
    <row r="40">
      <c r="A40" s="22" t="inlineStr">
        <is>
          <t>E0037</t>
        </is>
      </c>
      <c r="B40" s="22" t="inlineStr">
        <is>
          <t>Knoxville</t>
        </is>
      </c>
      <c r="C40" s="22" t="inlineStr">
        <is>
          <t>Midwest</t>
        </is>
      </c>
      <c r="D40" s="22" t="inlineStr">
        <is>
          <t>Finance</t>
        </is>
      </c>
      <c r="E40" s="22" t="inlineStr">
        <is>
          <t>Industrial Hygiene</t>
        </is>
      </c>
      <c r="F40" s="22" t="inlineStr">
        <is>
          <t>No</t>
        </is>
      </c>
      <c r="G40" s="234" t="n">
        <v>111</v>
      </c>
      <c r="H40" s="225" t="n">
        <v>0.15</v>
      </c>
      <c r="I40" s="225" t="n">
        <v>0</v>
      </c>
      <c r="J40" s="225" t="n">
        <v>0</v>
      </c>
      <c r="K40" s="226" t="n">
        <v>43497</v>
      </c>
      <c r="L40" s="22" t="inlineStr">
        <is>
          <t>Delta</t>
        </is>
      </c>
      <c r="M40" s="22" t="inlineStr">
        <is>
          <t>Active</t>
        </is>
      </c>
      <c r="N40" s="22" t="inlineStr">
        <is>
          <t>Staff</t>
        </is>
      </c>
      <c r="O40" s="22" t="inlineStr">
        <is>
          <t>No</t>
        </is>
      </c>
      <c r="P40" s="22" t="inlineStr">
        <is>
          <t>HRIS / KS-DL-1.2</t>
        </is>
      </c>
    </row>
    <row r="41">
      <c r="A41" s="22" t="inlineStr">
        <is>
          <t>E0038</t>
        </is>
      </c>
      <c r="B41" s="22" t="inlineStr">
        <is>
          <t>Greenville</t>
        </is>
      </c>
      <c r="C41" s="22" t="inlineStr">
        <is>
          <t>Midwest</t>
        </is>
      </c>
      <c r="D41" s="22" t="inlineStr">
        <is>
          <t>HR</t>
        </is>
      </c>
      <c r="E41" s="22" t="inlineStr">
        <is>
          <t>Field Inspection</t>
        </is>
      </c>
      <c r="F41" s="22" t="inlineStr">
        <is>
          <t>No</t>
        </is>
      </c>
      <c r="G41" s="234" t="n">
        <v>124</v>
      </c>
      <c r="H41" s="225" t="n">
        <v>0.15</v>
      </c>
      <c r="I41" s="225" t="n">
        <v>0</v>
      </c>
      <c r="J41" s="225" t="n">
        <v>0</v>
      </c>
      <c r="K41" s="226" t="n">
        <v>43891</v>
      </c>
      <c r="L41" s="22" t="inlineStr">
        <is>
          <t>Meridian</t>
        </is>
      </c>
      <c r="M41" s="22" t="inlineStr">
        <is>
          <t>Active</t>
        </is>
      </c>
      <c r="N41" s="22" t="inlineStr">
        <is>
          <t>Staff</t>
        </is>
      </c>
      <c r="O41" s="22" t="inlineStr">
        <is>
          <t>No</t>
        </is>
      </c>
      <c r="P41" s="22" t="inlineStr">
        <is>
          <t>HRIS / KS-DL-1.2</t>
        </is>
      </c>
    </row>
    <row r="42">
      <c r="A42" s="22" t="inlineStr">
        <is>
          <t>E0039</t>
        </is>
      </c>
      <c r="B42" s="22" t="inlineStr">
        <is>
          <t>Milwaukee</t>
        </is>
      </c>
      <c r="C42" s="22" t="inlineStr">
        <is>
          <t>Southeast</t>
        </is>
      </c>
      <c r="D42" s="22" t="inlineStr">
        <is>
          <t>IT</t>
        </is>
      </c>
      <c r="E42" s="22" t="inlineStr">
        <is>
          <t>Permitting &amp; Advisory</t>
        </is>
      </c>
      <c r="F42" s="22" t="inlineStr">
        <is>
          <t>No</t>
        </is>
      </c>
      <c r="G42" s="234" t="n">
        <v>137</v>
      </c>
      <c r="H42" s="225" t="n">
        <v>0.15</v>
      </c>
      <c r="I42" s="225" t="n">
        <v>0</v>
      </c>
      <c r="J42" s="225" t="n">
        <v>0</v>
      </c>
      <c r="K42" s="226" t="n">
        <v>44287</v>
      </c>
      <c r="L42" s="22" t="inlineStr">
        <is>
          <t>Summit</t>
        </is>
      </c>
      <c r="M42" s="22" t="inlineStr">
        <is>
          <t>Active</t>
        </is>
      </c>
      <c r="N42" s="22" t="inlineStr">
        <is>
          <t>Staff</t>
        </is>
      </c>
      <c r="O42" s="22" t="inlineStr">
        <is>
          <t>No</t>
        </is>
      </c>
      <c r="P42" s="22" t="inlineStr">
        <is>
          <t>HRIS / KS-DL-1.2</t>
        </is>
      </c>
    </row>
    <row r="43">
      <c r="A43" s="22" t="inlineStr">
        <is>
          <t>E0040</t>
        </is>
      </c>
      <c r="B43" s="22" t="inlineStr">
        <is>
          <t>St. Louis</t>
        </is>
      </c>
      <c r="C43" s="22" t="inlineStr">
        <is>
          <t>Midwest</t>
        </is>
      </c>
      <c r="D43" s="22" t="inlineStr">
        <is>
          <t>Technical</t>
        </is>
      </c>
      <c r="E43" s="22" t="inlineStr">
        <is>
          <t>EHS Compliance</t>
        </is>
      </c>
      <c r="F43" s="22" t="inlineStr">
        <is>
          <t>Yes</t>
        </is>
      </c>
      <c r="G43" s="234" t="n">
        <v>110</v>
      </c>
      <c r="H43" s="225" t="n">
        <v>0.05</v>
      </c>
      <c r="I43" s="225" t="n">
        <v>0.65</v>
      </c>
      <c r="J43" s="225" t="n">
        <v>0.61</v>
      </c>
      <c r="K43" s="226" t="n">
        <v>44682</v>
      </c>
      <c r="L43" s="22" t="inlineStr">
        <is>
          <t>Legacy Alderstone</t>
        </is>
      </c>
      <c r="M43" s="22" t="inlineStr">
        <is>
          <t>Active</t>
        </is>
      </c>
      <c r="N43" s="22" t="inlineStr">
        <is>
          <t>Staff</t>
        </is>
      </c>
      <c r="O43" s="22" t="inlineStr">
        <is>
          <t>No</t>
        </is>
      </c>
      <c r="P43" s="22" t="inlineStr">
        <is>
          <t>HRIS / KS-DL-1.2</t>
        </is>
      </c>
    </row>
    <row r="44">
      <c r="A44" s="22" t="inlineStr">
        <is>
          <t>E0041</t>
        </is>
      </c>
      <c r="B44" s="22" t="inlineStr">
        <is>
          <t>Richmond</t>
        </is>
      </c>
      <c r="C44" s="22" t="inlineStr">
        <is>
          <t>Midwest</t>
        </is>
      </c>
      <c r="D44" s="22" t="inlineStr">
        <is>
          <t>Technical</t>
        </is>
      </c>
      <c r="E44" s="22" t="inlineStr">
        <is>
          <t>Industrial Hygiene</t>
        </is>
      </c>
      <c r="F44" s="22" t="inlineStr">
        <is>
          <t>Yes</t>
        </is>
      </c>
      <c r="G44" s="234" t="n">
        <v>127</v>
      </c>
      <c r="H44" s="225" t="n">
        <v>0.05</v>
      </c>
      <c r="I44" s="225" t="n">
        <v>0.7200000000000001</v>
      </c>
      <c r="J44" s="225" t="n">
        <v>0.68</v>
      </c>
      <c r="K44" s="226" t="n">
        <v>45078</v>
      </c>
      <c r="L44" s="22" t="inlineStr">
        <is>
          <t>Northstar</t>
        </is>
      </c>
      <c r="M44" s="22" t="inlineStr">
        <is>
          <t>Active</t>
        </is>
      </c>
      <c r="N44" s="22" t="inlineStr">
        <is>
          <t>Staff</t>
        </is>
      </c>
      <c r="O44" s="22" t="inlineStr">
        <is>
          <t>No</t>
        </is>
      </c>
      <c r="P44" s="22" t="inlineStr">
        <is>
          <t>HRIS / KS-DL-1.2</t>
        </is>
      </c>
    </row>
    <row r="45">
      <c r="A45" s="22" t="inlineStr">
        <is>
          <t>E0042</t>
        </is>
      </c>
      <c r="B45" s="22" t="inlineStr">
        <is>
          <t>Indianapolis</t>
        </is>
      </c>
      <c r="C45" s="22" t="inlineStr">
        <is>
          <t>Southeast</t>
        </is>
      </c>
      <c r="D45" s="22" t="inlineStr">
        <is>
          <t>Technical</t>
        </is>
      </c>
      <c r="E45" s="22" t="inlineStr">
        <is>
          <t>Field Inspection</t>
        </is>
      </c>
      <c r="F45" s="22" t="inlineStr">
        <is>
          <t>Yes</t>
        </is>
      </c>
      <c r="G45" s="234" t="n">
        <v>144</v>
      </c>
      <c r="H45" s="225" t="n">
        <v>0.05</v>
      </c>
      <c r="I45" s="225" t="n">
        <v>0.79</v>
      </c>
      <c r="J45" s="225" t="n">
        <v>0.75</v>
      </c>
      <c r="K45" s="226" t="n">
        <v>45474</v>
      </c>
      <c r="L45" s="22" t="inlineStr">
        <is>
          <t>Delta</t>
        </is>
      </c>
      <c r="M45" s="22" t="inlineStr">
        <is>
          <t>Active</t>
        </is>
      </c>
      <c r="N45" s="22" t="inlineStr">
        <is>
          <t>Staff</t>
        </is>
      </c>
      <c r="O45" s="22" t="inlineStr">
        <is>
          <t>No</t>
        </is>
      </c>
      <c r="P45" s="22" t="inlineStr">
        <is>
          <t>HRIS / KS-DL-1.2</t>
        </is>
      </c>
    </row>
    <row r="46">
      <c r="A46" s="22" t="inlineStr">
        <is>
          <t>E0043</t>
        </is>
      </c>
      <c r="B46" s="22" t="inlineStr">
        <is>
          <t>Chicago</t>
        </is>
      </c>
      <c r="C46" s="22" t="inlineStr">
        <is>
          <t>Midwest</t>
        </is>
      </c>
      <c r="D46" s="22" t="inlineStr">
        <is>
          <t>Technical</t>
        </is>
      </c>
      <c r="E46" s="22" t="inlineStr">
        <is>
          <t>Permitting &amp; Advisory</t>
        </is>
      </c>
      <c r="F46" s="22" t="inlineStr">
        <is>
          <t>Yes</t>
        </is>
      </c>
      <c r="G46" s="234" t="n">
        <v>71</v>
      </c>
      <c r="H46" s="225" t="n">
        <v>0.05</v>
      </c>
      <c r="I46" s="225" t="n">
        <v>0.5600000000000001</v>
      </c>
      <c r="J46" s="225" t="n">
        <v>0.52</v>
      </c>
      <c r="K46" s="226" t="n">
        <v>45870</v>
      </c>
      <c r="L46" s="22" t="inlineStr">
        <is>
          <t>Meridian</t>
        </is>
      </c>
      <c r="M46" s="22" t="inlineStr">
        <is>
          <t>Active</t>
        </is>
      </c>
      <c r="N46" s="22" t="inlineStr">
        <is>
          <t>Staff</t>
        </is>
      </c>
      <c r="O46" s="22" t="inlineStr">
        <is>
          <t>No</t>
        </is>
      </c>
      <c r="P46" s="22" t="inlineStr">
        <is>
          <t>HRIS / KS-DL-1.2</t>
        </is>
      </c>
    </row>
    <row r="47">
      <c r="A47" s="22" t="inlineStr">
        <is>
          <t>E0044</t>
        </is>
      </c>
      <c r="B47" s="22" t="inlineStr">
        <is>
          <t>Detroit</t>
        </is>
      </c>
      <c r="C47" s="22" t="inlineStr">
        <is>
          <t>Midwest</t>
        </is>
      </c>
      <c r="D47" s="22" t="inlineStr">
        <is>
          <t>Project Management</t>
        </is>
      </c>
      <c r="E47" s="22" t="inlineStr">
        <is>
          <t>EHS Compliance</t>
        </is>
      </c>
      <c r="F47" s="22" t="inlineStr">
        <is>
          <t>Yes</t>
        </is>
      </c>
      <c r="G47" s="234" t="n">
        <v>88</v>
      </c>
      <c r="H47" s="225" t="n">
        <v>0.05</v>
      </c>
      <c r="I47" s="225" t="n">
        <v>0.63</v>
      </c>
      <c r="J47" s="225" t="n">
        <v>0.59</v>
      </c>
      <c r="K47" s="226" t="n">
        <v>42248</v>
      </c>
      <c r="L47" s="22" t="inlineStr">
        <is>
          <t>Summit</t>
        </is>
      </c>
      <c r="M47" s="22" t="inlineStr">
        <is>
          <t>Active</t>
        </is>
      </c>
      <c r="N47" s="22" t="inlineStr">
        <is>
          <t>Staff</t>
        </is>
      </c>
      <c r="O47" s="22" t="inlineStr">
        <is>
          <t>No</t>
        </is>
      </c>
      <c r="P47" s="22" t="inlineStr">
        <is>
          <t>HRIS / KS-DL-1.2</t>
        </is>
      </c>
    </row>
    <row r="48">
      <c r="A48" s="22" t="inlineStr">
        <is>
          <t>E0045</t>
        </is>
      </c>
      <c r="B48" s="22" t="inlineStr">
        <is>
          <t>Louisville</t>
        </is>
      </c>
      <c r="C48" s="22" t="inlineStr">
        <is>
          <t>Southeast</t>
        </is>
      </c>
      <c r="D48" s="22" t="inlineStr">
        <is>
          <t>Corporate</t>
        </is>
      </c>
      <c r="E48" s="22" t="inlineStr">
        <is>
          <t>Industrial Hygiene</t>
        </is>
      </c>
      <c r="F48" s="22" t="inlineStr">
        <is>
          <t>No</t>
        </is>
      </c>
      <c r="G48" s="234" t="n">
        <v>105</v>
      </c>
      <c r="H48" s="225" t="n">
        <v>0.15</v>
      </c>
      <c r="I48" s="225" t="n">
        <v>0</v>
      </c>
      <c r="J48" s="225" t="n">
        <v>0</v>
      </c>
      <c r="K48" s="226" t="n">
        <v>42644</v>
      </c>
      <c r="L48" s="22" t="inlineStr">
        <is>
          <t>Legacy Alderstone</t>
        </is>
      </c>
      <c r="M48" s="22" t="inlineStr">
        <is>
          <t>Active</t>
        </is>
      </c>
      <c r="N48" s="22" t="inlineStr">
        <is>
          <t>Staff</t>
        </is>
      </c>
      <c r="O48" s="22" t="inlineStr">
        <is>
          <t>No</t>
        </is>
      </c>
      <c r="P48" s="22" t="inlineStr">
        <is>
          <t>HRIS / KS-DL-1.2</t>
        </is>
      </c>
    </row>
    <row r="49">
      <c r="A49" s="22" t="inlineStr">
        <is>
          <t>E0046</t>
        </is>
      </c>
      <c r="B49" s="22" t="inlineStr">
        <is>
          <t>Nashville</t>
        </is>
      </c>
      <c r="C49" s="22" t="inlineStr">
        <is>
          <t>Midwest</t>
        </is>
      </c>
      <c r="D49" s="22" t="inlineStr">
        <is>
          <t>Sales</t>
        </is>
      </c>
      <c r="E49" s="22" t="inlineStr">
        <is>
          <t>Field Inspection</t>
        </is>
      </c>
      <c r="F49" s="22" t="inlineStr">
        <is>
          <t>No</t>
        </is>
      </c>
      <c r="G49" s="234" t="n">
        <v>118</v>
      </c>
      <c r="H49" s="225" t="n">
        <v>0.15</v>
      </c>
      <c r="I49" s="225" t="n">
        <v>0</v>
      </c>
      <c r="J49" s="225" t="n">
        <v>0</v>
      </c>
      <c r="K49" s="226" t="n">
        <v>43040</v>
      </c>
      <c r="L49" s="22" t="inlineStr">
        <is>
          <t>Northstar</t>
        </is>
      </c>
      <c r="M49" s="22" t="inlineStr">
        <is>
          <t>Active</t>
        </is>
      </c>
      <c r="N49" s="22" t="inlineStr">
        <is>
          <t>Staff</t>
        </is>
      </c>
      <c r="O49" s="22" t="inlineStr">
        <is>
          <t>No</t>
        </is>
      </c>
      <c r="P49" s="22" t="inlineStr">
        <is>
          <t>HRIS / KS-DL-1.2</t>
        </is>
      </c>
    </row>
    <row r="50">
      <c r="A50" s="22" t="inlineStr">
        <is>
          <t>E0047</t>
        </is>
      </c>
      <c r="B50" s="22" t="inlineStr">
        <is>
          <t>Raleigh</t>
        </is>
      </c>
      <c r="C50" s="22" t="inlineStr">
        <is>
          <t>Midwest</t>
        </is>
      </c>
      <c r="D50" s="22" t="inlineStr">
        <is>
          <t>Finance</t>
        </is>
      </c>
      <c r="E50" s="22" t="inlineStr">
        <is>
          <t>Permitting &amp; Advisory</t>
        </is>
      </c>
      <c r="F50" s="22" t="inlineStr">
        <is>
          <t>No</t>
        </is>
      </c>
      <c r="G50" s="234" t="n">
        <v>131</v>
      </c>
      <c r="H50" s="225" t="n">
        <v>0.15</v>
      </c>
      <c r="I50" s="225" t="n">
        <v>0</v>
      </c>
      <c r="J50" s="225" t="n">
        <v>0</v>
      </c>
      <c r="K50" s="226" t="n">
        <v>43435</v>
      </c>
      <c r="L50" s="22" t="inlineStr">
        <is>
          <t>Delta</t>
        </is>
      </c>
      <c r="M50" s="22" t="inlineStr">
        <is>
          <t>Active</t>
        </is>
      </c>
      <c r="N50" s="22" t="inlineStr">
        <is>
          <t>Staff</t>
        </is>
      </c>
      <c r="O50" s="22" t="inlineStr">
        <is>
          <t>No</t>
        </is>
      </c>
      <c r="P50" s="22" t="inlineStr">
        <is>
          <t>HRIS / KS-DL-1.2</t>
        </is>
      </c>
    </row>
    <row r="51">
      <c r="A51" s="22" t="inlineStr">
        <is>
          <t>E0048</t>
        </is>
      </c>
      <c r="B51" s="22" t="inlineStr">
        <is>
          <t>Charlotte</t>
        </is>
      </c>
      <c r="C51" s="22" t="inlineStr">
        <is>
          <t>Southeast</t>
        </is>
      </c>
      <c r="D51" s="22" t="inlineStr">
        <is>
          <t>HR</t>
        </is>
      </c>
      <c r="E51" s="22" t="inlineStr">
        <is>
          <t>EHS Compliance</t>
        </is>
      </c>
      <c r="F51" s="22" t="inlineStr">
        <is>
          <t>No</t>
        </is>
      </c>
      <c r="G51" s="234" t="n">
        <v>144</v>
      </c>
      <c r="H51" s="225" t="n">
        <v>0.15</v>
      </c>
      <c r="I51" s="225" t="n">
        <v>0</v>
      </c>
      <c r="J51" s="225" t="n">
        <v>0</v>
      </c>
      <c r="K51" s="226" t="n">
        <v>43466</v>
      </c>
      <c r="L51" s="22" t="inlineStr">
        <is>
          <t>Meridian</t>
        </is>
      </c>
      <c r="M51" s="22" t="inlineStr">
        <is>
          <t>Active</t>
        </is>
      </c>
      <c r="N51" s="22" t="inlineStr">
        <is>
          <t>Manager</t>
        </is>
      </c>
      <c r="O51" s="22" t="inlineStr">
        <is>
          <t>No</t>
        </is>
      </c>
      <c r="P51" s="22" t="inlineStr">
        <is>
          <t>HRIS / KS-DL-1.2</t>
        </is>
      </c>
    </row>
    <row r="52">
      <c r="A52" s="22" t="inlineStr">
        <is>
          <t>E0049</t>
        </is>
      </c>
      <c r="B52" s="22" t="inlineStr">
        <is>
          <t>Cincinnati</t>
        </is>
      </c>
      <c r="C52" s="22" t="inlineStr">
        <is>
          <t>Midwest</t>
        </is>
      </c>
      <c r="D52" s="22" t="inlineStr">
        <is>
          <t>IT</t>
        </is>
      </c>
      <c r="E52" s="22" t="inlineStr">
        <is>
          <t>Industrial Hygiene</t>
        </is>
      </c>
      <c r="F52" s="22" t="inlineStr">
        <is>
          <t>No</t>
        </is>
      </c>
      <c r="G52" s="234" t="n">
        <v>157</v>
      </c>
      <c r="H52" s="225" t="n">
        <v>0.15</v>
      </c>
      <c r="I52" s="225" t="n">
        <v>0</v>
      </c>
      <c r="J52" s="225" t="n">
        <v>0</v>
      </c>
      <c r="K52" s="226" t="n">
        <v>43862</v>
      </c>
      <c r="L52" s="22" t="inlineStr">
        <is>
          <t>Summit</t>
        </is>
      </c>
      <c r="M52" s="22" t="inlineStr">
        <is>
          <t>Active</t>
        </is>
      </c>
      <c r="N52" s="22" t="inlineStr">
        <is>
          <t>Staff</t>
        </is>
      </c>
      <c r="O52" s="22" t="inlineStr">
        <is>
          <t>No</t>
        </is>
      </c>
      <c r="P52" s="22" t="inlineStr">
        <is>
          <t>HRIS / KS-DL-1.2</t>
        </is>
      </c>
    </row>
    <row r="53">
      <c r="A53" s="22" t="inlineStr">
        <is>
          <t>E0050</t>
        </is>
      </c>
      <c r="B53" s="22" t="inlineStr">
        <is>
          <t>Columbus</t>
        </is>
      </c>
      <c r="C53" s="22" t="inlineStr">
        <is>
          <t>Midwest</t>
        </is>
      </c>
      <c r="D53" s="22" t="inlineStr">
        <is>
          <t>Technical</t>
        </is>
      </c>
      <c r="E53" s="22" t="inlineStr">
        <is>
          <t>Field Inspection</t>
        </is>
      </c>
      <c r="F53" s="22" t="inlineStr">
        <is>
          <t>Yes</t>
        </is>
      </c>
      <c r="G53" s="234" t="n">
        <v>100</v>
      </c>
      <c r="H53" s="225" t="n">
        <v>0.05</v>
      </c>
      <c r="I53" s="225" t="n">
        <v>0.75</v>
      </c>
      <c r="J53" s="225" t="n">
        <v>0.71</v>
      </c>
      <c r="K53" s="226" t="n">
        <v>44256</v>
      </c>
      <c r="L53" s="22" t="inlineStr">
        <is>
          <t>Legacy Alderstone</t>
        </is>
      </c>
      <c r="M53" s="22" t="inlineStr">
        <is>
          <t>Active</t>
        </is>
      </c>
      <c r="N53" s="22" t="inlineStr">
        <is>
          <t>Staff</t>
        </is>
      </c>
      <c r="O53" s="22" t="inlineStr">
        <is>
          <t>No</t>
        </is>
      </c>
      <c r="P53" s="22" t="inlineStr">
        <is>
          <t>HRIS / KS-DL-1.2</t>
        </is>
      </c>
    </row>
    <row r="54">
      <c r="A54" s="22" t="inlineStr">
        <is>
          <t>E0051</t>
        </is>
      </c>
      <c r="B54" s="22" t="inlineStr">
        <is>
          <t>Knoxville</t>
        </is>
      </c>
      <c r="C54" s="22" t="inlineStr">
        <is>
          <t>Southeast</t>
        </is>
      </c>
      <c r="D54" s="22" t="inlineStr">
        <is>
          <t>Technical</t>
        </is>
      </c>
      <c r="E54" s="22" t="inlineStr">
        <is>
          <t>Permitting &amp; Advisory</t>
        </is>
      </c>
      <c r="F54" s="22" t="inlineStr">
        <is>
          <t>Yes</t>
        </is>
      </c>
      <c r="G54" s="234" t="n">
        <v>117</v>
      </c>
      <c r="H54" s="225" t="n">
        <v>0.05</v>
      </c>
      <c r="I54" s="225" t="n">
        <v>0.8200000000000001</v>
      </c>
      <c r="J54" s="225" t="n">
        <v>0.78</v>
      </c>
      <c r="K54" s="226" t="n">
        <v>44652</v>
      </c>
      <c r="L54" s="22" t="inlineStr">
        <is>
          <t>Northstar</t>
        </is>
      </c>
      <c r="M54" s="22" t="inlineStr">
        <is>
          <t>Active</t>
        </is>
      </c>
      <c r="N54" s="22" t="inlineStr">
        <is>
          <t>Staff</t>
        </is>
      </c>
      <c r="O54" s="22" t="inlineStr">
        <is>
          <t>No</t>
        </is>
      </c>
      <c r="P54" s="22" t="inlineStr">
        <is>
          <t>HRIS / KS-DL-1.2</t>
        </is>
      </c>
    </row>
    <row r="55">
      <c r="A55" s="22" t="inlineStr">
        <is>
          <t>E0052</t>
        </is>
      </c>
      <c r="B55" s="22" t="inlineStr">
        <is>
          <t>Greenville</t>
        </is>
      </c>
      <c r="C55" s="22" t="inlineStr">
        <is>
          <t>Midwest</t>
        </is>
      </c>
      <c r="D55" s="22" t="inlineStr">
        <is>
          <t>Technical</t>
        </is>
      </c>
      <c r="E55" s="22" t="inlineStr">
        <is>
          <t>EHS Compliance</t>
        </is>
      </c>
      <c r="F55" s="22" t="inlineStr">
        <is>
          <t>Yes</t>
        </is>
      </c>
      <c r="G55" s="234" t="n">
        <v>134</v>
      </c>
      <c r="H55" s="225" t="n">
        <v>0.05</v>
      </c>
      <c r="I55" s="225" t="n">
        <v>0.5900000000000001</v>
      </c>
      <c r="J55" s="225" t="n">
        <v>0.55</v>
      </c>
      <c r="K55" s="226" t="n">
        <v>45047</v>
      </c>
      <c r="L55" s="22" t="inlineStr">
        <is>
          <t>Delta</t>
        </is>
      </c>
      <c r="M55" s="22" t="inlineStr">
        <is>
          <t>Active</t>
        </is>
      </c>
      <c r="N55" s="22" t="inlineStr">
        <is>
          <t>Staff</t>
        </is>
      </c>
      <c r="O55" s="22" t="inlineStr">
        <is>
          <t>No</t>
        </is>
      </c>
      <c r="P55" s="22" t="inlineStr">
        <is>
          <t>HRIS / KS-DL-1.2</t>
        </is>
      </c>
    </row>
    <row r="56">
      <c r="A56" s="22" t="inlineStr">
        <is>
          <t>E0053</t>
        </is>
      </c>
      <c r="B56" s="22" t="inlineStr">
        <is>
          <t>Milwaukee</t>
        </is>
      </c>
      <c r="C56" s="22" t="inlineStr">
        <is>
          <t>Midwest</t>
        </is>
      </c>
      <c r="D56" s="22" t="inlineStr">
        <is>
          <t>Technical</t>
        </is>
      </c>
      <c r="E56" s="22" t="inlineStr">
        <is>
          <t>Industrial Hygiene</t>
        </is>
      </c>
      <c r="F56" s="22" t="inlineStr">
        <is>
          <t>Yes</t>
        </is>
      </c>
      <c r="G56" s="234" t="n">
        <v>61</v>
      </c>
      <c r="H56" s="225" t="n">
        <v>0.05</v>
      </c>
      <c r="I56" s="225" t="n">
        <v>0.66</v>
      </c>
      <c r="J56" s="225" t="n">
        <v>0.62</v>
      </c>
      <c r="K56" s="226" t="n">
        <v>45444</v>
      </c>
      <c r="L56" s="22" t="inlineStr">
        <is>
          <t>Meridian</t>
        </is>
      </c>
      <c r="M56" s="22" t="inlineStr">
        <is>
          <t>Active</t>
        </is>
      </c>
      <c r="N56" s="22" t="inlineStr">
        <is>
          <t>Staff</t>
        </is>
      </c>
      <c r="O56" s="22" t="inlineStr">
        <is>
          <t>No</t>
        </is>
      </c>
      <c r="P56" s="22" t="inlineStr">
        <is>
          <t>HRIS / KS-DL-1.2</t>
        </is>
      </c>
    </row>
    <row r="57">
      <c r="A57" s="22" t="inlineStr">
        <is>
          <t>E0054</t>
        </is>
      </c>
      <c r="B57" s="22" t="inlineStr">
        <is>
          <t>St. Louis</t>
        </is>
      </c>
      <c r="C57" s="22" t="inlineStr">
        <is>
          <t>Southeast</t>
        </is>
      </c>
      <c r="D57" s="22" t="inlineStr">
        <is>
          <t>Project Management</t>
        </is>
      </c>
      <c r="E57" s="22" t="inlineStr">
        <is>
          <t>Field Inspection</t>
        </is>
      </c>
      <c r="F57" s="22" t="inlineStr">
        <is>
          <t>Yes</t>
        </is>
      </c>
      <c r="G57" s="234" t="n">
        <v>78</v>
      </c>
      <c r="H57" s="225" t="n">
        <v>0.05</v>
      </c>
      <c r="I57" s="225" t="n">
        <v>0.73</v>
      </c>
      <c r="J57" s="225" t="n">
        <v>0.6899999999999999</v>
      </c>
      <c r="K57" s="226" t="n">
        <v>45839</v>
      </c>
      <c r="L57" s="22" t="inlineStr">
        <is>
          <t>Summit</t>
        </is>
      </c>
      <c r="M57" s="22" t="inlineStr">
        <is>
          <t>Active</t>
        </is>
      </c>
      <c r="N57" s="22" t="inlineStr">
        <is>
          <t>Staff</t>
        </is>
      </c>
      <c r="O57" s="22" t="inlineStr">
        <is>
          <t>No</t>
        </is>
      </c>
      <c r="P57" s="22" t="inlineStr">
        <is>
          <t>HRIS / KS-DL-1.2</t>
        </is>
      </c>
    </row>
    <row r="58">
      <c r="A58" s="22" t="inlineStr">
        <is>
          <t>E0055</t>
        </is>
      </c>
      <c r="B58" s="22" t="inlineStr">
        <is>
          <t>Richmond</t>
        </is>
      </c>
      <c r="C58" s="22" t="inlineStr">
        <is>
          <t>Midwest</t>
        </is>
      </c>
      <c r="D58" s="22" t="inlineStr">
        <is>
          <t>Corporate</t>
        </is>
      </c>
      <c r="E58" s="22" t="inlineStr">
        <is>
          <t>Permitting &amp; Advisory</t>
        </is>
      </c>
      <c r="F58" s="22" t="inlineStr">
        <is>
          <t>No</t>
        </is>
      </c>
      <c r="G58" s="234" t="n">
        <v>125</v>
      </c>
      <c r="H58" s="225" t="n">
        <v>0.15</v>
      </c>
      <c r="I58" s="225" t="n">
        <v>0</v>
      </c>
      <c r="J58" s="225" t="n">
        <v>0</v>
      </c>
      <c r="K58" s="226" t="n">
        <v>42217</v>
      </c>
      <c r="L58" s="22" t="inlineStr">
        <is>
          <t>Legacy Alderstone</t>
        </is>
      </c>
      <c r="M58" s="22" t="inlineStr">
        <is>
          <t>Active</t>
        </is>
      </c>
      <c r="N58" s="22" t="inlineStr">
        <is>
          <t>Staff</t>
        </is>
      </c>
      <c r="O58" s="22" t="inlineStr">
        <is>
          <t>No</t>
        </is>
      </c>
      <c r="P58" s="22" t="inlineStr">
        <is>
          <t>HRIS / KS-DL-1.2</t>
        </is>
      </c>
    </row>
    <row r="59">
      <c r="A59" s="22" t="inlineStr">
        <is>
          <t>E0056</t>
        </is>
      </c>
      <c r="B59" s="22" t="inlineStr">
        <is>
          <t>Indianapolis</t>
        </is>
      </c>
      <c r="C59" s="22" t="inlineStr">
        <is>
          <t>Midwest</t>
        </is>
      </c>
      <c r="D59" s="22" t="inlineStr">
        <is>
          <t>Sales</t>
        </is>
      </c>
      <c r="E59" s="22" t="inlineStr">
        <is>
          <t>EHS Compliance</t>
        </is>
      </c>
      <c r="F59" s="22" t="inlineStr">
        <is>
          <t>No</t>
        </is>
      </c>
      <c r="G59" s="234" t="n">
        <v>138</v>
      </c>
      <c r="H59" s="225" t="n">
        <v>0.15</v>
      </c>
      <c r="I59" s="225" t="n">
        <v>0</v>
      </c>
      <c r="J59" s="225" t="n">
        <v>0</v>
      </c>
      <c r="K59" s="226" t="n">
        <v>42614</v>
      </c>
      <c r="L59" s="22" t="inlineStr">
        <is>
          <t>Northstar</t>
        </is>
      </c>
      <c r="M59" s="22" t="inlineStr">
        <is>
          <t>Active</t>
        </is>
      </c>
      <c r="N59" s="22" t="inlineStr">
        <is>
          <t>Staff</t>
        </is>
      </c>
      <c r="O59" s="22" t="inlineStr">
        <is>
          <t>No</t>
        </is>
      </c>
      <c r="P59" s="22" t="inlineStr">
        <is>
          <t>HRIS / KS-DL-1.2</t>
        </is>
      </c>
    </row>
    <row r="60">
      <c r="A60" s="22" t="inlineStr">
        <is>
          <t>E0057</t>
        </is>
      </c>
      <c r="B60" s="22" t="inlineStr">
        <is>
          <t>Chicago</t>
        </is>
      </c>
      <c r="C60" s="22" t="inlineStr">
        <is>
          <t>Southeast</t>
        </is>
      </c>
      <c r="D60" s="22" t="inlineStr">
        <is>
          <t>Finance</t>
        </is>
      </c>
      <c r="E60" s="22" t="inlineStr">
        <is>
          <t>Industrial Hygiene</t>
        </is>
      </c>
      <c r="F60" s="22" t="inlineStr">
        <is>
          <t>No</t>
        </is>
      </c>
      <c r="G60" s="234" t="n">
        <v>151</v>
      </c>
      <c r="H60" s="225" t="n">
        <v>0.15</v>
      </c>
      <c r="I60" s="225" t="n">
        <v>0</v>
      </c>
      <c r="J60" s="225" t="n">
        <v>0</v>
      </c>
      <c r="K60" s="226" t="n">
        <v>43009</v>
      </c>
      <c r="L60" s="22" t="inlineStr">
        <is>
          <t>Delta</t>
        </is>
      </c>
      <c r="M60" s="22" t="inlineStr">
        <is>
          <t>Active</t>
        </is>
      </c>
      <c r="N60" s="22" t="inlineStr">
        <is>
          <t>Staff</t>
        </is>
      </c>
      <c r="O60" s="22" t="inlineStr">
        <is>
          <t>No</t>
        </is>
      </c>
      <c r="P60" s="22" t="inlineStr">
        <is>
          <t>HRIS / KS-DL-1.2</t>
        </is>
      </c>
    </row>
    <row r="61">
      <c r="A61" s="22" t="inlineStr">
        <is>
          <t>E0058</t>
        </is>
      </c>
      <c r="B61" s="22" t="inlineStr">
        <is>
          <t>Detroit</t>
        </is>
      </c>
      <c r="C61" s="22" t="inlineStr">
        <is>
          <t>Midwest</t>
        </is>
      </c>
      <c r="D61" s="22" t="inlineStr">
        <is>
          <t>HR</t>
        </is>
      </c>
      <c r="E61" s="22" t="inlineStr">
        <is>
          <t>Field Inspection</t>
        </is>
      </c>
      <c r="F61" s="22" t="inlineStr">
        <is>
          <t>No</t>
        </is>
      </c>
      <c r="G61" s="234" t="n">
        <v>164</v>
      </c>
      <c r="H61" s="225" t="n">
        <v>0.15</v>
      </c>
      <c r="I61" s="225" t="n">
        <v>0</v>
      </c>
      <c r="J61" s="225" t="n">
        <v>0</v>
      </c>
      <c r="K61" s="226" t="n">
        <v>43405</v>
      </c>
      <c r="L61" s="22" t="inlineStr">
        <is>
          <t>Meridian</t>
        </is>
      </c>
      <c r="M61" s="22" t="inlineStr">
        <is>
          <t>Active</t>
        </is>
      </c>
      <c r="N61" s="22" t="inlineStr">
        <is>
          <t>Staff</t>
        </is>
      </c>
      <c r="O61" s="22" t="inlineStr">
        <is>
          <t>Yes</t>
        </is>
      </c>
      <c r="P61" s="22" t="inlineStr">
        <is>
          <t>HRIS / KS-DL-1.2</t>
        </is>
      </c>
    </row>
    <row r="62">
      <c r="A62" s="22" t="inlineStr">
        <is>
          <t>E0059</t>
        </is>
      </c>
      <c r="B62" s="22" t="inlineStr">
        <is>
          <t>Louisville</t>
        </is>
      </c>
      <c r="C62" s="22" t="inlineStr">
        <is>
          <t>Midwest</t>
        </is>
      </c>
      <c r="D62" s="22" t="inlineStr">
        <is>
          <t>IT</t>
        </is>
      </c>
      <c r="E62" s="22" t="inlineStr">
        <is>
          <t>Permitting &amp; Advisory</t>
        </is>
      </c>
      <c r="F62" s="22" t="inlineStr">
        <is>
          <t>No</t>
        </is>
      </c>
      <c r="G62" s="234" t="n">
        <v>177</v>
      </c>
      <c r="H62" s="225" t="n">
        <v>0.15</v>
      </c>
      <c r="I62" s="225" t="n">
        <v>0</v>
      </c>
      <c r="J62" s="225" t="n">
        <v>0</v>
      </c>
      <c r="K62" s="226" t="n">
        <v>43800</v>
      </c>
      <c r="L62" s="22" t="inlineStr">
        <is>
          <t>Summit</t>
        </is>
      </c>
      <c r="M62" s="22" t="inlineStr">
        <is>
          <t>Active</t>
        </is>
      </c>
      <c r="N62" s="22" t="inlineStr">
        <is>
          <t>Staff</t>
        </is>
      </c>
      <c r="O62" s="22" t="inlineStr">
        <is>
          <t>No</t>
        </is>
      </c>
      <c r="P62" s="22" t="inlineStr">
        <is>
          <t>HRIS / KS-DL-1.2</t>
        </is>
      </c>
    </row>
    <row r="63">
      <c r="A63" s="22" t="inlineStr">
        <is>
          <t>E0060</t>
        </is>
      </c>
      <c r="B63" s="22" t="inlineStr">
        <is>
          <t>Nashville</t>
        </is>
      </c>
      <c r="C63" s="22" t="inlineStr">
        <is>
          <t>Southeast</t>
        </is>
      </c>
      <c r="D63" s="22" t="inlineStr">
        <is>
          <t>Technical</t>
        </is>
      </c>
      <c r="E63" s="22" t="inlineStr">
        <is>
          <t>EHS Compliance</t>
        </is>
      </c>
      <c r="F63" s="22" t="inlineStr">
        <is>
          <t>Yes</t>
        </is>
      </c>
      <c r="G63" s="234" t="n">
        <v>90</v>
      </c>
      <c r="H63" s="225" t="n">
        <v>0.05</v>
      </c>
      <c r="I63" s="225" t="n">
        <v>0.55</v>
      </c>
      <c r="J63" s="225" t="n">
        <v>0.51</v>
      </c>
      <c r="K63" s="226" t="n">
        <v>43831</v>
      </c>
      <c r="L63" s="22" t="inlineStr">
        <is>
          <t>Legacy Alderstone</t>
        </is>
      </c>
      <c r="M63" s="22" t="inlineStr">
        <is>
          <t>Active</t>
        </is>
      </c>
      <c r="N63" s="22" t="inlineStr">
        <is>
          <t>Manager</t>
        </is>
      </c>
      <c r="O63" s="22" t="inlineStr">
        <is>
          <t>No</t>
        </is>
      </c>
      <c r="P63" s="22" t="inlineStr">
        <is>
          <t>HRIS / KS-DL-1.2</t>
        </is>
      </c>
    </row>
    <row r="64">
      <c r="A64" s="22" t="inlineStr">
        <is>
          <t>E0061</t>
        </is>
      </c>
      <c r="B64" s="22" t="inlineStr">
        <is>
          <t>Raleigh</t>
        </is>
      </c>
      <c r="C64" s="22" t="inlineStr">
        <is>
          <t>Midwest</t>
        </is>
      </c>
      <c r="D64" s="22" t="inlineStr">
        <is>
          <t>Technical</t>
        </is>
      </c>
      <c r="E64" s="22" t="inlineStr">
        <is>
          <t>Industrial Hygiene</t>
        </is>
      </c>
      <c r="F64" s="22" t="inlineStr">
        <is>
          <t>Yes</t>
        </is>
      </c>
      <c r="G64" s="234" t="n">
        <v>107</v>
      </c>
      <c r="H64" s="225" t="n">
        <v>0.05</v>
      </c>
      <c r="I64" s="225" t="n">
        <v>0.6200000000000001</v>
      </c>
      <c r="J64" s="225" t="n">
        <v>0.5800000000000001</v>
      </c>
      <c r="K64" s="226" t="n">
        <v>44228</v>
      </c>
      <c r="L64" s="22" t="inlineStr">
        <is>
          <t>Northstar</t>
        </is>
      </c>
      <c r="M64" s="22" t="inlineStr">
        <is>
          <t>Active</t>
        </is>
      </c>
      <c r="N64" s="22" t="inlineStr">
        <is>
          <t>Staff</t>
        </is>
      </c>
      <c r="O64" s="22" t="inlineStr">
        <is>
          <t>No</t>
        </is>
      </c>
      <c r="P64" s="22" t="inlineStr">
        <is>
          <t>HRIS / KS-DL-1.2</t>
        </is>
      </c>
    </row>
    <row r="65">
      <c r="A65" s="22" t="inlineStr">
        <is>
          <t>E0062</t>
        </is>
      </c>
      <c r="B65" s="22" t="inlineStr">
        <is>
          <t>Charlotte</t>
        </is>
      </c>
      <c r="C65" s="22" t="inlineStr">
        <is>
          <t>Midwest</t>
        </is>
      </c>
      <c r="D65" s="22" t="inlineStr">
        <is>
          <t>Technical</t>
        </is>
      </c>
      <c r="E65" s="22" t="inlineStr">
        <is>
          <t>Field Inspection</t>
        </is>
      </c>
      <c r="F65" s="22" t="inlineStr">
        <is>
          <t>Yes</t>
        </is>
      </c>
      <c r="G65" s="234" t="n">
        <v>124</v>
      </c>
      <c r="H65" s="225" t="n">
        <v>0.05</v>
      </c>
      <c r="I65" s="225" t="n">
        <v>0.6900000000000001</v>
      </c>
      <c r="J65" s="225" t="n">
        <v>0.65</v>
      </c>
      <c r="K65" s="226" t="n">
        <v>44621</v>
      </c>
      <c r="L65" s="22" t="inlineStr">
        <is>
          <t>Delta</t>
        </is>
      </c>
      <c r="M65" s="22" t="inlineStr">
        <is>
          <t>Active</t>
        </is>
      </c>
      <c r="N65" s="22" t="inlineStr">
        <is>
          <t>Staff</t>
        </is>
      </c>
      <c r="O65" s="22" t="inlineStr">
        <is>
          <t>No</t>
        </is>
      </c>
      <c r="P65" s="22" t="inlineStr">
        <is>
          <t>HRIS / KS-DL-1.2</t>
        </is>
      </c>
    </row>
    <row r="66">
      <c r="A66" s="22" t="inlineStr">
        <is>
          <t>E0063</t>
        </is>
      </c>
      <c r="B66" s="22" t="inlineStr">
        <is>
          <t>Cincinnati</t>
        </is>
      </c>
      <c r="C66" s="22" t="inlineStr">
        <is>
          <t>Southeast</t>
        </is>
      </c>
      <c r="D66" s="22" t="inlineStr">
        <is>
          <t>Technical</t>
        </is>
      </c>
      <c r="E66" s="22" t="inlineStr">
        <is>
          <t>Permitting &amp; Advisory</t>
        </is>
      </c>
      <c r="F66" s="22" t="inlineStr">
        <is>
          <t>Yes</t>
        </is>
      </c>
      <c r="G66" s="234" t="n">
        <v>141</v>
      </c>
      <c r="H66" s="225" t="n">
        <v>0.05</v>
      </c>
      <c r="I66" s="225" t="n">
        <v>0.76</v>
      </c>
      <c r="J66" s="225" t="n">
        <v>0.72</v>
      </c>
      <c r="K66" s="226" t="n">
        <v>45017</v>
      </c>
      <c r="L66" s="22" t="inlineStr">
        <is>
          <t>Meridian</t>
        </is>
      </c>
      <c r="M66" s="22" t="inlineStr">
        <is>
          <t>Active</t>
        </is>
      </c>
      <c r="N66" s="22" t="inlineStr">
        <is>
          <t>Staff</t>
        </is>
      </c>
      <c r="O66" s="22" t="inlineStr">
        <is>
          <t>No</t>
        </is>
      </c>
      <c r="P66" s="22" t="inlineStr">
        <is>
          <t>HRIS / KS-DL-1.2</t>
        </is>
      </c>
    </row>
    <row r="67">
      <c r="A67" s="22" t="inlineStr">
        <is>
          <t>E0064</t>
        </is>
      </c>
      <c r="B67" s="22" t="inlineStr">
        <is>
          <t>Columbus</t>
        </is>
      </c>
      <c r="C67" s="22" t="inlineStr">
        <is>
          <t>Midwest</t>
        </is>
      </c>
      <c r="D67" s="22" t="inlineStr">
        <is>
          <t>Project Management</t>
        </is>
      </c>
      <c r="E67" s="22" t="inlineStr">
        <is>
          <t>EHS Compliance</t>
        </is>
      </c>
      <c r="F67" s="22" t="inlineStr">
        <is>
          <t>Yes</t>
        </is>
      </c>
      <c r="G67" s="234" t="n">
        <v>68</v>
      </c>
      <c r="H67" s="225" t="n">
        <v>0.05</v>
      </c>
      <c r="I67" s="225" t="n">
        <v>0.8300000000000001</v>
      </c>
      <c r="J67" s="225" t="n">
        <v>0.79</v>
      </c>
      <c r="K67" s="226" t="n">
        <v>45413</v>
      </c>
      <c r="L67" s="22" t="inlineStr">
        <is>
          <t>Summit</t>
        </is>
      </c>
      <c r="M67" s="22" t="inlineStr">
        <is>
          <t>Active</t>
        </is>
      </c>
      <c r="N67" s="22" t="inlineStr">
        <is>
          <t>Staff</t>
        </is>
      </c>
      <c r="O67" s="22" t="inlineStr">
        <is>
          <t>No</t>
        </is>
      </c>
      <c r="P67" s="22" t="inlineStr">
        <is>
          <t>HRIS / KS-DL-1.2</t>
        </is>
      </c>
    </row>
    <row r="68">
      <c r="A68" s="22" t="inlineStr">
        <is>
          <t>E0065</t>
        </is>
      </c>
      <c r="B68" s="22" t="inlineStr">
        <is>
          <t>Knoxville</t>
        </is>
      </c>
      <c r="C68" s="22" t="inlineStr">
        <is>
          <t>Midwest</t>
        </is>
      </c>
      <c r="D68" s="22" t="inlineStr">
        <is>
          <t>Corporate</t>
        </is>
      </c>
      <c r="E68" s="22" t="inlineStr">
        <is>
          <t>Industrial Hygiene</t>
        </is>
      </c>
      <c r="F68" s="22" t="inlineStr">
        <is>
          <t>No</t>
        </is>
      </c>
      <c r="G68" s="234" t="n">
        <v>145</v>
      </c>
      <c r="H68" s="225" t="n">
        <v>0.15</v>
      </c>
      <c r="I68" s="225" t="n">
        <v>0</v>
      </c>
      <c r="J68" s="225" t="n">
        <v>0</v>
      </c>
      <c r="K68" s="226" t="n">
        <v>45809</v>
      </c>
      <c r="L68" s="22" t="inlineStr">
        <is>
          <t>Legacy Alderstone</t>
        </is>
      </c>
      <c r="M68" s="22" t="inlineStr">
        <is>
          <t>Active</t>
        </is>
      </c>
      <c r="N68" s="22" t="inlineStr">
        <is>
          <t>Staff</t>
        </is>
      </c>
      <c r="O68" s="22" t="inlineStr">
        <is>
          <t>No</t>
        </is>
      </c>
      <c r="P68" s="22" t="inlineStr">
        <is>
          <t>HRIS / KS-DL-1.2</t>
        </is>
      </c>
    </row>
    <row r="69">
      <c r="A69" s="22" t="inlineStr">
        <is>
          <t>E0066</t>
        </is>
      </c>
      <c r="B69" s="22" t="inlineStr">
        <is>
          <t>Greenville</t>
        </is>
      </c>
      <c r="C69" s="22" t="inlineStr">
        <is>
          <t>Southeast</t>
        </is>
      </c>
      <c r="D69" s="22" t="inlineStr">
        <is>
          <t>Sales</t>
        </is>
      </c>
      <c r="E69" s="22" t="inlineStr">
        <is>
          <t>Field Inspection</t>
        </is>
      </c>
      <c r="F69" s="22" t="inlineStr">
        <is>
          <t>No</t>
        </is>
      </c>
      <c r="G69" s="234" t="n">
        <v>158</v>
      </c>
      <c r="H69" s="225" t="n">
        <v>0.15</v>
      </c>
      <c r="I69" s="225" t="n">
        <v>0</v>
      </c>
      <c r="J69" s="225" t="n">
        <v>0</v>
      </c>
      <c r="K69" s="226" t="n">
        <v>42186</v>
      </c>
      <c r="L69" s="22" t="inlineStr">
        <is>
          <t>Northstar</t>
        </is>
      </c>
      <c r="M69" s="22" t="inlineStr">
        <is>
          <t>Active</t>
        </is>
      </c>
      <c r="N69" s="22" t="inlineStr">
        <is>
          <t>Staff</t>
        </is>
      </c>
      <c r="O69" s="22" t="inlineStr">
        <is>
          <t>No</t>
        </is>
      </c>
      <c r="P69" s="22" t="inlineStr">
        <is>
          <t>HRIS / KS-DL-1.2</t>
        </is>
      </c>
    </row>
    <row r="70">
      <c r="A70" s="22" t="inlineStr">
        <is>
          <t>E0067</t>
        </is>
      </c>
      <c r="B70" s="22" t="inlineStr">
        <is>
          <t>Milwaukee</t>
        </is>
      </c>
      <c r="C70" s="22" t="inlineStr">
        <is>
          <t>Midwest</t>
        </is>
      </c>
      <c r="D70" s="22" t="inlineStr">
        <is>
          <t>Finance</t>
        </is>
      </c>
      <c r="E70" s="22" t="inlineStr">
        <is>
          <t>Permitting &amp; Advisory</t>
        </is>
      </c>
      <c r="F70" s="22" t="inlineStr">
        <is>
          <t>No</t>
        </is>
      </c>
      <c r="G70" s="234" t="n">
        <v>171</v>
      </c>
      <c r="H70" s="225" t="n">
        <v>0.15</v>
      </c>
      <c r="I70" s="225" t="n">
        <v>0</v>
      </c>
      <c r="J70" s="225" t="n">
        <v>0</v>
      </c>
      <c r="K70" s="226" t="n">
        <v>42583</v>
      </c>
      <c r="L70" s="22" t="inlineStr">
        <is>
          <t>Delta</t>
        </is>
      </c>
      <c r="M70" s="22" t="inlineStr">
        <is>
          <t>Active</t>
        </is>
      </c>
      <c r="N70" s="22" t="inlineStr">
        <is>
          <t>Staff</t>
        </is>
      </c>
      <c r="O70" s="22" t="inlineStr">
        <is>
          <t>No</t>
        </is>
      </c>
      <c r="P70" s="22" t="inlineStr">
        <is>
          <t>HRIS / KS-DL-1.2</t>
        </is>
      </c>
    </row>
    <row r="71">
      <c r="A71" s="22" t="inlineStr">
        <is>
          <t>E0068</t>
        </is>
      </c>
      <c r="B71" s="22" t="inlineStr">
        <is>
          <t>St. Louis</t>
        </is>
      </c>
      <c r="C71" s="22" t="inlineStr">
        <is>
          <t>Midwest</t>
        </is>
      </c>
      <c r="D71" s="22" t="inlineStr">
        <is>
          <t>HR</t>
        </is>
      </c>
      <c r="E71" s="22" t="inlineStr">
        <is>
          <t>EHS Compliance</t>
        </is>
      </c>
      <c r="F71" s="22" t="inlineStr">
        <is>
          <t>No</t>
        </is>
      </c>
      <c r="G71" s="234" t="n">
        <v>74</v>
      </c>
      <c r="H71" s="225" t="n">
        <v>0.15</v>
      </c>
      <c r="I71" s="225" t="n">
        <v>0</v>
      </c>
      <c r="J71" s="225" t="n">
        <v>0</v>
      </c>
      <c r="K71" s="226" t="n">
        <v>42979</v>
      </c>
      <c r="L71" s="22" t="inlineStr">
        <is>
          <t>Meridian</t>
        </is>
      </c>
      <c r="M71" s="22" t="inlineStr">
        <is>
          <t>Active</t>
        </is>
      </c>
      <c r="N71" s="22" t="inlineStr">
        <is>
          <t>Staff</t>
        </is>
      </c>
      <c r="O71" s="22" t="inlineStr">
        <is>
          <t>No</t>
        </is>
      </c>
      <c r="P71" s="22" t="inlineStr">
        <is>
          <t>HRIS / KS-DL-1.2</t>
        </is>
      </c>
    </row>
    <row r="72">
      <c r="A72" s="22" t="inlineStr">
        <is>
          <t>E0069</t>
        </is>
      </c>
      <c r="B72" s="22" t="inlineStr">
        <is>
          <t>Richmond</t>
        </is>
      </c>
      <c r="C72" s="22" t="inlineStr">
        <is>
          <t>Southeast</t>
        </is>
      </c>
      <c r="D72" s="22" t="inlineStr">
        <is>
          <t>IT</t>
        </is>
      </c>
      <c r="E72" s="22" t="inlineStr">
        <is>
          <t>Industrial Hygiene</t>
        </is>
      </c>
      <c r="F72" s="22" t="inlineStr">
        <is>
          <t>No</t>
        </is>
      </c>
      <c r="G72" s="234" t="n">
        <v>87</v>
      </c>
      <c r="H72" s="225" t="n">
        <v>0.15</v>
      </c>
      <c r="I72" s="225" t="n">
        <v>0</v>
      </c>
      <c r="J72" s="225" t="n">
        <v>0</v>
      </c>
      <c r="K72" s="226" t="n">
        <v>43374</v>
      </c>
      <c r="L72" s="22" t="inlineStr">
        <is>
          <t>Summit</t>
        </is>
      </c>
      <c r="M72" s="22" t="inlineStr">
        <is>
          <t>Active</t>
        </is>
      </c>
      <c r="N72" s="22" t="inlineStr">
        <is>
          <t>Staff</t>
        </is>
      </c>
      <c r="O72" s="22" t="inlineStr">
        <is>
          <t>No</t>
        </is>
      </c>
      <c r="P72" s="22" t="inlineStr">
        <is>
          <t>HRIS / KS-DL-1.2</t>
        </is>
      </c>
    </row>
    <row r="73">
      <c r="A73" s="22" t="inlineStr">
        <is>
          <t>E0070</t>
        </is>
      </c>
      <c r="B73" s="22" t="inlineStr">
        <is>
          <t>Indianapolis</t>
        </is>
      </c>
      <c r="C73" s="22" t="inlineStr">
        <is>
          <t>Midwest</t>
        </is>
      </c>
      <c r="D73" s="22" t="inlineStr">
        <is>
          <t>Technical</t>
        </is>
      </c>
      <c r="E73" s="22" t="inlineStr">
        <is>
          <t>Field Inspection</t>
        </is>
      </c>
      <c r="F73" s="22" t="inlineStr">
        <is>
          <t>Yes</t>
        </is>
      </c>
      <c r="G73" s="234" t="n">
        <v>80</v>
      </c>
      <c r="H73" s="225" t="n">
        <v>0.05</v>
      </c>
      <c r="I73" s="225" t="n">
        <v>0.65</v>
      </c>
      <c r="J73" s="225" t="n">
        <v>0.61</v>
      </c>
      <c r="K73" s="226" t="n">
        <v>43770</v>
      </c>
      <c r="L73" s="22" t="inlineStr">
        <is>
          <t>Legacy Alderstone</t>
        </is>
      </c>
      <c r="M73" s="22" t="inlineStr">
        <is>
          <t>Active</t>
        </is>
      </c>
      <c r="N73" s="22" t="inlineStr">
        <is>
          <t>Staff</t>
        </is>
      </c>
      <c r="O73" s="22" t="inlineStr">
        <is>
          <t>No</t>
        </is>
      </c>
      <c r="P73" s="22" t="inlineStr">
        <is>
          <t>HRIS / KS-DL-1.2</t>
        </is>
      </c>
    </row>
    <row r="74">
      <c r="A74" s="22" t="inlineStr">
        <is>
          <t>E0071</t>
        </is>
      </c>
      <c r="B74" s="22" t="inlineStr">
        <is>
          <t>Chicago</t>
        </is>
      </c>
      <c r="C74" s="22" t="inlineStr">
        <is>
          <t>Midwest</t>
        </is>
      </c>
      <c r="D74" s="22" t="inlineStr">
        <is>
          <t>Technical</t>
        </is>
      </c>
      <c r="E74" s="22" t="inlineStr">
        <is>
          <t>Permitting &amp; Advisory</t>
        </is>
      </c>
      <c r="F74" s="22" t="inlineStr">
        <is>
          <t>Yes</t>
        </is>
      </c>
      <c r="G74" s="234" t="n">
        <v>97</v>
      </c>
      <c r="H74" s="225" t="n">
        <v>0.05</v>
      </c>
      <c r="I74" s="225" t="n">
        <v>0.7200000000000001</v>
      </c>
      <c r="J74" s="225" t="n">
        <v>0.68</v>
      </c>
      <c r="K74" s="226" t="n">
        <v>44166</v>
      </c>
      <c r="L74" s="22" t="inlineStr">
        <is>
          <t>Northstar</t>
        </is>
      </c>
      <c r="M74" s="22" t="inlineStr">
        <is>
          <t>Active</t>
        </is>
      </c>
      <c r="N74" s="22" t="inlineStr">
        <is>
          <t>Staff</t>
        </is>
      </c>
      <c r="O74" s="22" t="inlineStr">
        <is>
          <t>No</t>
        </is>
      </c>
      <c r="P74" s="22" t="inlineStr">
        <is>
          <t>HRIS / KS-DL-1.2</t>
        </is>
      </c>
    </row>
    <row r="75">
      <c r="A75" s="22" t="inlineStr">
        <is>
          <t>E0072</t>
        </is>
      </c>
      <c r="B75" s="22" t="inlineStr">
        <is>
          <t>Detroit</t>
        </is>
      </c>
      <c r="C75" s="22" t="inlineStr">
        <is>
          <t>Southeast</t>
        </is>
      </c>
      <c r="D75" s="22" t="inlineStr">
        <is>
          <t>Technical</t>
        </is>
      </c>
      <c r="E75" s="22" t="inlineStr">
        <is>
          <t>EHS Compliance</t>
        </is>
      </c>
      <c r="F75" s="22" t="inlineStr">
        <is>
          <t>Yes</t>
        </is>
      </c>
      <c r="G75" s="234" t="n">
        <v>114</v>
      </c>
      <c r="H75" s="225" t="n">
        <v>0.05</v>
      </c>
      <c r="I75" s="225" t="n">
        <v>0.79</v>
      </c>
      <c r="J75" s="225" t="n">
        <v>0.75</v>
      </c>
      <c r="K75" s="226" t="n">
        <v>44197</v>
      </c>
      <c r="L75" s="22" t="inlineStr">
        <is>
          <t>Delta</t>
        </is>
      </c>
      <c r="M75" s="22" t="inlineStr">
        <is>
          <t>Active</t>
        </is>
      </c>
      <c r="N75" s="22" t="inlineStr">
        <is>
          <t>Manager</t>
        </is>
      </c>
      <c r="O75" s="22" t="inlineStr">
        <is>
          <t>No</t>
        </is>
      </c>
      <c r="P75" s="22" t="inlineStr">
        <is>
          <t>HRIS / KS-DL-1.2</t>
        </is>
      </c>
    </row>
    <row r="76">
      <c r="A76" s="22" t="inlineStr">
        <is>
          <t>E0073</t>
        </is>
      </c>
      <c r="B76" s="22" t="inlineStr">
        <is>
          <t>Louisville</t>
        </is>
      </c>
      <c r="C76" s="22" t="inlineStr">
        <is>
          <t>Midwest</t>
        </is>
      </c>
      <c r="D76" s="22" t="inlineStr">
        <is>
          <t>Technical</t>
        </is>
      </c>
      <c r="E76" s="22" t="inlineStr">
        <is>
          <t>Industrial Hygiene</t>
        </is>
      </c>
      <c r="F76" s="22" t="inlineStr">
        <is>
          <t>Yes</t>
        </is>
      </c>
      <c r="G76" s="234" t="n">
        <v>131</v>
      </c>
      <c r="H76" s="225" t="n">
        <v>0.05</v>
      </c>
      <c r="I76" s="225" t="n">
        <v>0.5600000000000001</v>
      </c>
      <c r="J76" s="225" t="n">
        <v>0.52</v>
      </c>
      <c r="K76" s="226" t="n">
        <v>44593</v>
      </c>
      <c r="L76" s="22" t="inlineStr">
        <is>
          <t>Meridian</t>
        </is>
      </c>
      <c r="M76" s="22" t="inlineStr">
        <is>
          <t>Active</t>
        </is>
      </c>
      <c r="N76" s="22" t="inlineStr">
        <is>
          <t>Staff</t>
        </is>
      </c>
      <c r="O76" s="22" t="inlineStr">
        <is>
          <t>No</t>
        </is>
      </c>
      <c r="P76" s="22" t="inlineStr">
        <is>
          <t>HRIS / KS-DL-1.2</t>
        </is>
      </c>
    </row>
    <row r="77">
      <c r="A77" s="22" t="inlineStr">
        <is>
          <t>E0074</t>
        </is>
      </c>
      <c r="B77" s="22" t="inlineStr">
        <is>
          <t>Nashville</t>
        </is>
      </c>
      <c r="C77" s="22" t="inlineStr">
        <is>
          <t>Midwest</t>
        </is>
      </c>
      <c r="D77" s="22" t="inlineStr">
        <is>
          <t>Project Management</t>
        </is>
      </c>
      <c r="E77" s="22" t="inlineStr">
        <is>
          <t>Field Inspection</t>
        </is>
      </c>
      <c r="F77" s="22" t="inlineStr">
        <is>
          <t>Yes</t>
        </is>
      </c>
      <c r="G77" s="234" t="n">
        <v>148</v>
      </c>
      <c r="H77" s="225" t="n">
        <v>0.05</v>
      </c>
      <c r="I77" s="225" t="n">
        <v>0.63</v>
      </c>
      <c r="J77" s="225" t="n">
        <v>0.59</v>
      </c>
      <c r="K77" s="226" t="n">
        <v>44986</v>
      </c>
      <c r="L77" s="22" t="inlineStr">
        <is>
          <t>Summit</t>
        </is>
      </c>
      <c r="M77" s="22" t="inlineStr">
        <is>
          <t>Active</t>
        </is>
      </c>
      <c r="N77" s="22" t="inlineStr">
        <is>
          <t>Staff</t>
        </is>
      </c>
      <c r="O77" s="22" t="inlineStr">
        <is>
          <t>No</t>
        </is>
      </c>
      <c r="P77" s="22" t="inlineStr">
        <is>
          <t>HRIS / KS-DL-1.2</t>
        </is>
      </c>
    </row>
    <row r="78">
      <c r="A78" s="22" t="inlineStr">
        <is>
          <t>E0075</t>
        </is>
      </c>
      <c r="B78" s="22" t="inlineStr">
        <is>
          <t>Raleigh</t>
        </is>
      </c>
      <c r="C78" s="22" t="inlineStr">
        <is>
          <t>Southeast</t>
        </is>
      </c>
      <c r="D78" s="22" t="inlineStr">
        <is>
          <t>Corporate</t>
        </is>
      </c>
      <c r="E78" s="22" t="inlineStr">
        <is>
          <t>Permitting &amp; Advisory</t>
        </is>
      </c>
      <c r="F78" s="22" t="inlineStr">
        <is>
          <t>No</t>
        </is>
      </c>
      <c r="G78" s="234" t="n">
        <v>165</v>
      </c>
      <c r="H78" s="225" t="n">
        <v>0.15</v>
      </c>
      <c r="I78" s="225" t="n">
        <v>0</v>
      </c>
      <c r="J78" s="225" t="n">
        <v>0</v>
      </c>
      <c r="K78" s="226" t="n">
        <v>45383</v>
      </c>
      <c r="L78" s="22" t="inlineStr">
        <is>
          <t>Legacy Alderstone</t>
        </is>
      </c>
      <c r="M78" s="22" t="inlineStr">
        <is>
          <t>Active</t>
        </is>
      </c>
      <c r="N78" s="22" t="inlineStr">
        <is>
          <t>Staff</t>
        </is>
      </c>
      <c r="O78" s="22" t="inlineStr">
        <is>
          <t>No</t>
        </is>
      </c>
      <c r="P78" s="22" t="inlineStr">
        <is>
          <t>HRIS / KS-DL-1.2</t>
        </is>
      </c>
    </row>
    <row r="79">
      <c r="A79" s="22" t="inlineStr">
        <is>
          <t>E0076</t>
        </is>
      </c>
      <c r="B79" s="22" t="inlineStr">
        <is>
          <t>Charlotte</t>
        </is>
      </c>
      <c r="C79" s="22" t="inlineStr">
        <is>
          <t>Midwest</t>
        </is>
      </c>
      <c r="D79" s="22" t="inlineStr">
        <is>
          <t>Sales</t>
        </is>
      </c>
      <c r="E79" s="22" t="inlineStr">
        <is>
          <t>EHS Compliance</t>
        </is>
      </c>
      <c r="F79" s="22" t="inlineStr">
        <is>
          <t>No</t>
        </is>
      </c>
      <c r="G79" s="234" t="n">
        <v>178</v>
      </c>
      <c r="H79" s="225" t="n">
        <v>0.15</v>
      </c>
      <c r="I79" s="225" t="n">
        <v>0</v>
      </c>
      <c r="J79" s="225" t="n">
        <v>0</v>
      </c>
      <c r="K79" s="226" t="n">
        <v>45778</v>
      </c>
      <c r="L79" s="22" t="inlineStr">
        <is>
          <t>Northstar</t>
        </is>
      </c>
      <c r="M79" s="22" t="inlineStr">
        <is>
          <t>Active</t>
        </is>
      </c>
      <c r="N79" s="22" t="inlineStr">
        <is>
          <t>Staff</t>
        </is>
      </c>
      <c r="O79" s="22" t="inlineStr">
        <is>
          <t>No</t>
        </is>
      </c>
      <c r="P79" s="22" t="inlineStr">
        <is>
          <t>HRIS / KS-DL-1.2</t>
        </is>
      </c>
    </row>
    <row r="80">
      <c r="A80" s="22" t="inlineStr">
        <is>
          <t>E0077</t>
        </is>
      </c>
      <c r="B80" s="22" t="inlineStr">
        <is>
          <t>Cincinnati</t>
        </is>
      </c>
      <c r="C80" s="22" t="inlineStr">
        <is>
          <t>Midwest</t>
        </is>
      </c>
      <c r="D80" s="22" t="inlineStr">
        <is>
          <t>Finance</t>
        </is>
      </c>
      <c r="E80" s="22" t="inlineStr">
        <is>
          <t>Industrial Hygiene</t>
        </is>
      </c>
      <c r="F80" s="22" t="inlineStr">
        <is>
          <t>No</t>
        </is>
      </c>
      <c r="G80" s="234" t="n">
        <v>81</v>
      </c>
      <c r="H80" s="225" t="n">
        <v>0.15</v>
      </c>
      <c r="I80" s="225" t="n">
        <v>0</v>
      </c>
      <c r="J80" s="225" t="n">
        <v>0</v>
      </c>
      <c r="K80" s="226" t="n">
        <v>42156</v>
      </c>
      <c r="L80" s="22" t="inlineStr">
        <is>
          <t>Delta</t>
        </is>
      </c>
      <c r="M80" s="22" t="inlineStr">
        <is>
          <t>Active</t>
        </is>
      </c>
      <c r="N80" s="22" t="inlineStr">
        <is>
          <t>Staff</t>
        </is>
      </c>
      <c r="O80" s="22" t="inlineStr">
        <is>
          <t>No</t>
        </is>
      </c>
      <c r="P80" s="22" t="inlineStr">
        <is>
          <t>HRIS / KS-DL-1.2</t>
        </is>
      </c>
    </row>
    <row r="81">
      <c r="A81" s="22" t="inlineStr">
        <is>
          <t>E0078</t>
        </is>
      </c>
      <c r="B81" s="22" t="inlineStr">
        <is>
          <t>Columbus</t>
        </is>
      </c>
      <c r="C81" s="22" t="inlineStr">
        <is>
          <t>Southeast</t>
        </is>
      </c>
      <c r="D81" s="22" t="inlineStr">
        <is>
          <t>HR</t>
        </is>
      </c>
      <c r="E81" s="22" t="inlineStr">
        <is>
          <t>Field Inspection</t>
        </is>
      </c>
      <c r="F81" s="22" t="inlineStr">
        <is>
          <t>No</t>
        </is>
      </c>
      <c r="G81" s="234" t="n">
        <v>94</v>
      </c>
      <c r="H81" s="225" t="n">
        <v>0.15</v>
      </c>
      <c r="I81" s="225" t="n">
        <v>0</v>
      </c>
      <c r="J81" s="225" t="n">
        <v>0</v>
      </c>
      <c r="K81" s="226" t="n">
        <v>42552</v>
      </c>
      <c r="L81" s="22" t="inlineStr">
        <is>
          <t>Meridian</t>
        </is>
      </c>
      <c r="M81" s="22" t="inlineStr">
        <is>
          <t>Active</t>
        </is>
      </c>
      <c r="N81" s="22" t="inlineStr">
        <is>
          <t>Staff</t>
        </is>
      </c>
      <c r="O81" s="22" t="inlineStr">
        <is>
          <t>No</t>
        </is>
      </c>
      <c r="P81" s="22" t="inlineStr">
        <is>
          <t>HRIS / KS-DL-1.2</t>
        </is>
      </c>
    </row>
    <row r="82">
      <c r="A82" s="22" t="inlineStr">
        <is>
          <t>E0079</t>
        </is>
      </c>
      <c r="B82" s="22" t="inlineStr">
        <is>
          <t>Knoxville</t>
        </is>
      </c>
      <c r="C82" s="22" t="inlineStr">
        <is>
          <t>Midwest</t>
        </is>
      </c>
      <c r="D82" s="22" t="inlineStr">
        <is>
          <t>IT</t>
        </is>
      </c>
      <c r="E82" s="22" t="inlineStr">
        <is>
          <t>Permitting &amp; Advisory</t>
        </is>
      </c>
      <c r="F82" s="22" t="inlineStr">
        <is>
          <t>No</t>
        </is>
      </c>
      <c r="G82" s="234" t="n">
        <v>107</v>
      </c>
      <c r="H82" s="225" t="n">
        <v>0.15</v>
      </c>
      <c r="I82" s="225" t="n">
        <v>0</v>
      </c>
      <c r="J82" s="225" t="n">
        <v>0</v>
      </c>
      <c r="K82" s="226" t="n">
        <v>42948</v>
      </c>
      <c r="L82" s="22" t="inlineStr">
        <is>
          <t>Summit</t>
        </is>
      </c>
      <c r="M82" s="22" t="inlineStr">
        <is>
          <t>Active</t>
        </is>
      </c>
      <c r="N82" s="22" t="inlineStr">
        <is>
          <t>Staff</t>
        </is>
      </c>
      <c r="O82" s="22" t="inlineStr">
        <is>
          <t>No</t>
        </is>
      </c>
      <c r="P82" s="22" t="inlineStr">
        <is>
          <t>HRIS / KS-DL-1.2</t>
        </is>
      </c>
    </row>
    <row r="83">
      <c r="A83" s="22" t="inlineStr">
        <is>
          <t>E0080</t>
        </is>
      </c>
      <c r="B83" s="22" t="inlineStr">
        <is>
          <t>Greenville</t>
        </is>
      </c>
      <c r="C83" s="22" t="inlineStr">
        <is>
          <t>Midwest</t>
        </is>
      </c>
      <c r="D83" s="22" t="inlineStr">
        <is>
          <t>Technical</t>
        </is>
      </c>
      <c r="E83" s="22" t="inlineStr">
        <is>
          <t>EHS Compliance</t>
        </is>
      </c>
      <c r="F83" s="22" t="inlineStr">
        <is>
          <t>Yes</t>
        </is>
      </c>
      <c r="G83" s="234" t="n">
        <v>70</v>
      </c>
      <c r="H83" s="225" t="n">
        <v>0.05</v>
      </c>
      <c r="I83" s="225" t="n">
        <v>0.75</v>
      </c>
      <c r="J83" s="225" t="n">
        <v>0.71</v>
      </c>
      <c r="K83" s="226" t="n">
        <v>43344</v>
      </c>
      <c r="L83" s="22" t="inlineStr">
        <is>
          <t>Legacy Alderstone</t>
        </is>
      </c>
      <c r="M83" s="22" t="inlineStr">
        <is>
          <t>Active</t>
        </is>
      </c>
      <c r="N83" s="22" t="inlineStr">
        <is>
          <t>Staff</t>
        </is>
      </c>
      <c r="O83" s="22" t="inlineStr">
        <is>
          <t>No</t>
        </is>
      </c>
      <c r="P83" s="22" t="inlineStr">
        <is>
          <t>HRIS / KS-DL-1.2</t>
        </is>
      </c>
    </row>
    <row r="84">
      <c r="A84" s="22" t="inlineStr">
        <is>
          <t>E0081</t>
        </is>
      </c>
      <c r="B84" s="22" t="inlineStr">
        <is>
          <t>Milwaukee</t>
        </is>
      </c>
      <c r="C84" s="22" t="inlineStr">
        <is>
          <t>Southeast</t>
        </is>
      </c>
      <c r="D84" s="22" t="inlineStr">
        <is>
          <t>Technical</t>
        </is>
      </c>
      <c r="E84" s="22" t="inlineStr">
        <is>
          <t>Industrial Hygiene</t>
        </is>
      </c>
      <c r="F84" s="22" t="inlineStr">
        <is>
          <t>Yes</t>
        </is>
      </c>
      <c r="G84" s="234" t="n">
        <v>87</v>
      </c>
      <c r="H84" s="225" t="n">
        <v>0.05</v>
      </c>
      <c r="I84" s="225" t="n">
        <v>0.8200000000000001</v>
      </c>
      <c r="J84" s="225" t="n">
        <v>0.78</v>
      </c>
      <c r="K84" s="226" t="n">
        <v>43739</v>
      </c>
      <c r="L84" s="22" t="inlineStr">
        <is>
          <t>Northstar</t>
        </is>
      </c>
      <c r="M84" s="22" t="inlineStr">
        <is>
          <t>Active</t>
        </is>
      </c>
      <c r="N84" s="22" t="inlineStr">
        <is>
          <t>Staff</t>
        </is>
      </c>
      <c r="O84" s="22" t="inlineStr">
        <is>
          <t>No</t>
        </is>
      </c>
      <c r="P84" s="22" t="inlineStr">
        <is>
          <t>HRIS / KS-DL-1.2</t>
        </is>
      </c>
    </row>
    <row r="85">
      <c r="A85" s="22" t="inlineStr">
        <is>
          <t>E0082</t>
        </is>
      </c>
      <c r="B85" s="22" t="inlineStr">
        <is>
          <t>St. Louis</t>
        </is>
      </c>
      <c r="C85" s="22" t="inlineStr">
        <is>
          <t>Midwest</t>
        </is>
      </c>
      <c r="D85" s="22" t="inlineStr">
        <is>
          <t>Technical</t>
        </is>
      </c>
      <c r="E85" s="22" t="inlineStr">
        <is>
          <t>Field Inspection</t>
        </is>
      </c>
      <c r="F85" s="22" t="inlineStr">
        <is>
          <t>Yes</t>
        </is>
      </c>
      <c r="G85" s="234" t="n">
        <v>104</v>
      </c>
      <c r="H85" s="225" t="n">
        <v>0.05</v>
      </c>
      <c r="I85" s="225" t="n">
        <v>0.5900000000000001</v>
      </c>
      <c r="J85" s="225" t="n">
        <v>0.55</v>
      </c>
      <c r="K85" s="226" t="n">
        <v>44136</v>
      </c>
      <c r="L85" s="22" t="inlineStr">
        <is>
          <t>Delta</t>
        </is>
      </c>
      <c r="M85" s="22" t="inlineStr">
        <is>
          <t>Active</t>
        </is>
      </c>
      <c r="N85" s="22" t="inlineStr">
        <is>
          <t>Staff</t>
        </is>
      </c>
      <c r="O85" s="22" t="inlineStr">
        <is>
          <t>No</t>
        </is>
      </c>
      <c r="P85" s="22" t="inlineStr">
        <is>
          <t>HRIS / KS-DL-1.2</t>
        </is>
      </c>
    </row>
    <row r="86">
      <c r="A86" s="22" t="inlineStr">
        <is>
          <t>E0083</t>
        </is>
      </c>
      <c r="B86" s="22" t="inlineStr">
        <is>
          <t>Richmond</t>
        </is>
      </c>
      <c r="C86" s="22" t="inlineStr">
        <is>
          <t>Midwest</t>
        </is>
      </c>
      <c r="D86" s="22" t="inlineStr">
        <is>
          <t>Technical</t>
        </is>
      </c>
      <c r="E86" s="22" t="inlineStr">
        <is>
          <t>Permitting &amp; Advisory</t>
        </is>
      </c>
      <c r="F86" s="22" t="inlineStr">
        <is>
          <t>Yes</t>
        </is>
      </c>
      <c r="G86" s="234" t="n">
        <v>121</v>
      </c>
      <c r="H86" s="225" t="n">
        <v>0.05</v>
      </c>
      <c r="I86" s="225" t="n">
        <v>0.66</v>
      </c>
      <c r="J86" s="225" t="n">
        <v>0.62</v>
      </c>
      <c r="K86" s="226" t="n">
        <v>44531</v>
      </c>
      <c r="L86" s="22" t="inlineStr">
        <is>
          <t>Meridian</t>
        </is>
      </c>
      <c r="M86" s="22" t="inlineStr">
        <is>
          <t>Active</t>
        </is>
      </c>
      <c r="N86" s="22" t="inlineStr">
        <is>
          <t>Staff</t>
        </is>
      </c>
      <c r="O86" s="22" t="inlineStr">
        <is>
          <t>No</t>
        </is>
      </c>
      <c r="P86" s="22" t="inlineStr">
        <is>
          <t>HRIS / KS-DL-1.2</t>
        </is>
      </c>
    </row>
    <row r="87">
      <c r="A87" s="22" t="inlineStr">
        <is>
          <t>E0084</t>
        </is>
      </c>
      <c r="B87" s="22" t="inlineStr">
        <is>
          <t>Indianapolis</t>
        </is>
      </c>
      <c r="C87" s="22" t="inlineStr">
        <is>
          <t>Southeast</t>
        </is>
      </c>
      <c r="D87" s="22" t="inlineStr">
        <is>
          <t>Project Management</t>
        </is>
      </c>
      <c r="E87" s="22" t="inlineStr">
        <is>
          <t>EHS Compliance</t>
        </is>
      </c>
      <c r="F87" s="22" t="inlineStr">
        <is>
          <t>Yes</t>
        </is>
      </c>
      <c r="G87" s="234" t="n">
        <v>138</v>
      </c>
      <c r="H87" s="225" t="n">
        <v>0.05</v>
      </c>
      <c r="I87" s="225" t="n">
        <v>0.73</v>
      </c>
      <c r="J87" s="225" t="n">
        <v>0.6899999999999999</v>
      </c>
      <c r="K87" s="226" t="n">
        <v>44562</v>
      </c>
      <c r="L87" s="22" t="inlineStr">
        <is>
          <t>Summit</t>
        </is>
      </c>
      <c r="M87" s="22" t="inlineStr">
        <is>
          <t>Active</t>
        </is>
      </c>
      <c r="N87" s="22" t="inlineStr">
        <is>
          <t>Manager</t>
        </is>
      </c>
      <c r="O87" s="22" t="inlineStr">
        <is>
          <t>No</t>
        </is>
      </c>
      <c r="P87" s="22" t="inlineStr">
        <is>
          <t>HRIS / KS-DL-1.2</t>
        </is>
      </c>
    </row>
    <row r="88">
      <c r="A88" s="22" t="inlineStr">
        <is>
          <t>E0085</t>
        </is>
      </c>
      <c r="B88" s="22" t="inlineStr">
        <is>
          <t>Chicago</t>
        </is>
      </c>
      <c r="C88" s="22" t="inlineStr">
        <is>
          <t>Midwest</t>
        </is>
      </c>
      <c r="D88" s="22" t="inlineStr">
        <is>
          <t>Corporate</t>
        </is>
      </c>
      <c r="E88" s="22" t="inlineStr">
        <is>
          <t>Industrial Hygiene</t>
        </is>
      </c>
      <c r="F88" s="22" t="inlineStr">
        <is>
          <t>No</t>
        </is>
      </c>
      <c r="G88" s="234" t="n">
        <v>75</v>
      </c>
      <c r="H88" s="225" t="n">
        <v>0.15</v>
      </c>
      <c r="I88" s="225" t="n">
        <v>0</v>
      </c>
      <c r="J88" s="225" t="n">
        <v>0</v>
      </c>
      <c r="K88" s="226" t="n">
        <v>44958</v>
      </c>
      <c r="L88" s="22" t="inlineStr">
        <is>
          <t>Legacy Alderstone</t>
        </is>
      </c>
      <c r="M88" s="22" t="inlineStr">
        <is>
          <t>Active</t>
        </is>
      </c>
      <c r="N88" s="22" t="inlineStr">
        <is>
          <t>Staff</t>
        </is>
      </c>
      <c r="O88" s="22" t="inlineStr">
        <is>
          <t>No</t>
        </is>
      </c>
      <c r="P88" s="22" t="inlineStr">
        <is>
          <t>HRIS / KS-DL-1.2</t>
        </is>
      </c>
    </row>
    <row r="89">
      <c r="A89" s="22" t="inlineStr">
        <is>
          <t>E0086</t>
        </is>
      </c>
      <c r="B89" s="22" t="inlineStr">
        <is>
          <t>Detroit</t>
        </is>
      </c>
      <c r="C89" s="22" t="inlineStr">
        <is>
          <t>Midwest</t>
        </is>
      </c>
      <c r="D89" s="22" t="inlineStr">
        <is>
          <t>Sales</t>
        </is>
      </c>
      <c r="E89" s="22" t="inlineStr">
        <is>
          <t>Field Inspection</t>
        </is>
      </c>
      <c r="F89" s="22" t="inlineStr">
        <is>
          <t>No</t>
        </is>
      </c>
      <c r="G89" s="234" t="n">
        <v>88</v>
      </c>
      <c r="H89" s="225" t="n">
        <v>0.15</v>
      </c>
      <c r="I89" s="225" t="n">
        <v>0</v>
      </c>
      <c r="J89" s="225" t="n">
        <v>0</v>
      </c>
      <c r="K89" s="226" t="n">
        <v>45352</v>
      </c>
      <c r="L89" s="22" t="inlineStr">
        <is>
          <t>Northstar</t>
        </is>
      </c>
      <c r="M89" s="22" t="inlineStr">
        <is>
          <t>Active</t>
        </is>
      </c>
      <c r="N89" s="22" t="inlineStr">
        <is>
          <t>Staff</t>
        </is>
      </c>
      <c r="O89" s="22" t="inlineStr">
        <is>
          <t>No</t>
        </is>
      </c>
      <c r="P89" s="22" t="inlineStr">
        <is>
          <t>HRIS / KS-DL-1.2</t>
        </is>
      </c>
    </row>
    <row r="90">
      <c r="A90" s="22" t="inlineStr">
        <is>
          <t>E0087</t>
        </is>
      </c>
      <c r="B90" s="22" t="inlineStr">
        <is>
          <t>Louisville</t>
        </is>
      </c>
      <c r="C90" s="22" t="inlineStr">
        <is>
          <t>Southeast</t>
        </is>
      </c>
      <c r="D90" s="22" t="inlineStr">
        <is>
          <t>Finance</t>
        </is>
      </c>
      <c r="E90" s="22" t="inlineStr">
        <is>
          <t>Permitting &amp; Advisory</t>
        </is>
      </c>
      <c r="F90" s="22" t="inlineStr">
        <is>
          <t>No</t>
        </is>
      </c>
      <c r="G90" s="234" t="n">
        <v>101</v>
      </c>
      <c r="H90" s="225" t="n">
        <v>0.15</v>
      </c>
      <c r="I90" s="225" t="n">
        <v>0</v>
      </c>
      <c r="J90" s="225" t="n">
        <v>0</v>
      </c>
      <c r="K90" s="226" t="n">
        <v>45748</v>
      </c>
      <c r="L90" s="22" t="inlineStr">
        <is>
          <t>Delta</t>
        </is>
      </c>
      <c r="M90" s="22" t="inlineStr">
        <is>
          <t>Active</t>
        </is>
      </c>
      <c r="N90" s="22" t="inlineStr">
        <is>
          <t>Staff</t>
        </is>
      </c>
      <c r="O90" s="22" t="inlineStr">
        <is>
          <t>Yes</t>
        </is>
      </c>
      <c r="P90" s="22" t="inlineStr">
        <is>
          <t>HRIS / KS-DL-1.2</t>
        </is>
      </c>
    </row>
    <row r="91">
      <c r="A91" s="22" t="inlineStr">
        <is>
          <t>E0088</t>
        </is>
      </c>
      <c r="B91" s="22" t="inlineStr">
        <is>
          <t>Nashville</t>
        </is>
      </c>
      <c r="C91" s="22" t="inlineStr">
        <is>
          <t>Midwest</t>
        </is>
      </c>
      <c r="D91" s="22" t="inlineStr">
        <is>
          <t>HR</t>
        </is>
      </c>
      <c r="E91" s="22" t="inlineStr">
        <is>
          <t>EHS Compliance</t>
        </is>
      </c>
      <c r="F91" s="22" t="inlineStr">
        <is>
          <t>No</t>
        </is>
      </c>
      <c r="G91" s="234" t="n">
        <v>114</v>
      </c>
      <c r="H91" s="225" t="n">
        <v>0.15</v>
      </c>
      <c r="I91" s="225" t="n">
        <v>0</v>
      </c>
      <c r="J91" s="225" t="n">
        <v>0</v>
      </c>
      <c r="K91" s="226" t="n">
        <v>42125</v>
      </c>
      <c r="L91" s="22" t="inlineStr">
        <is>
          <t>Meridian</t>
        </is>
      </c>
      <c r="M91" s="22" t="inlineStr">
        <is>
          <t>Active</t>
        </is>
      </c>
      <c r="N91" s="22" t="inlineStr">
        <is>
          <t>Staff</t>
        </is>
      </c>
      <c r="O91" s="22" t="inlineStr">
        <is>
          <t>No</t>
        </is>
      </c>
      <c r="P91" s="22" t="inlineStr">
        <is>
          <t>HRIS / KS-DL-1.2</t>
        </is>
      </c>
    </row>
    <row r="92">
      <c r="A92" s="22" t="inlineStr">
        <is>
          <t>E0089</t>
        </is>
      </c>
      <c r="B92" s="22" t="inlineStr">
        <is>
          <t>Raleigh</t>
        </is>
      </c>
      <c r="C92" s="22" t="inlineStr">
        <is>
          <t>Midwest</t>
        </is>
      </c>
      <c r="D92" s="22" t="inlineStr">
        <is>
          <t>IT</t>
        </is>
      </c>
      <c r="E92" s="22" t="inlineStr">
        <is>
          <t>Industrial Hygiene</t>
        </is>
      </c>
      <c r="F92" s="22" t="inlineStr">
        <is>
          <t>No</t>
        </is>
      </c>
      <c r="G92" s="234" t="n">
        <v>127</v>
      </c>
      <c r="H92" s="225" t="n">
        <v>0.15</v>
      </c>
      <c r="I92" s="225" t="n">
        <v>0</v>
      </c>
      <c r="J92" s="225" t="n">
        <v>0</v>
      </c>
      <c r="K92" s="226" t="n">
        <v>42522</v>
      </c>
      <c r="L92" s="22" t="inlineStr">
        <is>
          <t>Summit</t>
        </is>
      </c>
      <c r="M92" s="22" t="inlineStr">
        <is>
          <t>Active</t>
        </is>
      </c>
      <c r="N92" s="22" t="inlineStr">
        <is>
          <t>Staff</t>
        </is>
      </c>
      <c r="O92" s="22" t="inlineStr">
        <is>
          <t>No</t>
        </is>
      </c>
      <c r="P92" s="22" t="inlineStr">
        <is>
          <t>HRIS / KS-DL-1.2</t>
        </is>
      </c>
    </row>
    <row r="93">
      <c r="A93" s="22" t="inlineStr">
        <is>
          <t>E0090</t>
        </is>
      </c>
      <c r="B93" s="22" t="inlineStr">
        <is>
          <t>Charlotte</t>
        </is>
      </c>
      <c r="C93" s="22" t="inlineStr">
        <is>
          <t>Southeast</t>
        </is>
      </c>
      <c r="D93" s="22" t="inlineStr">
        <is>
          <t>Technical</t>
        </is>
      </c>
      <c r="E93" s="22" t="inlineStr">
        <is>
          <t>Field Inspection</t>
        </is>
      </c>
      <c r="F93" s="22" t="inlineStr">
        <is>
          <t>Yes</t>
        </is>
      </c>
      <c r="G93" s="234" t="n">
        <v>60</v>
      </c>
      <c r="H93" s="225" t="n">
        <v>0.05</v>
      </c>
      <c r="I93" s="225" t="n">
        <v>0.55</v>
      </c>
      <c r="J93" s="225" t="n">
        <v>0.51</v>
      </c>
      <c r="K93" s="226" t="n">
        <v>42917</v>
      </c>
      <c r="L93" s="22" t="inlineStr">
        <is>
          <t>Legacy Alderstone</t>
        </is>
      </c>
      <c r="M93" s="22" t="inlineStr">
        <is>
          <t>Active</t>
        </is>
      </c>
      <c r="N93" s="22" t="inlineStr">
        <is>
          <t>Staff</t>
        </is>
      </c>
      <c r="O93" s="22" t="inlineStr">
        <is>
          <t>No</t>
        </is>
      </c>
      <c r="P93" s="22" t="inlineStr">
        <is>
          <t>HRIS / KS-DL-1.2</t>
        </is>
      </c>
    </row>
    <row r="94">
      <c r="A94" s="22" t="inlineStr">
        <is>
          <t>E0091</t>
        </is>
      </c>
      <c r="B94" s="22" t="inlineStr">
        <is>
          <t>Cincinnati</t>
        </is>
      </c>
      <c r="C94" s="22" t="inlineStr">
        <is>
          <t>Midwest</t>
        </is>
      </c>
      <c r="D94" s="22" t="inlineStr">
        <is>
          <t>Technical</t>
        </is>
      </c>
      <c r="E94" s="22" t="inlineStr">
        <is>
          <t>Permitting &amp; Advisory</t>
        </is>
      </c>
      <c r="F94" s="22" t="inlineStr">
        <is>
          <t>Yes</t>
        </is>
      </c>
      <c r="G94" s="234" t="n">
        <v>77</v>
      </c>
      <c r="H94" s="225" t="n">
        <v>0.05</v>
      </c>
      <c r="I94" s="225" t="n">
        <v>0.6200000000000001</v>
      </c>
      <c r="J94" s="225" t="n">
        <v>0.5800000000000001</v>
      </c>
      <c r="K94" s="226" t="n">
        <v>43313</v>
      </c>
      <c r="L94" s="22" t="inlineStr">
        <is>
          <t>Northstar</t>
        </is>
      </c>
      <c r="M94" s="22" t="inlineStr">
        <is>
          <t>Active</t>
        </is>
      </c>
      <c r="N94" s="22" t="inlineStr">
        <is>
          <t>Staff</t>
        </is>
      </c>
      <c r="O94" s="22" t="inlineStr">
        <is>
          <t>No</t>
        </is>
      </c>
      <c r="P94" s="22" t="inlineStr">
        <is>
          <t>HRIS / KS-DL-1.2</t>
        </is>
      </c>
    </row>
    <row r="95">
      <c r="A95" s="22" t="inlineStr">
        <is>
          <t>E0092</t>
        </is>
      </c>
      <c r="B95" s="22" t="inlineStr">
        <is>
          <t>Columbus</t>
        </is>
      </c>
      <c r="C95" s="22" t="inlineStr">
        <is>
          <t>Midwest</t>
        </is>
      </c>
      <c r="D95" s="22" t="inlineStr">
        <is>
          <t>Technical</t>
        </is>
      </c>
      <c r="E95" s="22" t="inlineStr">
        <is>
          <t>EHS Compliance</t>
        </is>
      </c>
      <c r="F95" s="22" t="inlineStr">
        <is>
          <t>Yes</t>
        </is>
      </c>
      <c r="G95" s="234" t="n">
        <v>94</v>
      </c>
      <c r="H95" s="225" t="n">
        <v>0.05</v>
      </c>
      <c r="I95" s="225" t="n">
        <v>0.6900000000000001</v>
      </c>
      <c r="J95" s="225" t="n">
        <v>0.65</v>
      </c>
      <c r="K95" s="226" t="n">
        <v>43709</v>
      </c>
      <c r="L95" s="22" t="inlineStr">
        <is>
          <t>Delta</t>
        </is>
      </c>
      <c r="M95" s="22" t="inlineStr">
        <is>
          <t>Active</t>
        </is>
      </c>
      <c r="N95" s="22" t="inlineStr">
        <is>
          <t>Staff</t>
        </is>
      </c>
      <c r="O95" s="22" t="inlineStr">
        <is>
          <t>No</t>
        </is>
      </c>
      <c r="P95" s="22" t="inlineStr">
        <is>
          <t>HRIS / KS-DL-1.2</t>
        </is>
      </c>
    </row>
    <row r="96">
      <c r="A96" s="22" t="inlineStr">
        <is>
          <t>E0093</t>
        </is>
      </c>
      <c r="B96" s="22" t="inlineStr">
        <is>
          <t>Knoxville</t>
        </is>
      </c>
      <c r="C96" s="22" t="inlineStr">
        <is>
          <t>Southeast</t>
        </is>
      </c>
      <c r="D96" s="22" t="inlineStr">
        <is>
          <t>Technical</t>
        </is>
      </c>
      <c r="E96" s="22" t="inlineStr">
        <is>
          <t>Industrial Hygiene</t>
        </is>
      </c>
      <c r="F96" s="22" t="inlineStr">
        <is>
          <t>Yes</t>
        </is>
      </c>
      <c r="G96" s="234" t="n">
        <v>111</v>
      </c>
      <c r="H96" s="225" t="n">
        <v>0.05</v>
      </c>
      <c r="I96" s="225" t="n">
        <v>0.76</v>
      </c>
      <c r="J96" s="225" t="n">
        <v>0.72</v>
      </c>
      <c r="K96" s="226" t="n">
        <v>44105</v>
      </c>
      <c r="L96" s="22" t="inlineStr">
        <is>
          <t>Meridian</t>
        </is>
      </c>
      <c r="M96" s="22" t="inlineStr">
        <is>
          <t>Active</t>
        </is>
      </c>
      <c r="N96" s="22" t="inlineStr">
        <is>
          <t>Staff</t>
        </is>
      </c>
      <c r="O96" s="22" t="inlineStr">
        <is>
          <t>No</t>
        </is>
      </c>
      <c r="P96" s="22" t="inlineStr">
        <is>
          <t>HRIS / KS-DL-1.2</t>
        </is>
      </c>
    </row>
    <row r="97">
      <c r="A97" s="22" t="inlineStr">
        <is>
          <t>E0094</t>
        </is>
      </c>
      <c r="B97" s="22" t="inlineStr">
        <is>
          <t>Greenville</t>
        </is>
      </c>
      <c r="C97" s="22" t="inlineStr">
        <is>
          <t>Midwest</t>
        </is>
      </c>
      <c r="D97" s="22" t="inlineStr">
        <is>
          <t>Project Management</t>
        </is>
      </c>
      <c r="E97" s="22" t="inlineStr">
        <is>
          <t>Field Inspection</t>
        </is>
      </c>
      <c r="F97" s="22" t="inlineStr">
        <is>
          <t>Yes</t>
        </is>
      </c>
      <c r="G97" s="234" t="n">
        <v>128</v>
      </c>
      <c r="H97" s="225" t="n">
        <v>0.05</v>
      </c>
      <c r="I97" s="225" t="n">
        <v>0.8300000000000001</v>
      </c>
      <c r="J97" s="225" t="n">
        <v>0.79</v>
      </c>
      <c r="K97" s="226" t="n">
        <v>44501</v>
      </c>
      <c r="L97" s="22" t="inlineStr">
        <is>
          <t>Summit</t>
        </is>
      </c>
      <c r="M97" s="22" t="inlineStr">
        <is>
          <t>Active</t>
        </is>
      </c>
      <c r="N97" s="22" t="inlineStr">
        <is>
          <t>Staff</t>
        </is>
      </c>
      <c r="O97" s="22" t="inlineStr">
        <is>
          <t>No</t>
        </is>
      </c>
      <c r="P97" s="22" t="inlineStr">
        <is>
          <t>HRIS / KS-DL-1.2</t>
        </is>
      </c>
    </row>
    <row r="98">
      <c r="A98" s="22" t="inlineStr">
        <is>
          <t>E0095</t>
        </is>
      </c>
      <c r="B98" s="22" t="inlineStr">
        <is>
          <t>Milwaukee</t>
        </is>
      </c>
      <c r="C98" s="22" t="inlineStr">
        <is>
          <t>Midwest</t>
        </is>
      </c>
      <c r="D98" s="22" t="inlineStr">
        <is>
          <t>Corporate</t>
        </is>
      </c>
      <c r="E98" s="22" t="inlineStr">
        <is>
          <t>Permitting &amp; Advisory</t>
        </is>
      </c>
      <c r="F98" s="22" t="inlineStr">
        <is>
          <t>No</t>
        </is>
      </c>
      <c r="G98" s="234" t="n">
        <v>95</v>
      </c>
      <c r="H98" s="225" t="n">
        <v>0.15</v>
      </c>
      <c r="I98" s="225" t="n">
        <v>0</v>
      </c>
      <c r="J98" s="225" t="n">
        <v>0</v>
      </c>
      <c r="K98" s="226" t="n">
        <v>44896</v>
      </c>
      <c r="L98" s="22" t="inlineStr">
        <is>
          <t>Legacy Alderstone</t>
        </is>
      </c>
      <c r="M98" s="22" t="inlineStr">
        <is>
          <t>Active</t>
        </is>
      </c>
      <c r="N98" s="22" t="inlineStr">
        <is>
          <t>Staff</t>
        </is>
      </c>
      <c r="O98" s="22" t="inlineStr">
        <is>
          <t>No</t>
        </is>
      </c>
      <c r="P98" s="22" t="inlineStr">
        <is>
          <t>HRIS / KS-DL-1.2</t>
        </is>
      </c>
    </row>
    <row r="99">
      <c r="A99" s="22" t="inlineStr">
        <is>
          <t>E0096</t>
        </is>
      </c>
      <c r="B99" s="22" t="inlineStr">
        <is>
          <t>St. Louis</t>
        </is>
      </c>
      <c r="C99" s="22" t="inlineStr">
        <is>
          <t>Southeast</t>
        </is>
      </c>
      <c r="D99" s="22" t="inlineStr">
        <is>
          <t>Sales</t>
        </is>
      </c>
      <c r="E99" s="22" t="inlineStr">
        <is>
          <t>EHS Compliance</t>
        </is>
      </c>
      <c r="F99" s="22" t="inlineStr">
        <is>
          <t>No</t>
        </is>
      </c>
      <c r="G99" s="234" t="n">
        <v>108</v>
      </c>
      <c r="H99" s="225" t="n">
        <v>0.15</v>
      </c>
      <c r="I99" s="225" t="n">
        <v>0</v>
      </c>
      <c r="J99" s="225" t="n">
        <v>0</v>
      </c>
      <c r="K99" s="226" t="n">
        <v>44927</v>
      </c>
      <c r="L99" s="22" t="inlineStr">
        <is>
          <t>Northstar</t>
        </is>
      </c>
      <c r="M99" s="22" t="inlineStr">
        <is>
          <t>Active</t>
        </is>
      </c>
      <c r="N99" s="22" t="inlineStr">
        <is>
          <t>Manager</t>
        </is>
      </c>
      <c r="O99" s="22" t="inlineStr">
        <is>
          <t>No</t>
        </is>
      </c>
      <c r="P99" s="22" t="inlineStr">
        <is>
          <t>HRIS / KS-DL-1.2</t>
        </is>
      </c>
    </row>
    <row r="100">
      <c r="A100" s="22" t="inlineStr">
        <is>
          <t>E0097</t>
        </is>
      </c>
      <c r="B100" s="22" t="inlineStr">
        <is>
          <t>Richmond</t>
        </is>
      </c>
      <c r="C100" s="22" t="inlineStr">
        <is>
          <t>Midwest</t>
        </is>
      </c>
      <c r="D100" s="22" t="inlineStr">
        <is>
          <t>Finance</t>
        </is>
      </c>
      <c r="E100" s="22" t="inlineStr">
        <is>
          <t>Industrial Hygiene</t>
        </is>
      </c>
      <c r="F100" s="22" t="inlineStr">
        <is>
          <t>No</t>
        </is>
      </c>
      <c r="G100" s="234" t="n">
        <v>121</v>
      </c>
      <c r="H100" s="225" t="n">
        <v>0.15</v>
      </c>
      <c r="I100" s="225" t="n">
        <v>0</v>
      </c>
      <c r="J100" s="225" t="n">
        <v>0</v>
      </c>
      <c r="K100" s="226" t="n">
        <v>45323</v>
      </c>
      <c r="L100" s="22" t="inlineStr">
        <is>
          <t>Delta</t>
        </is>
      </c>
      <c r="M100" s="22" t="inlineStr">
        <is>
          <t>Active</t>
        </is>
      </c>
      <c r="N100" s="22" t="inlineStr">
        <is>
          <t>Staff</t>
        </is>
      </c>
      <c r="O100" s="22" t="inlineStr">
        <is>
          <t>No</t>
        </is>
      </c>
      <c r="P100" s="22" t="inlineStr">
        <is>
          <t>HRIS / KS-DL-1.2</t>
        </is>
      </c>
    </row>
    <row r="101">
      <c r="A101" s="22" t="inlineStr">
        <is>
          <t>E0098</t>
        </is>
      </c>
      <c r="B101" s="22" t="inlineStr">
        <is>
          <t>Indianapolis</t>
        </is>
      </c>
      <c r="C101" s="22" t="inlineStr">
        <is>
          <t>Midwest</t>
        </is>
      </c>
      <c r="D101" s="22" t="inlineStr">
        <is>
          <t>HR</t>
        </is>
      </c>
      <c r="E101" s="22" t="inlineStr">
        <is>
          <t>Field Inspection</t>
        </is>
      </c>
      <c r="F101" s="22" t="inlineStr">
        <is>
          <t>No</t>
        </is>
      </c>
      <c r="G101" s="234" t="n">
        <v>134</v>
      </c>
      <c r="H101" s="225" t="n">
        <v>0.15</v>
      </c>
      <c r="I101" s="225" t="n">
        <v>0</v>
      </c>
      <c r="J101" s="225" t="n">
        <v>0</v>
      </c>
      <c r="K101" s="226" t="n">
        <v>45717</v>
      </c>
      <c r="L101" s="22" t="inlineStr">
        <is>
          <t>Meridian</t>
        </is>
      </c>
      <c r="M101" s="22" t="inlineStr">
        <is>
          <t>Active</t>
        </is>
      </c>
      <c r="N101" s="22" t="inlineStr">
        <is>
          <t>Staff</t>
        </is>
      </c>
      <c r="O101" s="22" t="inlineStr">
        <is>
          <t>No</t>
        </is>
      </c>
      <c r="P101" s="22" t="inlineStr">
        <is>
          <t>HRIS / KS-DL-1.2</t>
        </is>
      </c>
    </row>
    <row r="102">
      <c r="A102" s="22" t="inlineStr">
        <is>
          <t>E0099</t>
        </is>
      </c>
      <c r="B102" s="22" t="inlineStr">
        <is>
          <t>Chicago</t>
        </is>
      </c>
      <c r="C102" s="22" t="inlineStr">
        <is>
          <t>Southeast</t>
        </is>
      </c>
      <c r="D102" s="22" t="inlineStr">
        <is>
          <t>IT</t>
        </is>
      </c>
      <c r="E102" s="22" t="inlineStr">
        <is>
          <t>Permitting &amp; Advisory</t>
        </is>
      </c>
      <c r="F102" s="22" t="inlineStr">
        <is>
          <t>No</t>
        </is>
      </c>
      <c r="G102" s="234" t="n">
        <v>147</v>
      </c>
      <c r="H102" s="225" t="n">
        <v>0.15</v>
      </c>
      <c r="I102" s="225" t="n">
        <v>0</v>
      </c>
      <c r="J102" s="225" t="n">
        <v>0</v>
      </c>
      <c r="K102" s="226" t="n">
        <v>42095</v>
      </c>
      <c r="L102" s="22" t="inlineStr">
        <is>
          <t>Summit</t>
        </is>
      </c>
      <c r="M102" s="22" t="inlineStr">
        <is>
          <t>Active</t>
        </is>
      </c>
      <c r="N102" s="22" t="inlineStr">
        <is>
          <t>Staff</t>
        </is>
      </c>
      <c r="O102" s="22" t="inlineStr">
        <is>
          <t>No</t>
        </is>
      </c>
      <c r="P102" s="22" t="inlineStr">
        <is>
          <t>HRIS / KS-DL-1.2</t>
        </is>
      </c>
    </row>
    <row r="103">
      <c r="A103" s="22" t="inlineStr">
        <is>
          <t>E0100</t>
        </is>
      </c>
      <c r="B103" s="22" t="inlineStr">
        <is>
          <t>Detroit</t>
        </is>
      </c>
      <c r="C103" s="22" t="inlineStr">
        <is>
          <t>Midwest</t>
        </is>
      </c>
      <c r="D103" s="22" t="inlineStr">
        <is>
          <t>Technical</t>
        </is>
      </c>
      <c r="E103" s="22" t="inlineStr">
        <is>
          <t>EHS Compliance</t>
        </is>
      </c>
      <c r="F103" s="22" t="inlineStr">
        <is>
          <t>Yes</t>
        </is>
      </c>
      <c r="G103" s="234" t="n">
        <v>140</v>
      </c>
      <c r="H103" s="225" t="n">
        <v>0.05</v>
      </c>
      <c r="I103" s="225" t="n">
        <v>0.65</v>
      </c>
      <c r="J103" s="225" t="n">
        <v>0.61</v>
      </c>
      <c r="K103" s="226" t="n">
        <v>42491</v>
      </c>
      <c r="L103" s="22" t="inlineStr">
        <is>
          <t>Legacy Alderstone</t>
        </is>
      </c>
      <c r="M103" s="22" t="inlineStr">
        <is>
          <t>Active</t>
        </is>
      </c>
      <c r="N103" s="22" t="inlineStr">
        <is>
          <t>Staff</t>
        </is>
      </c>
      <c r="O103" s="22" t="inlineStr">
        <is>
          <t>No</t>
        </is>
      </c>
      <c r="P103" s="22" t="inlineStr">
        <is>
          <t>HRIS / KS-DL-1.2</t>
        </is>
      </c>
    </row>
    <row r="104">
      <c r="A104" s="22" t="inlineStr">
        <is>
          <t>E0101</t>
        </is>
      </c>
      <c r="B104" s="22" t="inlineStr">
        <is>
          <t>Louisville</t>
        </is>
      </c>
      <c r="C104" s="22" t="inlineStr">
        <is>
          <t>Midwest</t>
        </is>
      </c>
      <c r="D104" s="22" t="inlineStr">
        <is>
          <t>Technical</t>
        </is>
      </c>
      <c r="E104" s="22" t="inlineStr">
        <is>
          <t>Industrial Hygiene</t>
        </is>
      </c>
      <c r="F104" s="22" t="inlineStr">
        <is>
          <t>Yes</t>
        </is>
      </c>
      <c r="G104" s="234" t="n">
        <v>67</v>
      </c>
      <c r="H104" s="225" t="n">
        <v>0.05</v>
      </c>
      <c r="I104" s="225" t="n">
        <v>0.7200000000000001</v>
      </c>
      <c r="J104" s="225" t="n">
        <v>0.68</v>
      </c>
      <c r="K104" s="226" t="n">
        <v>42887</v>
      </c>
      <c r="L104" s="22" t="inlineStr">
        <is>
          <t>Northstar</t>
        </is>
      </c>
      <c r="M104" s="22" t="inlineStr">
        <is>
          <t>Active</t>
        </is>
      </c>
      <c r="N104" s="22" t="inlineStr">
        <is>
          <t>Staff</t>
        </is>
      </c>
      <c r="O104" s="22" t="inlineStr">
        <is>
          <t>No</t>
        </is>
      </c>
      <c r="P104" s="22" t="inlineStr">
        <is>
          <t>HRIS / KS-DL-1.2</t>
        </is>
      </c>
    </row>
    <row r="105">
      <c r="A105" s="22" t="inlineStr">
        <is>
          <t>E0102</t>
        </is>
      </c>
      <c r="B105" s="22" t="inlineStr">
        <is>
          <t>Nashville</t>
        </is>
      </c>
      <c r="C105" s="22" t="inlineStr">
        <is>
          <t>Southeast</t>
        </is>
      </c>
      <c r="D105" s="22" t="inlineStr">
        <is>
          <t>Technical</t>
        </is>
      </c>
      <c r="E105" s="22" t="inlineStr">
        <is>
          <t>Field Inspection</t>
        </is>
      </c>
      <c r="F105" s="22" t="inlineStr">
        <is>
          <t>Yes</t>
        </is>
      </c>
      <c r="G105" s="234" t="n">
        <v>84</v>
      </c>
      <c r="H105" s="225" t="n">
        <v>0.05</v>
      </c>
      <c r="I105" s="225" t="n">
        <v>0.79</v>
      </c>
      <c r="J105" s="225" t="n">
        <v>0.75</v>
      </c>
      <c r="K105" s="226" t="n">
        <v>43282</v>
      </c>
      <c r="L105" s="22" t="inlineStr">
        <is>
          <t>Delta</t>
        </is>
      </c>
      <c r="M105" s="22" t="inlineStr">
        <is>
          <t>Active</t>
        </is>
      </c>
      <c r="N105" s="22" t="inlineStr">
        <is>
          <t>Staff</t>
        </is>
      </c>
      <c r="O105" s="22" t="inlineStr">
        <is>
          <t>No</t>
        </is>
      </c>
      <c r="P105" s="22" t="inlineStr">
        <is>
          <t>HRIS / KS-DL-1.2</t>
        </is>
      </c>
    </row>
    <row r="106">
      <c r="A106" s="22" t="inlineStr">
        <is>
          <t>E0103</t>
        </is>
      </c>
      <c r="B106" s="22" t="inlineStr">
        <is>
          <t>Raleigh</t>
        </is>
      </c>
      <c r="C106" s="22" t="inlineStr">
        <is>
          <t>Midwest</t>
        </is>
      </c>
      <c r="D106" s="22" t="inlineStr">
        <is>
          <t>Technical</t>
        </is>
      </c>
      <c r="E106" s="22" t="inlineStr">
        <is>
          <t>Permitting &amp; Advisory</t>
        </is>
      </c>
      <c r="F106" s="22" t="inlineStr">
        <is>
          <t>Yes</t>
        </is>
      </c>
      <c r="G106" s="234" t="n">
        <v>101</v>
      </c>
      <c r="H106" s="225" t="n">
        <v>0.05</v>
      </c>
      <c r="I106" s="225" t="n">
        <v>0.5600000000000001</v>
      </c>
      <c r="J106" s="225" t="n">
        <v>0.52</v>
      </c>
      <c r="K106" s="226" t="n">
        <v>43678</v>
      </c>
      <c r="L106" s="22" t="inlineStr">
        <is>
          <t>Meridian</t>
        </is>
      </c>
      <c r="M106" s="22" t="inlineStr">
        <is>
          <t>Active</t>
        </is>
      </c>
      <c r="N106" s="22" t="inlineStr">
        <is>
          <t>Staff</t>
        </is>
      </c>
      <c r="O106" s="22" t="inlineStr">
        <is>
          <t>No</t>
        </is>
      </c>
      <c r="P106" s="22" t="inlineStr">
        <is>
          <t>HRIS / KS-DL-1.2</t>
        </is>
      </c>
    </row>
    <row r="107">
      <c r="A107" s="22" t="inlineStr">
        <is>
          <t>E0104</t>
        </is>
      </c>
      <c r="B107" s="22" t="inlineStr">
        <is>
          <t>Charlotte</t>
        </is>
      </c>
      <c r="C107" s="22" t="inlineStr">
        <is>
          <t>Midwest</t>
        </is>
      </c>
      <c r="D107" s="22" t="inlineStr">
        <is>
          <t>Project Management</t>
        </is>
      </c>
      <c r="E107" s="22" t="inlineStr">
        <is>
          <t>EHS Compliance</t>
        </is>
      </c>
      <c r="F107" s="22" t="inlineStr">
        <is>
          <t>Yes</t>
        </is>
      </c>
      <c r="G107" s="234" t="n">
        <v>118</v>
      </c>
      <c r="H107" s="225" t="n">
        <v>0.05</v>
      </c>
      <c r="I107" s="225" t="n">
        <v>0.63</v>
      </c>
      <c r="J107" s="225" t="n">
        <v>0.59</v>
      </c>
      <c r="K107" s="226" t="n">
        <v>44075</v>
      </c>
      <c r="L107" s="22" t="inlineStr">
        <is>
          <t>Summit</t>
        </is>
      </c>
      <c r="M107" s="22" t="inlineStr">
        <is>
          <t>Active</t>
        </is>
      </c>
      <c r="N107" s="22" t="inlineStr">
        <is>
          <t>Staff</t>
        </is>
      </c>
      <c r="O107" s="22" t="inlineStr">
        <is>
          <t>No</t>
        </is>
      </c>
      <c r="P107" s="22" t="inlineStr">
        <is>
          <t>HRIS / KS-DL-1.2</t>
        </is>
      </c>
    </row>
    <row r="108">
      <c r="A108" s="22" t="inlineStr">
        <is>
          <t>E0105</t>
        </is>
      </c>
      <c r="B108" s="22" t="inlineStr">
        <is>
          <t>Cincinnati</t>
        </is>
      </c>
      <c r="C108" s="22" t="inlineStr">
        <is>
          <t>Southeast</t>
        </is>
      </c>
      <c r="D108" s="22" t="inlineStr">
        <is>
          <t>Corporate</t>
        </is>
      </c>
      <c r="E108" s="22" t="inlineStr">
        <is>
          <t>Industrial Hygiene</t>
        </is>
      </c>
      <c r="F108" s="22" t="inlineStr">
        <is>
          <t>No</t>
        </is>
      </c>
      <c r="G108" s="234" t="n">
        <v>115</v>
      </c>
      <c r="H108" s="225" t="n">
        <v>0.15</v>
      </c>
      <c r="I108" s="225" t="n">
        <v>0</v>
      </c>
      <c r="J108" s="225" t="n">
        <v>0</v>
      </c>
      <c r="K108" s="226" t="n">
        <v>44470</v>
      </c>
      <c r="L108" s="22" t="inlineStr">
        <is>
          <t>Legacy Alderstone</t>
        </is>
      </c>
      <c r="M108" s="22" t="inlineStr">
        <is>
          <t>Active</t>
        </is>
      </c>
      <c r="N108" s="22" t="inlineStr">
        <is>
          <t>Staff</t>
        </is>
      </c>
      <c r="O108" s="22" t="inlineStr">
        <is>
          <t>No</t>
        </is>
      </c>
      <c r="P108" s="22" t="inlineStr">
        <is>
          <t>HRIS / KS-DL-1.2</t>
        </is>
      </c>
    </row>
    <row r="109">
      <c r="A109" s="22" t="inlineStr">
        <is>
          <t>E0106</t>
        </is>
      </c>
      <c r="B109" s="22" t="inlineStr">
        <is>
          <t>Columbus</t>
        </is>
      </c>
      <c r="C109" s="22" t="inlineStr">
        <is>
          <t>Midwest</t>
        </is>
      </c>
      <c r="D109" s="22" t="inlineStr">
        <is>
          <t>Sales</t>
        </is>
      </c>
      <c r="E109" s="22" t="inlineStr">
        <is>
          <t>Field Inspection</t>
        </is>
      </c>
      <c r="F109" s="22" t="inlineStr">
        <is>
          <t>No</t>
        </is>
      </c>
      <c r="G109" s="234" t="n">
        <v>128</v>
      </c>
      <c r="H109" s="225" t="n">
        <v>0.15</v>
      </c>
      <c r="I109" s="225" t="n">
        <v>0</v>
      </c>
      <c r="J109" s="225" t="n">
        <v>0</v>
      </c>
      <c r="K109" s="226" t="n">
        <v>44866</v>
      </c>
      <c r="L109" s="22" t="inlineStr">
        <is>
          <t>Northstar</t>
        </is>
      </c>
      <c r="M109" s="22" t="inlineStr">
        <is>
          <t>Active</t>
        </is>
      </c>
      <c r="N109" s="22" t="inlineStr">
        <is>
          <t>Staff</t>
        </is>
      </c>
      <c r="O109" s="22" t="inlineStr">
        <is>
          <t>No</t>
        </is>
      </c>
      <c r="P109" s="22" t="inlineStr">
        <is>
          <t>HRIS / KS-DL-1.2</t>
        </is>
      </c>
    </row>
    <row r="110">
      <c r="A110" s="22" t="inlineStr">
        <is>
          <t>E0107</t>
        </is>
      </c>
      <c r="B110" s="22" t="inlineStr">
        <is>
          <t>Knoxville</t>
        </is>
      </c>
      <c r="C110" s="22" t="inlineStr">
        <is>
          <t>Midwest</t>
        </is>
      </c>
      <c r="D110" s="22" t="inlineStr">
        <is>
          <t>Finance</t>
        </is>
      </c>
      <c r="E110" s="22" t="inlineStr">
        <is>
          <t>Permitting &amp; Advisory</t>
        </is>
      </c>
      <c r="F110" s="22" t="inlineStr">
        <is>
          <t>No</t>
        </is>
      </c>
      <c r="G110" s="234" t="n">
        <v>141</v>
      </c>
      <c r="H110" s="225" t="n">
        <v>0.15</v>
      </c>
      <c r="I110" s="225" t="n">
        <v>0</v>
      </c>
      <c r="J110" s="225" t="n">
        <v>0</v>
      </c>
      <c r="K110" s="226" t="n">
        <v>45261</v>
      </c>
      <c r="L110" s="22" t="inlineStr">
        <is>
          <t>Delta</t>
        </is>
      </c>
      <c r="M110" s="22" t="inlineStr">
        <is>
          <t>Active</t>
        </is>
      </c>
      <c r="N110" s="22" t="inlineStr">
        <is>
          <t>Staff</t>
        </is>
      </c>
      <c r="O110" s="22" t="inlineStr">
        <is>
          <t>No</t>
        </is>
      </c>
      <c r="P110" s="22" t="inlineStr">
        <is>
          <t>HRIS / KS-DL-1.2</t>
        </is>
      </c>
    </row>
    <row r="111">
      <c r="A111" s="22" t="inlineStr">
        <is>
          <t>E0108</t>
        </is>
      </c>
      <c r="B111" s="22" t="inlineStr">
        <is>
          <t>Greenville</t>
        </is>
      </c>
      <c r="C111" s="22" t="inlineStr">
        <is>
          <t>Southeast</t>
        </is>
      </c>
      <c r="D111" s="22" t="inlineStr">
        <is>
          <t>HR</t>
        </is>
      </c>
      <c r="E111" s="22" t="inlineStr">
        <is>
          <t>EHS Compliance</t>
        </is>
      </c>
      <c r="F111" s="22" t="inlineStr">
        <is>
          <t>No</t>
        </is>
      </c>
      <c r="G111" s="234" t="n">
        <v>154</v>
      </c>
      <c r="H111" s="225" t="n">
        <v>0.15</v>
      </c>
      <c r="I111" s="225" t="n">
        <v>0</v>
      </c>
      <c r="J111" s="225" t="n">
        <v>0</v>
      </c>
      <c r="K111" s="226" t="n">
        <v>45292</v>
      </c>
      <c r="L111" s="22" t="inlineStr">
        <is>
          <t>Meridian</t>
        </is>
      </c>
      <c r="M111" s="22" t="inlineStr">
        <is>
          <t>Active</t>
        </is>
      </c>
      <c r="N111" s="22" t="inlineStr">
        <is>
          <t>Manager</t>
        </is>
      </c>
      <c r="O111" s="22" t="inlineStr">
        <is>
          <t>No</t>
        </is>
      </c>
      <c r="P111" s="22" t="inlineStr">
        <is>
          <t>HRIS / KS-DL-1.2</t>
        </is>
      </c>
    </row>
    <row r="112">
      <c r="A112" s="22" t="inlineStr">
        <is>
          <t>E0109</t>
        </is>
      </c>
      <c r="B112" s="22" t="inlineStr">
        <is>
          <t>Milwaukee</t>
        </is>
      </c>
      <c r="C112" s="22" t="inlineStr">
        <is>
          <t>Midwest</t>
        </is>
      </c>
      <c r="D112" s="22" t="inlineStr">
        <is>
          <t>IT</t>
        </is>
      </c>
      <c r="E112" s="22" t="inlineStr">
        <is>
          <t>Industrial Hygiene</t>
        </is>
      </c>
      <c r="F112" s="22" t="inlineStr">
        <is>
          <t>No</t>
        </is>
      </c>
      <c r="G112" s="234" t="n">
        <v>167</v>
      </c>
      <c r="H112" s="225" t="n">
        <v>0.15</v>
      </c>
      <c r="I112" s="225" t="n">
        <v>0</v>
      </c>
      <c r="J112" s="225" t="n">
        <v>0</v>
      </c>
      <c r="K112" s="226" t="n">
        <v>45689</v>
      </c>
      <c r="L112" s="22" t="inlineStr">
        <is>
          <t>Summit</t>
        </is>
      </c>
      <c r="M112" s="22" t="inlineStr">
        <is>
          <t>Active</t>
        </is>
      </c>
      <c r="N112" s="22" t="inlineStr">
        <is>
          <t>Staff</t>
        </is>
      </c>
      <c r="O112" s="22" t="inlineStr">
        <is>
          <t>No</t>
        </is>
      </c>
      <c r="P112" s="22" t="inlineStr">
        <is>
          <t>HRIS / KS-DL-1.2</t>
        </is>
      </c>
    </row>
    <row r="113">
      <c r="A113" s="22" t="inlineStr">
        <is>
          <t>E0110</t>
        </is>
      </c>
      <c r="B113" s="22" t="inlineStr">
        <is>
          <t>St. Louis</t>
        </is>
      </c>
      <c r="C113" s="22" t="inlineStr">
        <is>
          <t>Midwest</t>
        </is>
      </c>
      <c r="D113" s="22" t="inlineStr">
        <is>
          <t>Technical</t>
        </is>
      </c>
      <c r="E113" s="22" t="inlineStr">
        <is>
          <t>Field Inspection</t>
        </is>
      </c>
      <c r="F113" s="22" t="inlineStr">
        <is>
          <t>Yes</t>
        </is>
      </c>
      <c r="G113" s="234" t="n">
        <v>130</v>
      </c>
      <c r="H113" s="225" t="n">
        <v>0.05</v>
      </c>
      <c r="I113" s="225" t="n">
        <v>0.75</v>
      </c>
      <c r="J113" s="225" t="n">
        <v>0.71</v>
      </c>
      <c r="K113" s="226" t="n">
        <v>42064</v>
      </c>
      <c r="L113" s="22" t="inlineStr">
        <is>
          <t>Legacy Alderstone</t>
        </is>
      </c>
      <c r="M113" s="22" t="inlineStr">
        <is>
          <t>Active</t>
        </is>
      </c>
      <c r="N113" s="22" t="inlineStr">
        <is>
          <t>Staff</t>
        </is>
      </c>
      <c r="O113" s="22" t="inlineStr">
        <is>
          <t>No</t>
        </is>
      </c>
      <c r="P113" s="22" t="inlineStr">
        <is>
          <t>HRIS / KS-DL-1.2</t>
        </is>
      </c>
    </row>
    <row r="114">
      <c r="A114" s="22" t="inlineStr">
        <is>
          <t>E0111</t>
        </is>
      </c>
      <c r="B114" s="22" t="inlineStr">
        <is>
          <t>Richmond</t>
        </is>
      </c>
      <c r="C114" s="22" t="inlineStr">
        <is>
          <t>Southeast</t>
        </is>
      </c>
      <c r="D114" s="22" t="inlineStr">
        <is>
          <t>Technical</t>
        </is>
      </c>
      <c r="E114" s="22" t="inlineStr">
        <is>
          <t>Permitting &amp; Advisory</t>
        </is>
      </c>
      <c r="F114" s="22" t="inlineStr">
        <is>
          <t>Yes</t>
        </is>
      </c>
      <c r="G114" s="234" t="n">
        <v>147</v>
      </c>
      <c r="H114" s="225" t="n">
        <v>0.05</v>
      </c>
      <c r="I114" s="225" t="n">
        <v>0.8200000000000001</v>
      </c>
      <c r="J114" s="225" t="n">
        <v>0.78</v>
      </c>
      <c r="K114" s="226" t="n">
        <v>42461</v>
      </c>
      <c r="L114" s="22" t="inlineStr">
        <is>
          <t>Northstar</t>
        </is>
      </c>
      <c r="M114" s="22" t="inlineStr">
        <is>
          <t>Active</t>
        </is>
      </c>
      <c r="N114" s="22" t="inlineStr">
        <is>
          <t>Staff</t>
        </is>
      </c>
      <c r="O114" s="22" t="inlineStr">
        <is>
          <t>No</t>
        </is>
      </c>
      <c r="P114" s="22" t="inlineStr">
        <is>
          <t>HRIS / KS-DL-1.2</t>
        </is>
      </c>
    </row>
    <row r="115">
      <c r="A115" s="22" t="inlineStr">
        <is>
          <t>E0112</t>
        </is>
      </c>
      <c r="B115" s="22" t="inlineStr">
        <is>
          <t>Indianapolis</t>
        </is>
      </c>
      <c r="C115" s="22" t="inlineStr">
        <is>
          <t>Midwest</t>
        </is>
      </c>
      <c r="D115" s="22" t="inlineStr">
        <is>
          <t>Technical</t>
        </is>
      </c>
      <c r="E115" s="22" t="inlineStr">
        <is>
          <t>EHS Compliance</t>
        </is>
      </c>
      <c r="F115" s="22" t="inlineStr">
        <is>
          <t>Yes</t>
        </is>
      </c>
      <c r="G115" s="234" t="n">
        <v>74</v>
      </c>
      <c r="H115" s="225" t="n">
        <v>0.05</v>
      </c>
      <c r="I115" s="225" t="n">
        <v>0.5900000000000001</v>
      </c>
      <c r="J115" s="225" t="n">
        <v>0.55</v>
      </c>
      <c r="K115" s="226" t="n">
        <v>42856</v>
      </c>
      <c r="L115" s="22" t="inlineStr">
        <is>
          <t>Delta</t>
        </is>
      </c>
      <c r="M115" s="22" t="inlineStr">
        <is>
          <t>Active</t>
        </is>
      </c>
      <c r="N115" s="22" t="inlineStr">
        <is>
          <t>Staff</t>
        </is>
      </c>
      <c r="O115" s="22" t="inlineStr">
        <is>
          <t>No</t>
        </is>
      </c>
      <c r="P115" s="22" t="inlineStr">
        <is>
          <t>HRIS / KS-DL-1.2</t>
        </is>
      </c>
    </row>
    <row r="116">
      <c r="A116" s="22" t="inlineStr">
        <is>
          <t>E0113</t>
        </is>
      </c>
      <c r="B116" s="22" t="inlineStr">
        <is>
          <t>Chicago</t>
        </is>
      </c>
      <c r="C116" s="22" t="inlineStr">
        <is>
          <t>Midwest</t>
        </is>
      </c>
      <c r="D116" s="22" t="inlineStr">
        <is>
          <t>Technical</t>
        </is>
      </c>
      <c r="E116" s="22" t="inlineStr">
        <is>
          <t>Industrial Hygiene</t>
        </is>
      </c>
      <c r="F116" s="22" t="inlineStr">
        <is>
          <t>Yes</t>
        </is>
      </c>
      <c r="G116" s="234" t="n">
        <v>91</v>
      </c>
      <c r="H116" s="225" t="n">
        <v>0.05</v>
      </c>
      <c r="I116" s="225" t="n">
        <v>0.66</v>
      </c>
      <c r="J116" s="225" t="n">
        <v>0.62</v>
      </c>
      <c r="K116" s="226" t="n">
        <v>43252</v>
      </c>
      <c r="L116" s="22" t="inlineStr">
        <is>
          <t>Meridian</t>
        </is>
      </c>
      <c r="M116" s="22" t="inlineStr">
        <is>
          <t>Active</t>
        </is>
      </c>
      <c r="N116" s="22" t="inlineStr">
        <is>
          <t>Staff</t>
        </is>
      </c>
      <c r="O116" s="22" t="inlineStr">
        <is>
          <t>No</t>
        </is>
      </c>
      <c r="P116" s="22" t="inlineStr">
        <is>
          <t>HRIS / KS-DL-1.2</t>
        </is>
      </c>
    </row>
    <row r="117">
      <c r="A117" s="22" t="inlineStr">
        <is>
          <t>E0114</t>
        </is>
      </c>
      <c r="B117" s="22" t="inlineStr">
        <is>
          <t>Detroit</t>
        </is>
      </c>
      <c r="C117" s="22" t="inlineStr">
        <is>
          <t>Southeast</t>
        </is>
      </c>
      <c r="D117" s="22" t="inlineStr">
        <is>
          <t>Project Management</t>
        </is>
      </c>
      <c r="E117" s="22" t="inlineStr">
        <is>
          <t>Field Inspection</t>
        </is>
      </c>
      <c r="F117" s="22" t="inlineStr">
        <is>
          <t>Yes</t>
        </is>
      </c>
      <c r="G117" s="234" t="n">
        <v>108</v>
      </c>
      <c r="H117" s="225" t="n">
        <v>0.05</v>
      </c>
      <c r="I117" s="225" t="n">
        <v>0.73</v>
      </c>
      <c r="J117" s="225" t="n">
        <v>0.6899999999999999</v>
      </c>
      <c r="K117" s="226" t="n">
        <v>43647</v>
      </c>
      <c r="L117" s="22" t="inlineStr">
        <is>
          <t>Summit</t>
        </is>
      </c>
      <c r="M117" s="22" t="inlineStr">
        <is>
          <t>Active</t>
        </is>
      </c>
      <c r="N117" s="22" t="inlineStr">
        <is>
          <t>Staff</t>
        </is>
      </c>
      <c r="O117" s="22" t="inlineStr">
        <is>
          <t>No</t>
        </is>
      </c>
      <c r="P117" s="22" t="inlineStr">
        <is>
          <t>HRIS / KS-DL-1.2</t>
        </is>
      </c>
    </row>
    <row r="118">
      <c r="A118" s="22" t="inlineStr">
        <is>
          <t>E0115</t>
        </is>
      </c>
      <c r="B118" s="22" t="inlineStr">
        <is>
          <t>Louisville</t>
        </is>
      </c>
      <c r="C118" s="22" t="inlineStr">
        <is>
          <t>Midwest</t>
        </is>
      </c>
      <c r="D118" s="22" t="inlineStr">
        <is>
          <t>Corporate</t>
        </is>
      </c>
      <c r="E118" s="22" t="inlineStr">
        <is>
          <t>Permitting &amp; Advisory</t>
        </is>
      </c>
      <c r="F118" s="22" t="inlineStr">
        <is>
          <t>No</t>
        </is>
      </c>
      <c r="G118" s="234" t="n">
        <v>135</v>
      </c>
      <c r="H118" s="225" t="n">
        <v>0.15</v>
      </c>
      <c r="I118" s="225" t="n">
        <v>0</v>
      </c>
      <c r="J118" s="225" t="n">
        <v>0</v>
      </c>
      <c r="K118" s="226" t="n">
        <v>44044</v>
      </c>
      <c r="L118" s="22" t="inlineStr">
        <is>
          <t>Legacy Alderstone</t>
        </is>
      </c>
      <c r="M118" s="22" t="inlineStr">
        <is>
          <t>Active</t>
        </is>
      </c>
      <c r="N118" s="22" t="inlineStr">
        <is>
          <t>Staff</t>
        </is>
      </c>
      <c r="O118" s="22" t="inlineStr">
        <is>
          <t>No</t>
        </is>
      </c>
      <c r="P118" s="22" t="inlineStr">
        <is>
          <t>HRIS / KS-DL-1.2</t>
        </is>
      </c>
    </row>
    <row r="119">
      <c r="A119" s="22" t="inlineStr">
        <is>
          <t>E0116</t>
        </is>
      </c>
      <c r="B119" s="22" t="inlineStr">
        <is>
          <t>Nashville</t>
        </is>
      </c>
      <c r="C119" s="22" t="inlineStr">
        <is>
          <t>Midwest</t>
        </is>
      </c>
      <c r="D119" s="22" t="inlineStr">
        <is>
          <t>Sales</t>
        </is>
      </c>
      <c r="E119" s="22" t="inlineStr">
        <is>
          <t>EHS Compliance</t>
        </is>
      </c>
      <c r="F119" s="22" t="inlineStr">
        <is>
          <t>No</t>
        </is>
      </c>
      <c r="G119" s="234" t="n">
        <v>148</v>
      </c>
      <c r="H119" s="225" t="n">
        <v>0.15</v>
      </c>
      <c r="I119" s="225" t="n">
        <v>0</v>
      </c>
      <c r="J119" s="225" t="n">
        <v>0</v>
      </c>
      <c r="K119" s="226" t="n">
        <v>44440</v>
      </c>
      <c r="L119" s="22" t="inlineStr">
        <is>
          <t>Northstar</t>
        </is>
      </c>
      <c r="M119" s="22" t="inlineStr">
        <is>
          <t>Active</t>
        </is>
      </c>
      <c r="N119" s="22" t="inlineStr">
        <is>
          <t>Staff</t>
        </is>
      </c>
      <c r="O119" s="22" t="inlineStr">
        <is>
          <t>Yes</t>
        </is>
      </c>
      <c r="P119" s="22" t="inlineStr">
        <is>
          <t>HRIS / KS-DL-1.2</t>
        </is>
      </c>
    </row>
    <row r="120">
      <c r="A120" s="22" t="inlineStr">
        <is>
          <t>E0117</t>
        </is>
      </c>
      <c r="B120" s="22" t="inlineStr">
        <is>
          <t>Raleigh</t>
        </is>
      </c>
      <c r="C120" s="22" t="inlineStr">
        <is>
          <t>Southeast</t>
        </is>
      </c>
      <c r="D120" s="22" t="inlineStr">
        <is>
          <t>Finance</t>
        </is>
      </c>
      <c r="E120" s="22" t="inlineStr">
        <is>
          <t>Industrial Hygiene</t>
        </is>
      </c>
      <c r="F120" s="22" t="inlineStr">
        <is>
          <t>No</t>
        </is>
      </c>
      <c r="G120" s="234" t="n">
        <v>161</v>
      </c>
      <c r="H120" s="225" t="n">
        <v>0.15</v>
      </c>
      <c r="I120" s="225" t="n">
        <v>0</v>
      </c>
      <c r="J120" s="225" t="n">
        <v>0</v>
      </c>
      <c r="K120" s="226" t="n">
        <v>44835</v>
      </c>
      <c r="L120" s="22" t="inlineStr">
        <is>
          <t>Delta</t>
        </is>
      </c>
      <c r="M120" s="22" t="inlineStr">
        <is>
          <t>Active</t>
        </is>
      </c>
      <c r="N120" s="22" t="inlineStr">
        <is>
          <t>Staff</t>
        </is>
      </c>
      <c r="O120" s="22" t="inlineStr">
        <is>
          <t>No</t>
        </is>
      </c>
      <c r="P120" s="22" t="inlineStr">
        <is>
          <t>HRIS / KS-DL-1.2</t>
        </is>
      </c>
    </row>
    <row r="121">
      <c r="A121" s="22" t="inlineStr">
        <is>
          <t>E0118</t>
        </is>
      </c>
      <c r="B121" s="22" t="inlineStr">
        <is>
          <t>Charlotte</t>
        </is>
      </c>
      <c r="C121" s="22" t="inlineStr">
        <is>
          <t>Midwest</t>
        </is>
      </c>
      <c r="D121" s="22" t="inlineStr">
        <is>
          <t>HR</t>
        </is>
      </c>
      <c r="E121" s="22" t="inlineStr">
        <is>
          <t>Field Inspection</t>
        </is>
      </c>
      <c r="F121" s="22" t="inlineStr">
        <is>
          <t>No</t>
        </is>
      </c>
      <c r="G121" s="234" t="n">
        <v>174</v>
      </c>
      <c r="H121" s="225" t="n">
        <v>0.15</v>
      </c>
      <c r="I121" s="225" t="n">
        <v>0</v>
      </c>
      <c r="J121" s="225" t="n">
        <v>0</v>
      </c>
      <c r="K121" s="226" t="n">
        <v>45231</v>
      </c>
      <c r="L121" s="22" t="inlineStr">
        <is>
          <t>Meridian</t>
        </is>
      </c>
      <c r="M121" s="22" t="inlineStr">
        <is>
          <t>Active</t>
        </is>
      </c>
      <c r="N121" s="22" t="inlineStr">
        <is>
          <t>Staff</t>
        </is>
      </c>
      <c r="O121" s="22" t="inlineStr">
        <is>
          <t>No</t>
        </is>
      </c>
      <c r="P121" s="22" t="inlineStr">
        <is>
          <t>HRIS / KS-DL-1.2</t>
        </is>
      </c>
    </row>
    <row r="122">
      <c r="A122" s="22" t="inlineStr">
        <is>
          <t>E0119</t>
        </is>
      </c>
      <c r="B122" s="22" t="inlineStr">
        <is>
          <t>Cincinnati</t>
        </is>
      </c>
      <c r="C122" s="22" t="inlineStr">
        <is>
          <t>Midwest</t>
        </is>
      </c>
      <c r="D122" s="22" t="inlineStr">
        <is>
          <t>IT</t>
        </is>
      </c>
      <c r="E122" s="22" t="inlineStr">
        <is>
          <t>Permitting &amp; Advisory</t>
        </is>
      </c>
      <c r="F122" s="22" t="inlineStr">
        <is>
          <t>No</t>
        </is>
      </c>
      <c r="G122" s="234" t="n">
        <v>77</v>
      </c>
      <c r="H122" s="225" t="n">
        <v>0.15</v>
      </c>
      <c r="I122" s="225" t="n">
        <v>0</v>
      </c>
      <c r="J122" s="225" t="n">
        <v>0</v>
      </c>
      <c r="K122" s="226" t="n">
        <v>45627</v>
      </c>
      <c r="L122" s="22" t="inlineStr">
        <is>
          <t>Summit</t>
        </is>
      </c>
      <c r="M122" s="22" t="inlineStr">
        <is>
          <t>Active</t>
        </is>
      </c>
      <c r="N122" s="22" t="inlineStr">
        <is>
          <t>Staff</t>
        </is>
      </c>
      <c r="O122" s="22" t="inlineStr">
        <is>
          <t>No</t>
        </is>
      </c>
      <c r="P122" s="22" t="inlineStr">
        <is>
          <t>HRIS / KS-DL-1.2</t>
        </is>
      </c>
    </row>
    <row r="123">
      <c r="A123" s="22" t="inlineStr">
        <is>
          <t>E0120</t>
        </is>
      </c>
      <c r="B123" s="22" t="inlineStr">
        <is>
          <t>Columbus</t>
        </is>
      </c>
      <c r="C123" s="22" t="inlineStr">
        <is>
          <t>Southeast</t>
        </is>
      </c>
      <c r="D123" s="22" t="inlineStr">
        <is>
          <t>Technical</t>
        </is>
      </c>
      <c r="E123" s="22" t="inlineStr">
        <is>
          <t>EHS Compliance</t>
        </is>
      </c>
      <c r="F123" s="22" t="inlineStr">
        <is>
          <t>Yes</t>
        </is>
      </c>
      <c r="G123" s="234" t="n">
        <v>120</v>
      </c>
      <c r="H123" s="225" t="n">
        <v>0.05</v>
      </c>
      <c r="I123" s="225" t="n">
        <v>0.55</v>
      </c>
      <c r="J123" s="225" t="n">
        <v>0.51</v>
      </c>
      <c r="K123" s="226" t="n">
        <v>45658</v>
      </c>
      <c r="L123" s="22" t="inlineStr">
        <is>
          <t>Legacy Alderstone</t>
        </is>
      </c>
      <c r="M123" s="22" t="inlineStr">
        <is>
          <t>Active</t>
        </is>
      </c>
      <c r="N123" s="22" t="inlineStr">
        <is>
          <t>Manager</t>
        </is>
      </c>
      <c r="O123" s="22" t="inlineStr">
        <is>
          <t>No</t>
        </is>
      </c>
      <c r="P123" s="22" t="inlineStr">
        <is>
          <t>HRIS / KS-DL-1.2</t>
        </is>
      </c>
    </row>
    <row r="124">
      <c r="A124" s="22" t="inlineStr">
        <is>
          <t>E0121</t>
        </is>
      </c>
      <c r="B124" s="22" t="inlineStr">
        <is>
          <t>Knoxville</t>
        </is>
      </c>
      <c r="C124" s="22" t="inlineStr">
        <is>
          <t>Midwest</t>
        </is>
      </c>
      <c r="D124" s="22" t="inlineStr">
        <is>
          <t>Technical</t>
        </is>
      </c>
      <c r="E124" s="22" t="inlineStr">
        <is>
          <t>Industrial Hygiene</t>
        </is>
      </c>
      <c r="F124" s="22" t="inlineStr">
        <is>
          <t>Yes</t>
        </is>
      </c>
      <c r="G124" s="234" t="n">
        <v>137</v>
      </c>
      <c r="H124" s="225" t="n">
        <v>0.05</v>
      </c>
      <c r="I124" s="225" t="n">
        <v>0.6200000000000001</v>
      </c>
      <c r="J124" s="225" t="n">
        <v>0.5800000000000001</v>
      </c>
      <c r="K124" s="226" t="n">
        <v>42036</v>
      </c>
      <c r="L124" s="22" t="inlineStr">
        <is>
          <t>Northstar</t>
        </is>
      </c>
      <c r="M124" s="22" t="inlineStr">
        <is>
          <t>Active</t>
        </is>
      </c>
      <c r="N124" s="22" t="inlineStr">
        <is>
          <t>Staff</t>
        </is>
      </c>
      <c r="O124" s="22" t="inlineStr">
        <is>
          <t>No</t>
        </is>
      </c>
      <c r="P124" s="22" t="inlineStr">
        <is>
          <t>HRIS / KS-DL-1.2</t>
        </is>
      </c>
    </row>
    <row r="125">
      <c r="A125" s="22" t="inlineStr">
        <is>
          <t>E0122</t>
        </is>
      </c>
      <c r="B125" s="22" t="inlineStr">
        <is>
          <t>Greenville</t>
        </is>
      </c>
      <c r="C125" s="22" t="inlineStr">
        <is>
          <t>Midwest</t>
        </is>
      </c>
      <c r="D125" s="22" t="inlineStr">
        <is>
          <t>Technical</t>
        </is>
      </c>
      <c r="E125" s="22" t="inlineStr">
        <is>
          <t>Field Inspection</t>
        </is>
      </c>
      <c r="F125" s="22" t="inlineStr">
        <is>
          <t>Yes</t>
        </is>
      </c>
      <c r="G125" s="234" t="n">
        <v>64</v>
      </c>
      <c r="H125" s="225" t="n">
        <v>0.05</v>
      </c>
      <c r="I125" s="225" t="n">
        <v>0.6900000000000001</v>
      </c>
      <c r="J125" s="225" t="n">
        <v>0.65</v>
      </c>
      <c r="K125" s="226" t="n">
        <v>42430</v>
      </c>
      <c r="L125" s="22" t="inlineStr">
        <is>
          <t>Delta</t>
        </is>
      </c>
      <c r="M125" s="22" t="inlineStr">
        <is>
          <t>Active</t>
        </is>
      </c>
      <c r="N125" s="22" t="inlineStr">
        <is>
          <t>Staff</t>
        </is>
      </c>
      <c r="O125" s="22" t="inlineStr">
        <is>
          <t>No</t>
        </is>
      </c>
      <c r="P125" s="22" t="inlineStr">
        <is>
          <t>HRIS / KS-DL-1.2</t>
        </is>
      </c>
    </row>
    <row r="126">
      <c r="A126" s="22" t="inlineStr">
        <is>
          <t>E0123</t>
        </is>
      </c>
      <c r="B126" s="22" t="inlineStr">
        <is>
          <t>Milwaukee</t>
        </is>
      </c>
      <c r="C126" s="22" t="inlineStr">
        <is>
          <t>Southeast</t>
        </is>
      </c>
      <c r="D126" s="22" t="inlineStr">
        <is>
          <t>Technical</t>
        </is>
      </c>
      <c r="E126" s="22" t="inlineStr">
        <is>
          <t>Permitting &amp; Advisory</t>
        </is>
      </c>
      <c r="F126" s="22" t="inlineStr">
        <is>
          <t>Yes</t>
        </is>
      </c>
      <c r="G126" s="234" t="n">
        <v>81</v>
      </c>
      <c r="H126" s="225" t="n">
        <v>0.05</v>
      </c>
      <c r="I126" s="225" t="n">
        <v>0.76</v>
      </c>
      <c r="J126" s="225" t="n">
        <v>0.72</v>
      </c>
      <c r="K126" s="226" t="n">
        <v>42826</v>
      </c>
      <c r="L126" s="22" t="inlineStr">
        <is>
          <t>Meridian</t>
        </is>
      </c>
      <c r="M126" s="22" t="inlineStr">
        <is>
          <t>Active</t>
        </is>
      </c>
      <c r="N126" s="22" t="inlineStr">
        <is>
          <t>Staff</t>
        </is>
      </c>
      <c r="O126" s="22" t="inlineStr">
        <is>
          <t>No</t>
        </is>
      </c>
      <c r="P126" s="22" t="inlineStr">
        <is>
          <t>HRIS / KS-DL-1.2</t>
        </is>
      </c>
    </row>
    <row r="127">
      <c r="A127" s="22" t="inlineStr">
        <is>
          <t>E0124</t>
        </is>
      </c>
      <c r="B127" s="22" t="inlineStr">
        <is>
          <t>St. Louis</t>
        </is>
      </c>
      <c r="C127" s="22" t="inlineStr">
        <is>
          <t>Midwest</t>
        </is>
      </c>
      <c r="D127" s="22" t="inlineStr">
        <is>
          <t>Project Management</t>
        </is>
      </c>
      <c r="E127" s="22" t="inlineStr">
        <is>
          <t>EHS Compliance</t>
        </is>
      </c>
      <c r="F127" s="22" t="inlineStr">
        <is>
          <t>Yes</t>
        </is>
      </c>
      <c r="G127" s="234" t="n">
        <v>98</v>
      </c>
      <c r="H127" s="225" t="n">
        <v>0.05</v>
      </c>
      <c r="I127" s="225" t="n">
        <v>0.8300000000000001</v>
      </c>
      <c r="J127" s="225" t="n">
        <v>0.79</v>
      </c>
      <c r="K127" s="226" t="n">
        <v>43221</v>
      </c>
      <c r="L127" s="22" t="inlineStr">
        <is>
          <t>Summit</t>
        </is>
      </c>
      <c r="M127" s="22" t="inlineStr">
        <is>
          <t>Active</t>
        </is>
      </c>
      <c r="N127" s="22" t="inlineStr">
        <is>
          <t>Staff</t>
        </is>
      </c>
      <c r="O127" s="22" t="inlineStr">
        <is>
          <t>No</t>
        </is>
      </c>
      <c r="P127" s="22" t="inlineStr">
        <is>
          <t>HRIS / KS-DL-1.2</t>
        </is>
      </c>
    </row>
    <row r="128">
      <c r="A128" s="22" t="inlineStr">
        <is>
          <t>E0125</t>
        </is>
      </c>
      <c r="B128" s="22" t="inlineStr">
        <is>
          <t>Richmond</t>
        </is>
      </c>
      <c r="C128" s="22" t="inlineStr">
        <is>
          <t>Midwest</t>
        </is>
      </c>
      <c r="D128" s="22" t="inlineStr">
        <is>
          <t>Corporate</t>
        </is>
      </c>
      <c r="E128" s="22" t="inlineStr">
        <is>
          <t>Industrial Hygiene</t>
        </is>
      </c>
      <c r="F128" s="22" t="inlineStr">
        <is>
          <t>No</t>
        </is>
      </c>
      <c r="G128" s="234" t="n">
        <v>155</v>
      </c>
      <c r="H128" s="225" t="n">
        <v>0.15</v>
      </c>
      <c r="I128" s="225" t="n">
        <v>0</v>
      </c>
      <c r="J128" s="225" t="n">
        <v>0</v>
      </c>
      <c r="K128" s="226" t="n">
        <v>43617</v>
      </c>
      <c r="L128" s="22" t="inlineStr">
        <is>
          <t>Legacy Alderstone</t>
        </is>
      </c>
      <c r="M128" s="22" t="inlineStr">
        <is>
          <t>Active</t>
        </is>
      </c>
      <c r="N128" s="22" t="inlineStr">
        <is>
          <t>Staff</t>
        </is>
      </c>
      <c r="O128" s="22" t="inlineStr">
        <is>
          <t>No</t>
        </is>
      </c>
      <c r="P128" s="22" t="inlineStr">
        <is>
          <t>HRIS / KS-DL-1.2</t>
        </is>
      </c>
    </row>
    <row r="129">
      <c r="A129" s="22" t="inlineStr">
        <is>
          <t>E0126</t>
        </is>
      </c>
      <c r="B129" s="22" t="inlineStr">
        <is>
          <t>Indianapolis</t>
        </is>
      </c>
      <c r="C129" s="22" t="inlineStr">
        <is>
          <t>Southeast</t>
        </is>
      </c>
      <c r="D129" s="22" t="inlineStr">
        <is>
          <t>Sales</t>
        </is>
      </c>
      <c r="E129" s="22" t="inlineStr">
        <is>
          <t>Field Inspection</t>
        </is>
      </c>
      <c r="F129" s="22" t="inlineStr">
        <is>
          <t>No</t>
        </is>
      </c>
      <c r="G129" s="234" t="n">
        <v>168</v>
      </c>
      <c r="H129" s="225" t="n">
        <v>0.15</v>
      </c>
      <c r="I129" s="225" t="n">
        <v>0</v>
      </c>
      <c r="J129" s="225" t="n">
        <v>0</v>
      </c>
      <c r="K129" s="226" t="n">
        <v>44013</v>
      </c>
      <c r="L129" s="22" t="inlineStr">
        <is>
          <t>Northstar</t>
        </is>
      </c>
      <c r="M129" s="22" t="inlineStr">
        <is>
          <t>Active</t>
        </is>
      </c>
      <c r="N129" s="22" t="inlineStr">
        <is>
          <t>Staff</t>
        </is>
      </c>
      <c r="O129" s="22" t="inlineStr">
        <is>
          <t>No</t>
        </is>
      </c>
      <c r="P129" s="22" t="inlineStr">
        <is>
          <t>HRIS / KS-DL-1.2</t>
        </is>
      </c>
    </row>
    <row r="130">
      <c r="A130" s="22" t="inlineStr">
        <is>
          <t>E0127</t>
        </is>
      </c>
      <c r="B130" s="22" t="inlineStr">
        <is>
          <t>Chicago</t>
        </is>
      </c>
      <c r="C130" s="22" t="inlineStr">
        <is>
          <t>Midwest</t>
        </is>
      </c>
      <c r="D130" s="22" t="inlineStr">
        <is>
          <t>Finance</t>
        </is>
      </c>
      <c r="E130" s="22" t="inlineStr">
        <is>
          <t>Permitting &amp; Advisory</t>
        </is>
      </c>
      <c r="F130" s="22" t="inlineStr">
        <is>
          <t>No</t>
        </is>
      </c>
      <c r="G130" s="234" t="n">
        <v>71</v>
      </c>
      <c r="H130" s="225" t="n">
        <v>0.15</v>
      </c>
      <c r="I130" s="225" t="n">
        <v>0</v>
      </c>
      <c r="J130" s="225" t="n">
        <v>0</v>
      </c>
      <c r="K130" s="226" t="n">
        <v>44409</v>
      </c>
      <c r="L130" s="22" t="inlineStr">
        <is>
          <t>Delta</t>
        </is>
      </c>
      <c r="M130" s="22" t="inlineStr">
        <is>
          <t>Active</t>
        </is>
      </c>
      <c r="N130" s="22" t="inlineStr">
        <is>
          <t>Staff</t>
        </is>
      </c>
      <c r="O130" s="22" t="inlineStr">
        <is>
          <t>No</t>
        </is>
      </c>
      <c r="P130" s="22" t="inlineStr">
        <is>
          <t>HRIS / KS-DL-1.2</t>
        </is>
      </c>
    </row>
    <row r="131">
      <c r="A131" s="22" t="inlineStr">
        <is>
          <t>E0128</t>
        </is>
      </c>
      <c r="B131" s="22" t="inlineStr">
        <is>
          <t>Detroit</t>
        </is>
      </c>
      <c r="C131" s="22" t="inlineStr">
        <is>
          <t>Midwest</t>
        </is>
      </c>
      <c r="D131" s="22" t="inlineStr">
        <is>
          <t>HR</t>
        </is>
      </c>
      <c r="E131" s="22" t="inlineStr">
        <is>
          <t>EHS Compliance</t>
        </is>
      </c>
      <c r="F131" s="22" t="inlineStr">
        <is>
          <t>No</t>
        </is>
      </c>
      <c r="G131" s="234" t="n">
        <v>84</v>
      </c>
      <c r="H131" s="225" t="n">
        <v>0.15</v>
      </c>
      <c r="I131" s="225" t="n">
        <v>0</v>
      </c>
      <c r="J131" s="225" t="n">
        <v>0</v>
      </c>
      <c r="K131" s="226" t="n">
        <v>44805</v>
      </c>
      <c r="L131" s="22" t="inlineStr">
        <is>
          <t>Meridian</t>
        </is>
      </c>
      <c r="M131" s="22" t="inlineStr">
        <is>
          <t>Active</t>
        </is>
      </c>
      <c r="N131" s="22" t="inlineStr">
        <is>
          <t>Staff</t>
        </is>
      </c>
      <c r="O131" s="22" t="inlineStr">
        <is>
          <t>No</t>
        </is>
      </c>
      <c r="P131" s="22" t="inlineStr">
        <is>
          <t>HRIS / KS-DL-1.2</t>
        </is>
      </c>
    </row>
    <row r="132">
      <c r="A132" s="22" t="inlineStr">
        <is>
          <t>E0129</t>
        </is>
      </c>
      <c r="B132" s="22" t="inlineStr">
        <is>
          <t>Louisville</t>
        </is>
      </c>
      <c r="C132" s="22" t="inlineStr">
        <is>
          <t>Southeast</t>
        </is>
      </c>
      <c r="D132" s="22" t="inlineStr">
        <is>
          <t>IT</t>
        </is>
      </c>
      <c r="E132" s="22" t="inlineStr">
        <is>
          <t>Industrial Hygiene</t>
        </is>
      </c>
      <c r="F132" s="22" t="inlineStr">
        <is>
          <t>No</t>
        </is>
      </c>
      <c r="G132" s="234" t="n">
        <v>97</v>
      </c>
      <c r="H132" s="225" t="n">
        <v>0.15</v>
      </c>
      <c r="I132" s="225" t="n">
        <v>0</v>
      </c>
      <c r="J132" s="225" t="n">
        <v>0</v>
      </c>
      <c r="K132" s="226" t="n">
        <v>45200</v>
      </c>
      <c r="L132" s="22" t="inlineStr">
        <is>
          <t>Summit</t>
        </is>
      </c>
      <c r="M132" s="22" t="inlineStr">
        <is>
          <t>Active</t>
        </is>
      </c>
      <c r="N132" s="22" t="inlineStr">
        <is>
          <t>Staff</t>
        </is>
      </c>
      <c r="O132" s="22" t="inlineStr">
        <is>
          <t>No</t>
        </is>
      </c>
      <c r="P132" s="22" t="inlineStr">
        <is>
          <t>HRIS / KS-DL-1.2</t>
        </is>
      </c>
    </row>
    <row r="133">
      <c r="A133" s="22" t="inlineStr">
        <is>
          <t>E0130</t>
        </is>
      </c>
      <c r="B133" s="22" t="inlineStr">
        <is>
          <t>Nashville</t>
        </is>
      </c>
      <c r="C133" s="22" t="inlineStr">
        <is>
          <t>Midwest</t>
        </is>
      </c>
      <c r="D133" s="22" t="inlineStr">
        <is>
          <t>Technical</t>
        </is>
      </c>
      <c r="E133" s="22" t="inlineStr">
        <is>
          <t>Field Inspection</t>
        </is>
      </c>
      <c r="F133" s="22" t="inlineStr">
        <is>
          <t>Yes</t>
        </is>
      </c>
      <c r="G133" s="234" t="n">
        <v>110</v>
      </c>
      <c r="H133" s="225" t="n">
        <v>0.05</v>
      </c>
      <c r="I133" s="225" t="n">
        <v>0.65</v>
      </c>
      <c r="J133" s="225" t="n">
        <v>0.61</v>
      </c>
      <c r="K133" s="226" t="n">
        <v>45597</v>
      </c>
      <c r="L133" s="22" t="inlineStr">
        <is>
          <t>Legacy Alderstone</t>
        </is>
      </c>
      <c r="M133" s="22" t="inlineStr">
        <is>
          <t>Active</t>
        </is>
      </c>
      <c r="N133" s="22" t="inlineStr">
        <is>
          <t>Staff</t>
        </is>
      </c>
      <c r="O133" s="22" t="inlineStr">
        <is>
          <t>No</t>
        </is>
      </c>
      <c r="P133" s="22" t="inlineStr">
        <is>
          <t>HRIS / KS-DL-1.2</t>
        </is>
      </c>
    </row>
    <row r="134">
      <c r="A134" s="22" t="inlineStr">
        <is>
          <t>E0131</t>
        </is>
      </c>
      <c r="B134" s="22" t="inlineStr">
        <is>
          <t>Raleigh</t>
        </is>
      </c>
      <c r="C134" s="22" t="inlineStr">
        <is>
          <t>Midwest</t>
        </is>
      </c>
      <c r="D134" s="22" t="inlineStr">
        <is>
          <t>Technical</t>
        </is>
      </c>
      <c r="E134" s="22" t="inlineStr">
        <is>
          <t>Permitting &amp; Advisory</t>
        </is>
      </c>
      <c r="F134" s="22" t="inlineStr">
        <is>
          <t>Yes</t>
        </is>
      </c>
      <c r="G134" s="234" t="n">
        <v>127</v>
      </c>
      <c r="H134" s="225" t="n">
        <v>0.05</v>
      </c>
      <c r="I134" s="225" t="n">
        <v>0.7200000000000001</v>
      </c>
      <c r="J134" s="225" t="n">
        <v>0.68</v>
      </c>
      <c r="K134" s="226" t="n">
        <v>45992</v>
      </c>
      <c r="L134" s="22" t="inlineStr">
        <is>
          <t>Northstar</t>
        </is>
      </c>
      <c r="M134" s="22" t="inlineStr">
        <is>
          <t>Active</t>
        </is>
      </c>
      <c r="N134" s="22" t="inlineStr">
        <is>
          <t>Staff</t>
        </is>
      </c>
      <c r="O134" s="22" t="inlineStr">
        <is>
          <t>No</t>
        </is>
      </c>
      <c r="P134" s="22" t="inlineStr">
        <is>
          <t>HRIS / KS-DL-1.2</t>
        </is>
      </c>
    </row>
    <row r="135">
      <c r="A135" s="22" t="inlineStr">
        <is>
          <t>E0132</t>
        </is>
      </c>
      <c r="B135" s="22" t="inlineStr">
        <is>
          <t>Charlotte</t>
        </is>
      </c>
      <c r="C135" s="22" t="inlineStr">
        <is>
          <t>Southeast</t>
        </is>
      </c>
      <c r="D135" s="22" t="inlineStr">
        <is>
          <t>Technical</t>
        </is>
      </c>
      <c r="E135" s="22" t="inlineStr">
        <is>
          <t>EHS Compliance</t>
        </is>
      </c>
      <c r="F135" s="22" t="inlineStr">
        <is>
          <t>Yes</t>
        </is>
      </c>
      <c r="G135" s="234" t="n">
        <v>144</v>
      </c>
      <c r="H135" s="225" t="n">
        <v>0.05</v>
      </c>
      <c r="I135" s="225" t="n">
        <v>0.79</v>
      </c>
      <c r="J135" s="225" t="n">
        <v>0.75</v>
      </c>
      <c r="K135" s="226" t="n">
        <v>42005</v>
      </c>
      <c r="L135" s="22" t="inlineStr">
        <is>
          <t>Delta</t>
        </is>
      </c>
      <c r="M135" s="22" t="inlineStr">
        <is>
          <t>Active</t>
        </is>
      </c>
      <c r="N135" s="22" t="inlineStr">
        <is>
          <t>Manager</t>
        </is>
      </c>
      <c r="O135" s="22" t="inlineStr">
        <is>
          <t>No</t>
        </is>
      </c>
      <c r="P135" s="22" t="inlineStr">
        <is>
          <t>HRIS / KS-DL-1.2</t>
        </is>
      </c>
    </row>
    <row r="136">
      <c r="A136" s="22" t="inlineStr">
        <is>
          <t>E0133</t>
        </is>
      </c>
      <c r="B136" s="22" t="inlineStr">
        <is>
          <t>Cincinnati</t>
        </is>
      </c>
      <c r="C136" s="22" t="inlineStr">
        <is>
          <t>Midwest</t>
        </is>
      </c>
      <c r="D136" s="22" t="inlineStr">
        <is>
          <t>Technical</t>
        </is>
      </c>
      <c r="E136" s="22" t="inlineStr">
        <is>
          <t>Industrial Hygiene</t>
        </is>
      </c>
      <c r="F136" s="22" t="inlineStr">
        <is>
          <t>Yes</t>
        </is>
      </c>
      <c r="G136" s="234" t="n">
        <v>71</v>
      </c>
      <c r="H136" s="225" t="n">
        <v>0.05</v>
      </c>
      <c r="I136" s="225" t="n">
        <v>0.5600000000000001</v>
      </c>
      <c r="J136" s="225" t="n">
        <v>0.52</v>
      </c>
      <c r="K136" s="226" t="n">
        <v>42401</v>
      </c>
      <c r="L136" s="22" t="inlineStr">
        <is>
          <t>Meridian</t>
        </is>
      </c>
      <c r="M136" s="22" t="inlineStr">
        <is>
          <t>Active</t>
        </is>
      </c>
      <c r="N136" s="22" t="inlineStr">
        <is>
          <t>Staff</t>
        </is>
      </c>
      <c r="O136" s="22" t="inlineStr">
        <is>
          <t>No</t>
        </is>
      </c>
      <c r="P136" s="22" t="inlineStr">
        <is>
          <t>HRIS / KS-DL-1.2</t>
        </is>
      </c>
    </row>
    <row r="137">
      <c r="A137" s="22" t="inlineStr">
        <is>
          <t>E0134</t>
        </is>
      </c>
      <c r="B137" s="22" t="inlineStr">
        <is>
          <t>Columbus</t>
        </is>
      </c>
      <c r="C137" s="22" t="inlineStr">
        <is>
          <t>Midwest</t>
        </is>
      </c>
      <c r="D137" s="22" t="inlineStr">
        <is>
          <t>Project Management</t>
        </is>
      </c>
      <c r="E137" s="22" t="inlineStr">
        <is>
          <t>Field Inspection</t>
        </is>
      </c>
      <c r="F137" s="22" t="inlineStr">
        <is>
          <t>Yes</t>
        </is>
      </c>
      <c r="G137" s="234" t="n">
        <v>88</v>
      </c>
      <c r="H137" s="225" t="n">
        <v>0.05</v>
      </c>
      <c r="I137" s="225" t="n">
        <v>0.63</v>
      </c>
      <c r="J137" s="225" t="n">
        <v>0.59</v>
      </c>
      <c r="K137" s="226" t="n">
        <v>42795</v>
      </c>
      <c r="L137" s="22" t="inlineStr">
        <is>
          <t>Summit</t>
        </is>
      </c>
      <c r="M137" s="22" t="inlineStr">
        <is>
          <t>Active</t>
        </is>
      </c>
      <c r="N137" s="22" t="inlineStr">
        <is>
          <t>Staff</t>
        </is>
      </c>
      <c r="O137" s="22" t="inlineStr">
        <is>
          <t>No</t>
        </is>
      </c>
      <c r="P137" s="22" t="inlineStr">
        <is>
          <t>HRIS / KS-DL-1.2</t>
        </is>
      </c>
    </row>
    <row r="138">
      <c r="A138" s="22" t="inlineStr">
        <is>
          <t>E0135</t>
        </is>
      </c>
      <c r="B138" s="22" t="inlineStr">
        <is>
          <t>Knoxville</t>
        </is>
      </c>
      <c r="C138" s="22" t="inlineStr">
        <is>
          <t>Southeast</t>
        </is>
      </c>
      <c r="D138" s="22" t="inlineStr">
        <is>
          <t>Corporate</t>
        </is>
      </c>
      <c r="E138" s="22" t="inlineStr">
        <is>
          <t>Permitting &amp; Advisory</t>
        </is>
      </c>
      <c r="F138" s="22" t="inlineStr">
        <is>
          <t>No</t>
        </is>
      </c>
      <c r="G138" s="234" t="n">
        <v>175</v>
      </c>
      <c r="H138" s="225" t="n">
        <v>0.15</v>
      </c>
      <c r="I138" s="225" t="n">
        <v>0</v>
      </c>
      <c r="J138" s="225" t="n">
        <v>0</v>
      </c>
      <c r="K138" s="226" t="n">
        <v>43191</v>
      </c>
      <c r="L138" s="22" t="inlineStr">
        <is>
          <t>Legacy Alderstone</t>
        </is>
      </c>
      <c r="M138" s="22" t="inlineStr">
        <is>
          <t>Active</t>
        </is>
      </c>
      <c r="N138" s="22" t="inlineStr">
        <is>
          <t>Staff</t>
        </is>
      </c>
      <c r="O138" s="22" t="inlineStr">
        <is>
          <t>No</t>
        </is>
      </c>
      <c r="P138" s="22" t="inlineStr">
        <is>
          <t>HRIS / KS-DL-1.2</t>
        </is>
      </c>
    </row>
    <row r="139">
      <c r="A139" s="22" t="inlineStr">
        <is>
          <t>E0136</t>
        </is>
      </c>
      <c r="B139" s="22" t="inlineStr">
        <is>
          <t>Greenville</t>
        </is>
      </c>
      <c r="C139" s="22" t="inlineStr">
        <is>
          <t>Midwest</t>
        </is>
      </c>
      <c r="D139" s="22" t="inlineStr">
        <is>
          <t>Sales</t>
        </is>
      </c>
      <c r="E139" s="22" t="inlineStr">
        <is>
          <t>EHS Compliance</t>
        </is>
      </c>
      <c r="F139" s="22" t="inlineStr">
        <is>
          <t>No</t>
        </is>
      </c>
      <c r="G139" s="234" t="n">
        <v>78</v>
      </c>
      <c r="H139" s="225" t="n">
        <v>0.15</v>
      </c>
      <c r="I139" s="225" t="n">
        <v>0</v>
      </c>
      <c r="J139" s="225" t="n">
        <v>0</v>
      </c>
      <c r="K139" s="226" t="n">
        <v>43586</v>
      </c>
      <c r="L139" s="22" t="inlineStr">
        <is>
          <t>Northstar</t>
        </is>
      </c>
      <c r="M139" s="22" t="inlineStr">
        <is>
          <t>Active</t>
        </is>
      </c>
      <c r="N139" s="22" t="inlineStr">
        <is>
          <t>Staff</t>
        </is>
      </c>
      <c r="O139" s="22" t="inlineStr">
        <is>
          <t>No</t>
        </is>
      </c>
      <c r="P139" s="22" t="inlineStr">
        <is>
          <t>HRIS / KS-DL-1.2</t>
        </is>
      </c>
    </row>
    <row r="140">
      <c r="A140" s="22" t="inlineStr">
        <is>
          <t>E0137</t>
        </is>
      </c>
      <c r="B140" s="22" t="inlineStr">
        <is>
          <t>Milwaukee</t>
        </is>
      </c>
      <c r="C140" s="22" t="inlineStr">
        <is>
          <t>Midwest</t>
        </is>
      </c>
      <c r="D140" s="22" t="inlineStr">
        <is>
          <t>Finance</t>
        </is>
      </c>
      <c r="E140" s="22" t="inlineStr">
        <is>
          <t>Industrial Hygiene</t>
        </is>
      </c>
      <c r="F140" s="22" t="inlineStr">
        <is>
          <t>No</t>
        </is>
      </c>
      <c r="G140" s="234" t="n">
        <v>91</v>
      </c>
      <c r="H140" s="225" t="n">
        <v>0.15</v>
      </c>
      <c r="I140" s="225" t="n">
        <v>0</v>
      </c>
      <c r="J140" s="225" t="n">
        <v>0</v>
      </c>
      <c r="K140" s="226" t="n">
        <v>43983</v>
      </c>
      <c r="L140" s="22" t="inlineStr">
        <is>
          <t>Delta</t>
        </is>
      </c>
      <c r="M140" s="22" t="inlineStr">
        <is>
          <t>Active</t>
        </is>
      </c>
      <c r="N140" s="22" t="inlineStr">
        <is>
          <t>Staff</t>
        </is>
      </c>
      <c r="O140" s="22" t="inlineStr">
        <is>
          <t>No</t>
        </is>
      </c>
      <c r="P140" s="22" t="inlineStr">
        <is>
          <t>HRIS / KS-DL-1.2</t>
        </is>
      </c>
    </row>
    <row r="141">
      <c r="A141" s="22" t="inlineStr">
        <is>
          <t>E0138</t>
        </is>
      </c>
      <c r="B141" s="22" t="inlineStr">
        <is>
          <t>St. Louis</t>
        </is>
      </c>
      <c r="C141" s="22" t="inlineStr">
        <is>
          <t>Southeast</t>
        </is>
      </c>
      <c r="D141" s="22" t="inlineStr">
        <is>
          <t>HR</t>
        </is>
      </c>
      <c r="E141" s="22" t="inlineStr">
        <is>
          <t>Field Inspection</t>
        </is>
      </c>
      <c r="F141" s="22" t="inlineStr">
        <is>
          <t>No</t>
        </is>
      </c>
      <c r="G141" s="234" t="n">
        <v>104</v>
      </c>
      <c r="H141" s="225" t="n">
        <v>0.15</v>
      </c>
      <c r="I141" s="225" t="n">
        <v>0</v>
      </c>
      <c r="J141" s="225" t="n">
        <v>0</v>
      </c>
      <c r="K141" s="226" t="n">
        <v>44378</v>
      </c>
      <c r="L141" s="22" t="inlineStr">
        <is>
          <t>Meridian</t>
        </is>
      </c>
      <c r="M141" s="22" t="inlineStr">
        <is>
          <t>Active</t>
        </is>
      </c>
      <c r="N141" s="22" t="inlineStr">
        <is>
          <t>Staff</t>
        </is>
      </c>
      <c r="O141" s="22" t="inlineStr">
        <is>
          <t>No</t>
        </is>
      </c>
      <c r="P141" s="22" t="inlineStr">
        <is>
          <t>HRIS / KS-DL-1.2</t>
        </is>
      </c>
    </row>
    <row r="142">
      <c r="A142" s="22" t="inlineStr">
        <is>
          <t>E0139</t>
        </is>
      </c>
      <c r="B142" s="22" t="inlineStr">
        <is>
          <t>Richmond</t>
        </is>
      </c>
      <c r="C142" s="22" t="inlineStr">
        <is>
          <t>Midwest</t>
        </is>
      </c>
      <c r="D142" s="22" t="inlineStr">
        <is>
          <t>IT</t>
        </is>
      </c>
      <c r="E142" s="22" t="inlineStr">
        <is>
          <t>Permitting &amp; Advisory</t>
        </is>
      </c>
      <c r="F142" s="22" t="inlineStr">
        <is>
          <t>No</t>
        </is>
      </c>
      <c r="G142" s="234" t="n">
        <v>117</v>
      </c>
      <c r="H142" s="225" t="n">
        <v>0.15</v>
      </c>
      <c r="I142" s="225" t="n">
        <v>0</v>
      </c>
      <c r="J142" s="225" t="n">
        <v>0</v>
      </c>
      <c r="K142" s="226" t="n">
        <v>44774</v>
      </c>
      <c r="L142" s="22" t="inlineStr">
        <is>
          <t>Summit</t>
        </is>
      </c>
      <c r="M142" s="22" t="inlineStr">
        <is>
          <t>Active</t>
        </is>
      </c>
      <c r="N142" s="22" t="inlineStr">
        <is>
          <t>Staff</t>
        </is>
      </c>
      <c r="O142" s="22" t="inlineStr">
        <is>
          <t>No</t>
        </is>
      </c>
      <c r="P142" s="22" t="inlineStr">
        <is>
          <t>HRIS / KS-DL-1.2</t>
        </is>
      </c>
    </row>
    <row r="143">
      <c r="A143" s="22" t="inlineStr">
        <is>
          <t>E0140</t>
        </is>
      </c>
      <c r="B143" s="22" t="inlineStr">
        <is>
          <t>Indianapolis</t>
        </is>
      </c>
      <c r="C143" s="22" t="inlineStr">
        <is>
          <t>Midwest</t>
        </is>
      </c>
      <c r="D143" s="22" t="inlineStr">
        <is>
          <t>Technical</t>
        </is>
      </c>
      <c r="E143" s="22" t="inlineStr">
        <is>
          <t>EHS Compliance</t>
        </is>
      </c>
      <c r="F143" s="22" t="inlineStr">
        <is>
          <t>Yes</t>
        </is>
      </c>
      <c r="G143" s="234" t="n">
        <v>100</v>
      </c>
      <c r="H143" s="225" t="n">
        <v>0.05</v>
      </c>
      <c r="I143" s="225" t="n">
        <v>0.75</v>
      </c>
      <c r="J143" s="225" t="n">
        <v>0.71</v>
      </c>
      <c r="K143" s="226" t="n">
        <v>45170</v>
      </c>
      <c r="L143" s="22" t="inlineStr">
        <is>
          <t>Legacy Alderstone</t>
        </is>
      </c>
      <c r="M143" s="22" t="inlineStr">
        <is>
          <t>Active</t>
        </is>
      </c>
      <c r="N143" s="22" t="inlineStr">
        <is>
          <t>Staff</t>
        </is>
      </c>
      <c r="O143" s="22" t="inlineStr">
        <is>
          <t>No</t>
        </is>
      </c>
      <c r="P143" s="22" t="inlineStr">
        <is>
          <t>HRIS / KS-DL-1.2</t>
        </is>
      </c>
    </row>
    <row r="144">
      <c r="A144" s="22" t="inlineStr">
        <is>
          <t>E0141</t>
        </is>
      </c>
      <c r="B144" s="22" t="inlineStr">
        <is>
          <t>Chicago</t>
        </is>
      </c>
      <c r="C144" s="22" t="inlineStr">
        <is>
          <t>Southeast</t>
        </is>
      </c>
      <c r="D144" s="22" t="inlineStr">
        <is>
          <t>Technical</t>
        </is>
      </c>
      <c r="E144" s="22" t="inlineStr">
        <is>
          <t>Industrial Hygiene</t>
        </is>
      </c>
      <c r="F144" s="22" t="inlineStr">
        <is>
          <t>Yes</t>
        </is>
      </c>
      <c r="G144" s="234" t="n">
        <v>117</v>
      </c>
      <c r="H144" s="225" t="n">
        <v>0.05</v>
      </c>
      <c r="I144" s="225" t="n">
        <v>0.8200000000000001</v>
      </c>
      <c r="J144" s="225" t="n">
        <v>0.78</v>
      </c>
      <c r="K144" s="226" t="n">
        <v>45566</v>
      </c>
      <c r="L144" s="22" t="inlineStr">
        <is>
          <t>Northstar</t>
        </is>
      </c>
      <c r="M144" s="22" t="inlineStr">
        <is>
          <t>Active</t>
        </is>
      </c>
      <c r="N144" s="22" t="inlineStr">
        <is>
          <t>Staff</t>
        </is>
      </c>
      <c r="O144" s="22" t="inlineStr">
        <is>
          <t>No</t>
        </is>
      </c>
      <c r="P144" s="22" t="inlineStr">
        <is>
          <t>HRIS / KS-DL-1.2</t>
        </is>
      </c>
    </row>
    <row r="145">
      <c r="A145" s="22" t="inlineStr">
        <is>
          <t>E0142</t>
        </is>
      </c>
      <c r="B145" s="22" t="inlineStr">
        <is>
          <t>Detroit</t>
        </is>
      </c>
      <c r="C145" s="22" t="inlineStr">
        <is>
          <t>Midwest</t>
        </is>
      </c>
      <c r="D145" s="22" t="inlineStr">
        <is>
          <t>Technical</t>
        </is>
      </c>
      <c r="E145" s="22" t="inlineStr">
        <is>
          <t>Field Inspection</t>
        </is>
      </c>
      <c r="F145" s="22" t="inlineStr">
        <is>
          <t>Yes</t>
        </is>
      </c>
      <c r="G145" s="234" t="n">
        <v>134</v>
      </c>
      <c r="H145" s="225" t="n">
        <v>0.05</v>
      </c>
      <c r="I145" s="225" t="n">
        <v>0.5900000000000001</v>
      </c>
      <c r="J145" s="225" t="n">
        <v>0.55</v>
      </c>
      <c r="K145" s="226" t="n">
        <v>45962</v>
      </c>
      <c r="L145" s="22" t="inlineStr">
        <is>
          <t>Delta</t>
        </is>
      </c>
      <c r="M145" s="22" t="inlineStr">
        <is>
          <t>Active</t>
        </is>
      </c>
      <c r="N145" s="22" t="inlineStr">
        <is>
          <t>Staff</t>
        </is>
      </c>
      <c r="O145" s="22" t="inlineStr">
        <is>
          <t>No</t>
        </is>
      </c>
      <c r="P145" s="22" t="inlineStr">
        <is>
          <t>HRIS / KS-DL-1.2</t>
        </is>
      </c>
    </row>
    <row r="146">
      <c r="A146" s="22" t="inlineStr">
        <is>
          <t>E0143</t>
        </is>
      </c>
      <c r="B146" s="22" t="inlineStr">
        <is>
          <t>Louisville</t>
        </is>
      </c>
      <c r="C146" s="22" t="inlineStr">
        <is>
          <t>Midwest</t>
        </is>
      </c>
      <c r="D146" s="22" t="inlineStr">
        <is>
          <t>Technical</t>
        </is>
      </c>
      <c r="E146" s="22" t="inlineStr">
        <is>
          <t>Permitting &amp; Advisory</t>
        </is>
      </c>
      <c r="F146" s="22" t="inlineStr">
        <is>
          <t>Yes</t>
        </is>
      </c>
      <c r="G146" s="234" t="n">
        <v>61</v>
      </c>
      <c r="H146" s="225" t="n">
        <v>0.05</v>
      </c>
      <c r="I146" s="225" t="n">
        <v>0.66</v>
      </c>
      <c r="J146" s="225" t="n">
        <v>0.62</v>
      </c>
      <c r="K146" s="226" t="n">
        <v>42339</v>
      </c>
      <c r="L146" s="22" t="inlineStr">
        <is>
          <t>Meridian</t>
        </is>
      </c>
      <c r="M146" s="22" t="inlineStr">
        <is>
          <t>Active</t>
        </is>
      </c>
      <c r="N146" s="22" t="inlineStr">
        <is>
          <t>Staff</t>
        </is>
      </c>
      <c r="O146" s="22" t="inlineStr">
        <is>
          <t>No</t>
        </is>
      </c>
      <c r="P146" s="22" t="inlineStr">
        <is>
          <t>HRIS / KS-DL-1.2</t>
        </is>
      </c>
    </row>
    <row r="147">
      <c r="A147" s="22" t="inlineStr">
        <is>
          <t>E0144</t>
        </is>
      </c>
      <c r="B147" s="22" t="inlineStr">
        <is>
          <t>Nashville</t>
        </is>
      </c>
      <c r="C147" s="22" t="inlineStr">
        <is>
          <t>Southeast</t>
        </is>
      </c>
      <c r="D147" s="22" t="inlineStr">
        <is>
          <t>Project Management</t>
        </is>
      </c>
      <c r="E147" s="22" t="inlineStr">
        <is>
          <t>EHS Compliance</t>
        </is>
      </c>
      <c r="F147" s="22" t="inlineStr">
        <is>
          <t>Yes</t>
        </is>
      </c>
      <c r="G147" s="234" t="n">
        <v>78</v>
      </c>
      <c r="H147" s="225" t="n">
        <v>0.05</v>
      </c>
      <c r="I147" s="225" t="n">
        <v>0.73</v>
      </c>
      <c r="J147" s="225" t="n">
        <v>0.6899999999999999</v>
      </c>
      <c r="K147" s="226" t="n">
        <v>42370</v>
      </c>
      <c r="L147" s="22" t="inlineStr">
        <is>
          <t>Summit</t>
        </is>
      </c>
      <c r="M147" s="22" t="inlineStr">
        <is>
          <t>Active</t>
        </is>
      </c>
      <c r="N147" s="22" t="inlineStr">
        <is>
          <t>Manager</t>
        </is>
      </c>
      <c r="O147" s="22" t="inlineStr">
        <is>
          <t>No</t>
        </is>
      </c>
      <c r="P147" s="22" t="inlineStr">
        <is>
          <t>HRIS / KS-DL-1.2</t>
        </is>
      </c>
    </row>
    <row r="148">
      <c r="A148" s="22" t="inlineStr">
        <is>
          <t>E0145</t>
        </is>
      </c>
      <c r="B148" s="22" t="inlineStr">
        <is>
          <t>Raleigh</t>
        </is>
      </c>
      <c r="C148" s="22" t="inlineStr">
        <is>
          <t>Midwest</t>
        </is>
      </c>
      <c r="D148" s="22" t="inlineStr">
        <is>
          <t>Corporate</t>
        </is>
      </c>
      <c r="E148" s="22" t="inlineStr">
        <is>
          <t>Industrial Hygiene</t>
        </is>
      </c>
      <c r="F148" s="22" t="inlineStr">
        <is>
          <t>No</t>
        </is>
      </c>
      <c r="G148" s="234" t="n">
        <v>85</v>
      </c>
      <c r="H148" s="225" t="n">
        <v>0.15</v>
      </c>
      <c r="I148" s="225" t="n">
        <v>0</v>
      </c>
      <c r="J148" s="225" t="n">
        <v>0</v>
      </c>
      <c r="K148" s="226" t="n">
        <v>42767</v>
      </c>
      <c r="L148" s="22" t="inlineStr">
        <is>
          <t>Legacy Alderstone</t>
        </is>
      </c>
      <c r="M148" s="22" t="inlineStr">
        <is>
          <t>Active</t>
        </is>
      </c>
      <c r="N148" s="22" t="inlineStr">
        <is>
          <t>Staff</t>
        </is>
      </c>
      <c r="O148" s="22" t="inlineStr">
        <is>
          <t>Yes</t>
        </is>
      </c>
      <c r="P148" s="22" t="inlineStr">
        <is>
          <t>HRIS / KS-DL-1.2</t>
        </is>
      </c>
    </row>
    <row r="149">
      <c r="A149" s="22" t="inlineStr">
        <is>
          <t>E0146</t>
        </is>
      </c>
      <c r="B149" s="22" t="inlineStr">
        <is>
          <t>Charlotte</t>
        </is>
      </c>
      <c r="C149" s="22" t="inlineStr">
        <is>
          <t>Midwest</t>
        </is>
      </c>
      <c r="D149" s="22" t="inlineStr">
        <is>
          <t>Sales</t>
        </is>
      </c>
      <c r="E149" s="22" t="inlineStr">
        <is>
          <t>Field Inspection</t>
        </is>
      </c>
      <c r="F149" s="22" t="inlineStr">
        <is>
          <t>No</t>
        </is>
      </c>
      <c r="G149" s="234" t="n">
        <v>98</v>
      </c>
      <c r="H149" s="225" t="n">
        <v>0.15</v>
      </c>
      <c r="I149" s="225" t="n">
        <v>0</v>
      </c>
      <c r="J149" s="225" t="n">
        <v>0</v>
      </c>
      <c r="K149" s="226" t="n">
        <v>43160</v>
      </c>
      <c r="L149" s="22" t="inlineStr">
        <is>
          <t>Northstar</t>
        </is>
      </c>
      <c r="M149" s="22" t="inlineStr">
        <is>
          <t>Active</t>
        </is>
      </c>
      <c r="N149" s="22" t="inlineStr">
        <is>
          <t>Staff</t>
        </is>
      </c>
      <c r="O149" s="22" t="inlineStr">
        <is>
          <t>No</t>
        </is>
      </c>
      <c r="P149" s="22" t="inlineStr">
        <is>
          <t>HRIS / KS-DL-1.2</t>
        </is>
      </c>
    </row>
    <row r="150">
      <c r="A150" s="22" t="inlineStr">
        <is>
          <t>E0147</t>
        </is>
      </c>
      <c r="B150" s="22" t="inlineStr">
        <is>
          <t>Cincinnati</t>
        </is>
      </c>
      <c r="C150" s="22" t="inlineStr">
        <is>
          <t>Southeast</t>
        </is>
      </c>
      <c r="D150" s="22" t="inlineStr">
        <is>
          <t>Finance</t>
        </is>
      </c>
      <c r="E150" s="22" t="inlineStr">
        <is>
          <t>Permitting &amp; Advisory</t>
        </is>
      </c>
      <c r="F150" s="22" t="inlineStr">
        <is>
          <t>No</t>
        </is>
      </c>
      <c r="G150" s="234" t="n">
        <v>111</v>
      </c>
      <c r="H150" s="225" t="n">
        <v>0.15</v>
      </c>
      <c r="I150" s="225" t="n">
        <v>0</v>
      </c>
      <c r="J150" s="225" t="n">
        <v>0</v>
      </c>
      <c r="K150" s="226" t="n">
        <v>43556</v>
      </c>
      <c r="L150" s="22" t="inlineStr">
        <is>
          <t>Delta</t>
        </is>
      </c>
      <c r="M150" s="22" t="inlineStr">
        <is>
          <t>Active</t>
        </is>
      </c>
      <c r="N150" s="22" t="inlineStr">
        <is>
          <t>Staff</t>
        </is>
      </c>
      <c r="O150" s="22" t="inlineStr">
        <is>
          <t>No</t>
        </is>
      </c>
      <c r="P150" s="22" t="inlineStr">
        <is>
          <t>HRIS / KS-DL-1.2</t>
        </is>
      </c>
    </row>
    <row r="151">
      <c r="A151" s="22" t="inlineStr">
        <is>
          <t>E0148</t>
        </is>
      </c>
      <c r="B151" s="22" t="inlineStr">
        <is>
          <t>Columbus</t>
        </is>
      </c>
      <c r="C151" s="22" t="inlineStr">
        <is>
          <t>Midwest</t>
        </is>
      </c>
      <c r="D151" s="22" t="inlineStr">
        <is>
          <t>HR</t>
        </is>
      </c>
      <c r="E151" s="22" t="inlineStr">
        <is>
          <t>EHS Compliance</t>
        </is>
      </c>
      <c r="F151" s="22" t="inlineStr">
        <is>
          <t>No</t>
        </is>
      </c>
      <c r="G151" s="234" t="n">
        <v>124</v>
      </c>
      <c r="H151" s="225" t="n">
        <v>0.15</v>
      </c>
      <c r="I151" s="225" t="n">
        <v>0</v>
      </c>
      <c r="J151" s="225" t="n">
        <v>0</v>
      </c>
      <c r="K151" s="226" t="n">
        <v>43952</v>
      </c>
      <c r="L151" s="22" t="inlineStr">
        <is>
          <t>Meridian</t>
        </is>
      </c>
      <c r="M151" s="22" t="inlineStr">
        <is>
          <t>Active</t>
        </is>
      </c>
      <c r="N151" s="22" t="inlineStr">
        <is>
          <t>Staff</t>
        </is>
      </c>
      <c r="O151" s="22" t="inlineStr">
        <is>
          <t>No</t>
        </is>
      </c>
      <c r="P151" s="22" t="inlineStr">
        <is>
          <t>HRIS / KS-DL-1.2</t>
        </is>
      </c>
    </row>
    <row r="152">
      <c r="A152" s="22" t="inlineStr">
        <is>
          <t>E0149</t>
        </is>
      </c>
      <c r="B152" s="22" t="inlineStr">
        <is>
          <t>Knoxville</t>
        </is>
      </c>
      <c r="C152" s="22" t="inlineStr">
        <is>
          <t>Midwest</t>
        </is>
      </c>
      <c r="D152" s="22" t="inlineStr">
        <is>
          <t>IT</t>
        </is>
      </c>
      <c r="E152" s="22" t="inlineStr">
        <is>
          <t>Industrial Hygiene</t>
        </is>
      </c>
      <c r="F152" s="22" t="inlineStr">
        <is>
          <t>No</t>
        </is>
      </c>
      <c r="G152" s="234" t="n">
        <v>137</v>
      </c>
      <c r="H152" s="225" t="n">
        <v>0.15</v>
      </c>
      <c r="I152" s="225" t="n">
        <v>0</v>
      </c>
      <c r="J152" s="225" t="n">
        <v>0</v>
      </c>
      <c r="K152" s="226" t="n">
        <v>44348</v>
      </c>
      <c r="L152" s="22" t="inlineStr">
        <is>
          <t>Summit</t>
        </is>
      </c>
      <c r="M152" s="22" t="inlineStr">
        <is>
          <t>Active</t>
        </is>
      </c>
      <c r="N152" s="22" t="inlineStr">
        <is>
          <t>Staff</t>
        </is>
      </c>
      <c r="O152" s="22" t="inlineStr">
        <is>
          <t>No</t>
        </is>
      </c>
      <c r="P152" s="22" t="inlineStr">
        <is>
          <t>HRIS / KS-DL-1.2</t>
        </is>
      </c>
    </row>
    <row r="153">
      <c r="A153" s="22" t="inlineStr">
        <is>
          <t>E0150</t>
        </is>
      </c>
      <c r="B153" s="22" t="inlineStr">
        <is>
          <t>Greenville</t>
        </is>
      </c>
      <c r="C153" s="22" t="inlineStr">
        <is>
          <t>Southeast</t>
        </is>
      </c>
      <c r="D153" s="22" t="inlineStr">
        <is>
          <t>Technical</t>
        </is>
      </c>
      <c r="E153" s="22" t="inlineStr">
        <is>
          <t>Field Inspection</t>
        </is>
      </c>
      <c r="F153" s="22" t="inlineStr">
        <is>
          <t>Yes</t>
        </is>
      </c>
      <c r="G153" s="234" t="n">
        <v>90</v>
      </c>
      <c r="H153" s="225" t="n">
        <v>0.05</v>
      </c>
      <c r="I153" s="225" t="n">
        <v>0.55</v>
      </c>
      <c r="J153" s="225" t="n">
        <v>0.51</v>
      </c>
      <c r="K153" s="226" t="n">
        <v>44743</v>
      </c>
      <c r="L153" s="22" t="inlineStr">
        <is>
          <t>Legacy Alderstone</t>
        </is>
      </c>
      <c r="M153" s="22" t="inlineStr">
        <is>
          <t>Active</t>
        </is>
      </c>
      <c r="N153" s="22" t="inlineStr">
        <is>
          <t>Staff</t>
        </is>
      </c>
      <c r="O153" s="22" t="inlineStr">
        <is>
          <t>No</t>
        </is>
      </c>
      <c r="P153" s="22" t="inlineStr">
        <is>
          <t>HRIS / KS-DL-1.2</t>
        </is>
      </c>
    </row>
    <row r="154">
      <c r="A154" s="22" t="inlineStr">
        <is>
          <t>E0151</t>
        </is>
      </c>
      <c r="B154" s="22" t="inlineStr">
        <is>
          <t>Milwaukee</t>
        </is>
      </c>
      <c r="C154" s="22" t="inlineStr">
        <is>
          <t>Midwest</t>
        </is>
      </c>
      <c r="D154" s="22" t="inlineStr">
        <is>
          <t>Technical</t>
        </is>
      </c>
      <c r="E154" s="22" t="inlineStr">
        <is>
          <t>Permitting &amp; Advisory</t>
        </is>
      </c>
      <c r="F154" s="22" t="inlineStr">
        <is>
          <t>Yes</t>
        </is>
      </c>
      <c r="G154" s="234" t="n">
        <v>107</v>
      </c>
      <c r="H154" s="225" t="n">
        <v>0.05</v>
      </c>
      <c r="I154" s="225" t="n">
        <v>0.6200000000000001</v>
      </c>
      <c r="J154" s="225" t="n">
        <v>0.5800000000000001</v>
      </c>
      <c r="K154" s="226" t="n">
        <v>45139</v>
      </c>
      <c r="L154" s="22" t="inlineStr">
        <is>
          <t>Northstar</t>
        </is>
      </c>
      <c r="M154" s="22" t="inlineStr">
        <is>
          <t>Active</t>
        </is>
      </c>
      <c r="N154" s="22" t="inlineStr">
        <is>
          <t>Staff</t>
        </is>
      </c>
      <c r="O154" s="22" t="inlineStr">
        <is>
          <t>No</t>
        </is>
      </c>
      <c r="P154" s="22" t="inlineStr">
        <is>
          <t>HRIS / KS-DL-1.2</t>
        </is>
      </c>
    </row>
    <row r="155">
      <c r="A155" s="22" t="inlineStr">
        <is>
          <t>E0152</t>
        </is>
      </c>
      <c r="B155" s="22" t="inlineStr">
        <is>
          <t>St. Louis</t>
        </is>
      </c>
      <c r="C155" s="22" t="inlineStr">
        <is>
          <t>Midwest</t>
        </is>
      </c>
      <c r="D155" s="22" t="inlineStr">
        <is>
          <t>Technical</t>
        </is>
      </c>
      <c r="E155" s="22" t="inlineStr">
        <is>
          <t>EHS Compliance</t>
        </is>
      </c>
      <c r="F155" s="22" t="inlineStr">
        <is>
          <t>Yes</t>
        </is>
      </c>
      <c r="G155" s="234" t="n">
        <v>124</v>
      </c>
      <c r="H155" s="225" t="n">
        <v>0.05</v>
      </c>
      <c r="I155" s="225" t="n">
        <v>0.6900000000000001</v>
      </c>
      <c r="J155" s="225" t="n">
        <v>0.65</v>
      </c>
      <c r="K155" s="226" t="n">
        <v>45536</v>
      </c>
      <c r="L155" s="22" t="inlineStr">
        <is>
          <t>Delta</t>
        </is>
      </c>
      <c r="M155" s="22" t="inlineStr">
        <is>
          <t>Active</t>
        </is>
      </c>
      <c r="N155" s="22" t="inlineStr">
        <is>
          <t>Staff</t>
        </is>
      </c>
      <c r="O155" s="22" t="inlineStr">
        <is>
          <t>No</t>
        </is>
      </c>
      <c r="P155" s="22" t="inlineStr">
        <is>
          <t>HRIS / KS-DL-1.2</t>
        </is>
      </c>
    </row>
    <row r="156">
      <c r="A156" s="22" t="inlineStr">
        <is>
          <t>E0153</t>
        </is>
      </c>
      <c r="B156" s="22" t="inlineStr">
        <is>
          <t>Richmond</t>
        </is>
      </c>
      <c r="C156" s="22" t="inlineStr">
        <is>
          <t>Southeast</t>
        </is>
      </c>
      <c r="D156" s="22" t="inlineStr">
        <is>
          <t>Technical</t>
        </is>
      </c>
      <c r="E156" s="22" t="inlineStr">
        <is>
          <t>Industrial Hygiene</t>
        </is>
      </c>
      <c r="F156" s="22" t="inlineStr">
        <is>
          <t>Yes</t>
        </is>
      </c>
      <c r="G156" s="234" t="n">
        <v>141</v>
      </c>
      <c r="H156" s="225" t="n">
        <v>0.05</v>
      </c>
      <c r="I156" s="225" t="n">
        <v>0.76</v>
      </c>
      <c r="J156" s="225" t="n">
        <v>0.72</v>
      </c>
      <c r="K156" s="226" t="n">
        <v>45931</v>
      </c>
      <c r="L156" s="22" t="inlineStr">
        <is>
          <t>Meridian</t>
        </is>
      </c>
      <c r="M156" s="22" t="inlineStr">
        <is>
          <t>Active</t>
        </is>
      </c>
      <c r="N156" s="22" t="inlineStr">
        <is>
          <t>Staff</t>
        </is>
      </c>
      <c r="O156" s="22" t="inlineStr">
        <is>
          <t>No</t>
        </is>
      </c>
      <c r="P156" s="22" t="inlineStr">
        <is>
          <t>HRIS / KS-DL-1.2</t>
        </is>
      </c>
    </row>
    <row r="157">
      <c r="A157" s="22" t="inlineStr">
        <is>
          <t>E0154</t>
        </is>
      </c>
      <c r="B157" s="22" t="inlineStr">
        <is>
          <t>Indianapolis</t>
        </is>
      </c>
      <c r="C157" s="22" t="inlineStr">
        <is>
          <t>Midwest</t>
        </is>
      </c>
      <c r="D157" s="22" t="inlineStr">
        <is>
          <t>Project Management</t>
        </is>
      </c>
      <c r="E157" s="22" t="inlineStr">
        <is>
          <t>Field Inspection</t>
        </is>
      </c>
      <c r="F157" s="22" t="inlineStr">
        <is>
          <t>Yes</t>
        </is>
      </c>
      <c r="G157" s="234" t="n">
        <v>68</v>
      </c>
      <c r="H157" s="225" t="n">
        <v>0.05</v>
      </c>
      <c r="I157" s="225" t="n">
        <v>0.8300000000000001</v>
      </c>
      <c r="J157" s="225" t="n">
        <v>0.79</v>
      </c>
      <c r="K157" s="226" t="n">
        <v>42309</v>
      </c>
      <c r="L157" s="22" t="inlineStr">
        <is>
          <t>Summit</t>
        </is>
      </c>
      <c r="M157" s="22" t="inlineStr">
        <is>
          <t>Active</t>
        </is>
      </c>
      <c r="N157" s="22" t="inlineStr">
        <is>
          <t>Staff</t>
        </is>
      </c>
      <c r="O157" s="22" t="inlineStr">
        <is>
          <t>No</t>
        </is>
      </c>
      <c r="P157" s="22" t="inlineStr">
        <is>
          <t>HRIS / KS-DL-1.2</t>
        </is>
      </c>
    </row>
    <row r="158">
      <c r="A158" s="22" t="inlineStr">
        <is>
          <t>E0155</t>
        </is>
      </c>
      <c r="B158" s="22" t="inlineStr">
        <is>
          <t>Chicago</t>
        </is>
      </c>
      <c r="C158" s="22" t="inlineStr">
        <is>
          <t>Midwest</t>
        </is>
      </c>
      <c r="D158" s="22" t="inlineStr">
        <is>
          <t>Corporate</t>
        </is>
      </c>
      <c r="E158" s="22" t="inlineStr">
        <is>
          <t>Permitting &amp; Advisory</t>
        </is>
      </c>
      <c r="F158" s="22" t="inlineStr">
        <is>
          <t>No</t>
        </is>
      </c>
      <c r="G158" s="234" t="n">
        <v>105</v>
      </c>
      <c r="H158" s="225" t="n">
        <v>0.15</v>
      </c>
      <c r="I158" s="225" t="n">
        <v>0</v>
      </c>
      <c r="J158" s="225" t="n">
        <v>0</v>
      </c>
      <c r="K158" s="226" t="n">
        <v>42705</v>
      </c>
      <c r="L158" s="22" t="inlineStr">
        <is>
          <t>Legacy Alderstone</t>
        </is>
      </c>
      <c r="M158" s="22" t="inlineStr">
        <is>
          <t>Active</t>
        </is>
      </c>
      <c r="N158" s="22" t="inlineStr">
        <is>
          <t>Staff</t>
        </is>
      </c>
      <c r="O158" s="22" t="inlineStr">
        <is>
          <t>No</t>
        </is>
      </c>
      <c r="P158" s="22" t="inlineStr">
        <is>
          <t>HRIS / KS-DL-1.2</t>
        </is>
      </c>
    </row>
    <row r="159">
      <c r="A159" s="22" t="inlineStr">
        <is>
          <t>E0156</t>
        </is>
      </c>
      <c r="B159" s="22" t="inlineStr">
        <is>
          <t>Detroit</t>
        </is>
      </c>
      <c r="C159" s="22" t="inlineStr">
        <is>
          <t>Southeast</t>
        </is>
      </c>
      <c r="D159" s="22" t="inlineStr">
        <is>
          <t>Sales</t>
        </is>
      </c>
      <c r="E159" s="22" t="inlineStr">
        <is>
          <t>EHS Compliance</t>
        </is>
      </c>
      <c r="F159" s="22" t="inlineStr">
        <is>
          <t>No</t>
        </is>
      </c>
      <c r="G159" s="234" t="n">
        <v>118</v>
      </c>
      <c r="H159" s="225" t="n">
        <v>0.15</v>
      </c>
      <c r="I159" s="225" t="n">
        <v>0</v>
      </c>
      <c r="J159" s="225" t="n">
        <v>0</v>
      </c>
      <c r="K159" s="226" t="n">
        <v>42736</v>
      </c>
      <c r="L159" s="22" t="inlineStr">
        <is>
          <t>Northstar</t>
        </is>
      </c>
      <c r="M159" s="22" t="inlineStr">
        <is>
          <t>Active</t>
        </is>
      </c>
      <c r="N159" s="22" t="inlineStr">
        <is>
          <t>Manager</t>
        </is>
      </c>
      <c r="O159" s="22" t="inlineStr">
        <is>
          <t>No</t>
        </is>
      </c>
      <c r="P159" s="22" t="inlineStr">
        <is>
          <t>HRIS / KS-DL-1.2</t>
        </is>
      </c>
    </row>
    <row r="160">
      <c r="A160" s="22" t="inlineStr">
        <is>
          <t>E0157</t>
        </is>
      </c>
      <c r="B160" s="22" t="inlineStr">
        <is>
          <t>Louisville</t>
        </is>
      </c>
      <c r="C160" s="22" t="inlineStr">
        <is>
          <t>Midwest</t>
        </is>
      </c>
      <c r="D160" s="22" t="inlineStr">
        <is>
          <t>Finance</t>
        </is>
      </c>
      <c r="E160" s="22" t="inlineStr">
        <is>
          <t>Industrial Hygiene</t>
        </is>
      </c>
      <c r="F160" s="22" t="inlineStr">
        <is>
          <t>No</t>
        </is>
      </c>
      <c r="G160" s="234" t="n">
        <v>131</v>
      </c>
      <c r="H160" s="225" t="n">
        <v>0.15</v>
      </c>
      <c r="I160" s="225" t="n">
        <v>0</v>
      </c>
      <c r="J160" s="225" t="n">
        <v>0</v>
      </c>
      <c r="K160" s="226" t="n">
        <v>43132</v>
      </c>
      <c r="L160" s="22" t="inlineStr">
        <is>
          <t>Delta</t>
        </is>
      </c>
      <c r="M160" s="22" t="inlineStr">
        <is>
          <t>Active</t>
        </is>
      </c>
      <c r="N160" s="22" t="inlineStr">
        <is>
          <t>Staff</t>
        </is>
      </c>
      <c r="O160" s="22" t="inlineStr">
        <is>
          <t>No</t>
        </is>
      </c>
      <c r="P160" s="22" t="inlineStr">
        <is>
          <t>HRIS / KS-DL-1.2</t>
        </is>
      </c>
    </row>
    <row r="161">
      <c r="A161" s="22" t="inlineStr">
        <is>
          <t>E0158</t>
        </is>
      </c>
      <c r="B161" s="22" t="inlineStr">
        <is>
          <t>Nashville</t>
        </is>
      </c>
      <c r="C161" s="22" t="inlineStr">
        <is>
          <t>Midwest</t>
        </is>
      </c>
      <c r="D161" s="22" t="inlineStr">
        <is>
          <t>HR</t>
        </is>
      </c>
      <c r="E161" s="22" t="inlineStr">
        <is>
          <t>Field Inspection</t>
        </is>
      </c>
      <c r="F161" s="22" t="inlineStr">
        <is>
          <t>No</t>
        </is>
      </c>
      <c r="G161" s="234" t="n">
        <v>144</v>
      </c>
      <c r="H161" s="225" t="n">
        <v>0.15</v>
      </c>
      <c r="I161" s="225" t="n">
        <v>0</v>
      </c>
      <c r="J161" s="225" t="n">
        <v>0</v>
      </c>
      <c r="K161" s="226" t="n">
        <v>43525</v>
      </c>
      <c r="L161" s="22" t="inlineStr">
        <is>
          <t>Meridian</t>
        </is>
      </c>
      <c r="M161" s="22" t="inlineStr">
        <is>
          <t>Active</t>
        </is>
      </c>
      <c r="N161" s="22" t="inlineStr">
        <is>
          <t>Staff</t>
        </is>
      </c>
      <c r="O161" s="22" t="inlineStr">
        <is>
          <t>No</t>
        </is>
      </c>
      <c r="P161" s="22" t="inlineStr">
        <is>
          <t>HRIS / KS-DL-1.2</t>
        </is>
      </c>
    </row>
    <row r="162">
      <c r="A162" s="22" t="inlineStr">
        <is>
          <t>E0159</t>
        </is>
      </c>
      <c r="B162" s="22" t="inlineStr">
        <is>
          <t>Raleigh</t>
        </is>
      </c>
      <c r="C162" s="22" t="inlineStr">
        <is>
          <t>Southeast</t>
        </is>
      </c>
      <c r="D162" s="22" t="inlineStr">
        <is>
          <t>IT</t>
        </is>
      </c>
      <c r="E162" s="22" t="inlineStr">
        <is>
          <t>Permitting &amp; Advisory</t>
        </is>
      </c>
      <c r="F162" s="22" t="inlineStr">
        <is>
          <t>No</t>
        </is>
      </c>
      <c r="G162" s="234" t="n">
        <v>157</v>
      </c>
      <c r="H162" s="225" t="n">
        <v>0.15</v>
      </c>
      <c r="I162" s="225" t="n">
        <v>0</v>
      </c>
      <c r="J162" s="225" t="n">
        <v>0</v>
      </c>
      <c r="K162" s="226" t="n">
        <v>43922</v>
      </c>
      <c r="L162" s="22" t="inlineStr">
        <is>
          <t>Summit</t>
        </is>
      </c>
      <c r="M162" s="22" t="inlineStr">
        <is>
          <t>Active</t>
        </is>
      </c>
      <c r="N162" s="22" t="inlineStr">
        <is>
          <t>Staff</t>
        </is>
      </c>
      <c r="O162" s="22" t="inlineStr">
        <is>
          <t>No</t>
        </is>
      </c>
      <c r="P162" s="22" t="inlineStr">
        <is>
          <t>HRIS / KS-DL-1.2</t>
        </is>
      </c>
    </row>
    <row r="163">
      <c r="A163" s="22" t="inlineStr">
        <is>
          <t>E0160</t>
        </is>
      </c>
      <c r="B163" s="22" t="inlineStr">
        <is>
          <t>Charlotte</t>
        </is>
      </c>
      <c r="C163" s="22" t="inlineStr">
        <is>
          <t>Midwest</t>
        </is>
      </c>
      <c r="D163" s="22" t="inlineStr">
        <is>
          <t>Technical</t>
        </is>
      </c>
      <c r="E163" s="22" t="inlineStr">
        <is>
          <t>EHS Compliance</t>
        </is>
      </c>
      <c r="F163" s="22" t="inlineStr">
        <is>
          <t>Yes</t>
        </is>
      </c>
      <c r="G163" s="234" t="n">
        <v>80</v>
      </c>
      <c r="H163" s="225" t="n">
        <v>0.05</v>
      </c>
      <c r="I163" s="225" t="n">
        <v>0.65</v>
      </c>
      <c r="J163" s="225" t="n">
        <v>0.61</v>
      </c>
      <c r="K163" s="226" t="n">
        <v>44317</v>
      </c>
      <c r="L163" s="22" t="inlineStr">
        <is>
          <t>Legacy Alderstone</t>
        </is>
      </c>
      <c r="M163" s="22" t="inlineStr">
        <is>
          <t>Active</t>
        </is>
      </c>
      <c r="N163" s="22" t="inlineStr">
        <is>
          <t>Staff</t>
        </is>
      </c>
      <c r="O163" s="22" t="inlineStr">
        <is>
          <t>No</t>
        </is>
      </c>
      <c r="P163" s="22" t="inlineStr">
        <is>
          <t>HRIS / KS-DL-1.2</t>
        </is>
      </c>
    </row>
    <row r="164">
      <c r="A164" s="22" t="inlineStr">
        <is>
          <t>E0161</t>
        </is>
      </c>
      <c r="B164" s="22" t="inlineStr">
        <is>
          <t>Cincinnati</t>
        </is>
      </c>
      <c r="C164" s="22" t="inlineStr">
        <is>
          <t>Midwest</t>
        </is>
      </c>
      <c r="D164" s="22" t="inlineStr">
        <is>
          <t>Technical</t>
        </is>
      </c>
      <c r="E164" s="22" t="inlineStr">
        <is>
          <t>Industrial Hygiene</t>
        </is>
      </c>
      <c r="F164" s="22" t="inlineStr">
        <is>
          <t>Yes</t>
        </is>
      </c>
      <c r="G164" s="234" t="n">
        <v>97</v>
      </c>
      <c r="H164" s="225" t="n">
        <v>0.05</v>
      </c>
      <c r="I164" s="225" t="n">
        <v>0.7200000000000001</v>
      </c>
      <c r="J164" s="225" t="n">
        <v>0.68</v>
      </c>
      <c r="K164" s="226" t="n">
        <v>44713</v>
      </c>
      <c r="L164" s="22" t="inlineStr">
        <is>
          <t>Northstar</t>
        </is>
      </c>
      <c r="M164" s="22" t="inlineStr">
        <is>
          <t>Active</t>
        </is>
      </c>
      <c r="N164" s="22" t="inlineStr">
        <is>
          <t>Staff</t>
        </is>
      </c>
      <c r="O164" s="22" t="inlineStr">
        <is>
          <t>No</t>
        </is>
      </c>
      <c r="P164" s="22" t="inlineStr">
        <is>
          <t>HRIS / KS-DL-1.2</t>
        </is>
      </c>
    </row>
    <row r="165">
      <c r="A165" s="22" t="inlineStr">
        <is>
          <t>E0162</t>
        </is>
      </c>
      <c r="B165" s="22" t="inlineStr">
        <is>
          <t>Columbus</t>
        </is>
      </c>
      <c r="C165" s="22" t="inlineStr">
        <is>
          <t>Southeast</t>
        </is>
      </c>
      <c r="D165" s="22" t="inlineStr">
        <is>
          <t>Technical</t>
        </is>
      </c>
      <c r="E165" s="22" t="inlineStr">
        <is>
          <t>Field Inspection</t>
        </is>
      </c>
      <c r="F165" s="22" t="inlineStr">
        <is>
          <t>Yes</t>
        </is>
      </c>
      <c r="G165" s="234" t="n">
        <v>114</v>
      </c>
      <c r="H165" s="225" t="n">
        <v>0.05</v>
      </c>
      <c r="I165" s="225" t="n">
        <v>0.79</v>
      </c>
      <c r="J165" s="225" t="n">
        <v>0.75</v>
      </c>
      <c r="K165" s="226" t="n">
        <v>45108</v>
      </c>
      <c r="L165" s="22" t="inlineStr">
        <is>
          <t>Delta</t>
        </is>
      </c>
      <c r="M165" s="22" t="inlineStr">
        <is>
          <t>Active</t>
        </is>
      </c>
      <c r="N165" s="22" t="inlineStr">
        <is>
          <t>Staff</t>
        </is>
      </c>
      <c r="O165" s="22" t="inlineStr">
        <is>
          <t>No</t>
        </is>
      </c>
      <c r="P165" s="22" t="inlineStr">
        <is>
          <t>HRIS / KS-DL-1.2</t>
        </is>
      </c>
    </row>
    <row r="166">
      <c r="A166" s="22" t="inlineStr">
        <is>
          <t>E0163</t>
        </is>
      </c>
      <c r="B166" s="22" t="inlineStr">
        <is>
          <t>Knoxville</t>
        </is>
      </c>
      <c r="C166" s="22" t="inlineStr">
        <is>
          <t>Midwest</t>
        </is>
      </c>
      <c r="D166" s="22" t="inlineStr">
        <is>
          <t>Technical</t>
        </is>
      </c>
      <c r="E166" s="22" t="inlineStr">
        <is>
          <t>Permitting &amp; Advisory</t>
        </is>
      </c>
      <c r="F166" s="22" t="inlineStr">
        <is>
          <t>Yes</t>
        </is>
      </c>
      <c r="G166" s="234" t="n">
        <v>131</v>
      </c>
      <c r="H166" s="225" t="n">
        <v>0.05</v>
      </c>
      <c r="I166" s="225" t="n">
        <v>0.5600000000000001</v>
      </c>
      <c r="J166" s="225" t="n">
        <v>0.52</v>
      </c>
      <c r="K166" s="226" t="n">
        <v>45505</v>
      </c>
      <c r="L166" s="22" t="inlineStr">
        <is>
          <t>Meridian</t>
        </is>
      </c>
      <c r="M166" s="22" t="inlineStr">
        <is>
          <t>Active</t>
        </is>
      </c>
      <c r="N166" s="22" t="inlineStr">
        <is>
          <t>Staff</t>
        </is>
      </c>
      <c r="O166" s="22" t="inlineStr">
        <is>
          <t>No</t>
        </is>
      </c>
      <c r="P166" s="22" t="inlineStr">
        <is>
          <t>HRIS / KS-DL-1.2</t>
        </is>
      </c>
    </row>
    <row r="167">
      <c r="A167" s="22" t="inlineStr">
        <is>
          <t>E0164</t>
        </is>
      </c>
      <c r="B167" s="22" t="inlineStr">
        <is>
          <t>Greenville</t>
        </is>
      </c>
      <c r="C167" s="22" t="inlineStr">
        <is>
          <t>Midwest</t>
        </is>
      </c>
      <c r="D167" s="22" t="inlineStr">
        <is>
          <t>Project Management</t>
        </is>
      </c>
      <c r="E167" s="22" t="inlineStr">
        <is>
          <t>EHS Compliance</t>
        </is>
      </c>
      <c r="F167" s="22" t="inlineStr">
        <is>
          <t>Yes</t>
        </is>
      </c>
      <c r="G167" s="234" t="n">
        <v>148</v>
      </c>
      <c r="H167" s="225" t="n">
        <v>0.05</v>
      </c>
      <c r="I167" s="225" t="n">
        <v>0.63</v>
      </c>
      <c r="J167" s="225" t="n">
        <v>0.59</v>
      </c>
      <c r="K167" s="226" t="n">
        <v>45901</v>
      </c>
      <c r="L167" s="22" t="inlineStr">
        <is>
          <t>Summit</t>
        </is>
      </c>
      <c r="M167" s="22" t="inlineStr">
        <is>
          <t>Active</t>
        </is>
      </c>
      <c r="N167" s="22" t="inlineStr">
        <is>
          <t>Staff</t>
        </is>
      </c>
      <c r="O167" s="22" t="inlineStr">
        <is>
          <t>No</t>
        </is>
      </c>
      <c r="P167" s="22" t="inlineStr">
        <is>
          <t>HRIS / KS-DL-1.2</t>
        </is>
      </c>
    </row>
    <row r="168">
      <c r="A168" s="22" t="inlineStr">
        <is>
          <t>E0165</t>
        </is>
      </c>
      <c r="B168" s="22" t="inlineStr">
        <is>
          <t>Milwaukee</t>
        </is>
      </c>
      <c r="C168" s="22" t="inlineStr">
        <is>
          <t>Southeast</t>
        </is>
      </c>
      <c r="D168" s="22" t="inlineStr">
        <is>
          <t>Corporate</t>
        </is>
      </c>
      <c r="E168" s="22" t="inlineStr">
        <is>
          <t>Industrial Hygiene</t>
        </is>
      </c>
      <c r="F168" s="22" t="inlineStr">
        <is>
          <t>No</t>
        </is>
      </c>
      <c r="G168" s="234" t="n">
        <v>125</v>
      </c>
      <c r="H168" s="225" t="n">
        <v>0.15</v>
      </c>
      <c r="I168" s="225" t="n">
        <v>0</v>
      </c>
      <c r="J168" s="225" t="n">
        <v>0</v>
      </c>
      <c r="K168" s="226" t="n">
        <v>42278</v>
      </c>
      <c r="L168" s="22" t="inlineStr">
        <is>
          <t>Legacy Alderstone</t>
        </is>
      </c>
      <c r="M168" s="22" t="inlineStr">
        <is>
          <t>Active</t>
        </is>
      </c>
      <c r="N168" s="22" t="inlineStr">
        <is>
          <t>Staff</t>
        </is>
      </c>
      <c r="O168" s="22" t="inlineStr">
        <is>
          <t>No</t>
        </is>
      </c>
      <c r="P168" s="22" t="inlineStr">
        <is>
          <t>HRIS / KS-DL-1.2</t>
        </is>
      </c>
    </row>
    <row r="169">
      <c r="A169" s="22" t="inlineStr">
        <is>
          <t>E0166</t>
        </is>
      </c>
      <c r="B169" s="22" t="inlineStr">
        <is>
          <t>St. Louis</t>
        </is>
      </c>
      <c r="C169" s="22" t="inlineStr">
        <is>
          <t>Midwest</t>
        </is>
      </c>
      <c r="D169" s="22" t="inlineStr">
        <is>
          <t>Sales</t>
        </is>
      </c>
      <c r="E169" s="22" t="inlineStr">
        <is>
          <t>Field Inspection</t>
        </is>
      </c>
      <c r="F169" s="22" t="inlineStr">
        <is>
          <t>No</t>
        </is>
      </c>
      <c r="G169" s="234" t="n">
        <v>138</v>
      </c>
      <c r="H169" s="225" t="n">
        <v>0.15</v>
      </c>
      <c r="I169" s="225" t="n">
        <v>0</v>
      </c>
      <c r="J169" s="225" t="n">
        <v>0</v>
      </c>
      <c r="K169" s="226" t="n">
        <v>42675</v>
      </c>
      <c r="L169" s="22" t="inlineStr">
        <is>
          <t>Northstar</t>
        </is>
      </c>
      <c r="M169" s="22" t="inlineStr">
        <is>
          <t>Active</t>
        </is>
      </c>
      <c r="N169" s="22" t="inlineStr">
        <is>
          <t>Staff</t>
        </is>
      </c>
      <c r="O169" s="22" t="inlineStr">
        <is>
          <t>No</t>
        </is>
      </c>
      <c r="P169" s="22" t="inlineStr">
        <is>
          <t>HRIS / KS-DL-1.2</t>
        </is>
      </c>
    </row>
    <row r="170">
      <c r="A170" s="22" t="inlineStr">
        <is>
          <t>E0167</t>
        </is>
      </c>
      <c r="B170" s="22" t="inlineStr">
        <is>
          <t>Richmond</t>
        </is>
      </c>
      <c r="C170" s="22" t="inlineStr">
        <is>
          <t>Midwest</t>
        </is>
      </c>
      <c r="D170" s="22" t="inlineStr">
        <is>
          <t>Finance</t>
        </is>
      </c>
      <c r="E170" s="22" t="inlineStr">
        <is>
          <t>Permitting &amp; Advisory</t>
        </is>
      </c>
      <c r="F170" s="22" t="inlineStr">
        <is>
          <t>No</t>
        </is>
      </c>
      <c r="G170" s="234" t="n">
        <v>151</v>
      </c>
      <c r="H170" s="225" t="n">
        <v>0.15</v>
      </c>
      <c r="I170" s="225" t="n">
        <v>0</v>
      </c>
      <c r="J170" s="225" t="n">
        <v>0</v>
      </c>
      <c r="K170" s="226" t="n">
        <v>43070</v>
      </c>
      <c r="L170" s="22" t="inlineStr">
        <is>
          <t>Delta</t>
        </is>
      </c>
      <c r="M170" s="22" t="inlineStr">
        <is>
          <t>Active</t>
        </is>
      </c>
      <c r="N170" s="22" t="inlineStr">
        <is>
          <t>Staff</t>
        </is>
      </c>
      <c r="O170" s="22" t="inlineStr">
        <is>
          <t>No</t>
        </is>
      </c>
      <c r="P170" s="22" t="inlineStr">
        <is>
          <t>HRIS / KS-DL-1.2</t>
        </is>
      </c>
    </row>
    <row r="171">
      <c r="A171" s="22" t="inlineStr">
        <is>
          <t>E0168</t>
        </is>
      </c>
      <c r="B171" s="22" t="inlineStr">
        <is>
          <t>Indianapolis</t>
        </is>
      </c>
      <c r="C171" s="22" t="inlineStr">
        <is>
          <t>Southeast</t>
        </is>
      </c>
      <c r="D171" s="22" t="inlineStr">
        <is>
          <t>HR</t>
        </is>
      </c>
      <c r="E171" s="22" t="inlineStr">
        <is>
          <t>EHS Compliance</t>
        </is>
      </c>
      <c r="F171" s="22" t="inlineStr">
        <is>
          <t>No</t>
        </is>
      </c>
      <c r="G171" s="234" t="n">
        <v>164</v>
      </c>
      <c r="H171" s="225" t="n">
        <v>0.15</v>
      </c>
      <c r="I171" s="225" t="n">
        <v>0</v>
      </c>
      <c r="J171" s="225" t="n">
        <v>0</v>
      </c>
      <c r="K171" s="226" t="n">
        <v>43101</v>
      </c>
      <c r="L171" s="22" t="inlineStr">
        <is>
          <t>Meridian</t>
        </is>
      </c>
      <c r="M171" s="22" t="inlineStr">
        <is>
          <t>Active</t>
        </is>
      </c>
      <c r="N171" s="22" t="inlineStr">
        <is>
          <t>Manager</t>
        </is>
      </c>
      <c r="O171" s="22" t="inlineStr">
        <is>
          <t>No</t>
        </is>
      </c>
      <c r="P171" s="22" t="inlineStr">
        <is>
          <t>HRIS / KS-DL-1.2</t>
        </is>
      </c>
    </row>
    <row r="172">
      <c r="A172" s="22" t="inlineStr">
        <is>
          <t>E0169</t>
        </is>
      </c>
      <c r="B172" s="22" t="inlineStr">
        <is>
          <t>Chicago</t>
        </is>
      </c>
      <c r="C172" s="22" t="inlineStr">
        <is>
          <t>Midwest</t>
        </is>
      </c>
      <c r="D172" s="22" t="inlineStr">
        <is>
          <t>IT</t>
        </is>
      </c>
      <c r="E172" s="22" t="inlineStr">
        <is>
          <t>Industrial Hygiene</t>
        </is>
      </c>
      <c r="F172" s="22" t="inlineStr">
        <is>
          <t>No</t>
        </is>
      </c>
      <c r="G172" s="234" t="n">
        <v>177</v>
      </c>
      <c r="H172" s="225" t="n">
        <v>0.15</v>
      </c>
      <c r="I172" s="225" t="n">
        <v>0</v>
      </c>
      <c r="J172" s="225" t="n">
        <v>0</v>
      </c>
      <c r="K172" s="226" t="n">
        <v>43497</v>
      </c>
      <c r="L172" s="22" t="inlineStr">
        <is>
          <t>Summit</t>
        </is>
      </c>
      <c r="M172" s="22" t="inlineStr">
        <is>
          <t>Active</t>
        </is>
      </c>
      <c r="N172" s="22" t="inlineStr">
        <is>
          <t>Staff</t>
        </is>
      </c>
      <c r="O172" s="22" t="inlineStr">
        <is>
          <t>No</t>
        </is>
      </c>
      <c r="P172" s="22" t="inlineStr">
        <is>
          <t>HRIS / KS-DL-1.2</t>
        </is>
      </c>
    </row>
    <row r="173">
      <c r="A173" s="22" t="inlineStr">
        <is>
          <t>E0170</t>
        </is>
      </c>
      <c r="B173" s="22" t="inlineStr">
        <is>
          <t>Detroit</t>
        </is>
      </c>
      <c r="C173" s="22" t="inlineStr">
        <is>
          <t>Midwest</t>
        </is>
      </c>
      <c r="D173" s="22" t="inlineStr">
        <is>
          <t>Technical</t>
        </is>
      </c>
      <c r="E173" s="22" t="inlineStr">
        <is>
          <t>Field Inspection</t>
        </is>
      </c>
      <c r="F173" s="22" t="inlineStr">
        <is>
          <t>Yes</t>
        </is>
      </c>
      <c r="G173" s="234" t="n">
        <v>70</v>
      </c>
      <c r="H173" s="225" t="n">
        <v>0.05</v>
      </c>
      <c r="I173" s="225" t="n">
        <v>0.75</v>
      </c>
      <c r="J173" s="225" t="n">
        <v>0.71</v>
      </c>
      <c r="K173" s="226" t="n">
        <v>43891</v>
      </c>
      <c r="L173" s="22" t="inlineStr">
        <is>
          <t>Legacy Alderstone</t>
        </is>
      </c>
      <c r="M173" s="22" t="inlineStr">
        <is>
          <t>Active</t>
        </is>
      </c>
      <c r="N173" s="22" t="inlineStr">
        <is>
          <t>Staff</t>
        </is>
      </c>
      <c r="O173" s="22" t="inlineStr">
        <is>
          <t>No</t>
        </is>
      </c>
      <c r="P173" s="22" t="inlineStr">
        <is>
          <t>HRIS / KS-DL-1.2</t>
        </is>
      </c>
    </row>
    <row r="174">
      <c r="A174" s="22" t="inlineStr">
        <is>
          <t>E0171</t>
        </is>
      </c>
      <c r="B174" s="22" t="inlineStr">
        <is>
          <t>Louisville</t>
        </is>
      </c>
      <c r="C174" s="22" t="inlineStr">
        <is>
          <t>Southeast</t>
        </is>
      </c>
      <c r="D174" s="22" t="inlineStr">
        <is>
          <t>Technical</t>
        </is>
      </c>
      <c r="E174" s="22" t="inlineStr">
        <is>
          <t>Permitting &amp; Advisory</t>
        </is>
      </c>
      <c r="F174" s="22" t="inlineStr">
        <is>
          <t>Yes</t>
        </is>
      </c>
      <c r="G174" s="234" t="n">
        <v>87</v>
      </c>
      <c r="H174" s="225" t="n">
        <v>0.05</v>
      </c>
      <c r="I174" s="225" t="n">
        <v>0.8200000000000001</v>
      </c>
      <c r="J174" s="225" t="n">
        <v>0.78</v>
      </c>
      <c r="K174" s="226" t="n">
        <v>44287</v>
      </c>
      <c r="L174" s="22" t="inlineStr">
        <is>
          <t>Northstar</t>
        </is>
      </c>
      <c r="M174" s="22" t="inlineStr">
        <is>
          <t>Active</t>
        </is>
      </c>
      <c r="N174" s="22" t="inlineStr">
        <is>
          <t>Staff</t>
        </is>
      </c>
      <c r="O174" s="22" t="inlineStr">
        <is>
          <t>No</t>
        </is>
      </c>
      <c r="P174" s="22" t="inlineStr">
        <is>
          <t>HRIS / KS-DL-1.2</t>
        </is>
      </c>
    </row>
    <row r="175">
      <c r="A175" s="22" t="inlineStr">
        <is>
          <t>E0172</t>
        </is>
      </c>
      <c r="B175" s="22" t="inlineStr">
        <is>
          <t>Nashville</t>
        </is>
      </c>
      <c r="C175" s="22" t="inlineStr">
        <is>
          <t>Midwest</t>
        </is>
      </c>
      <c r="D175" s="22" t="inlineStr">
        <is>
          <t>Technical</t>
        </is>
      </c>
      <c r="E175" s="22" t="inlineStr">
        <is>
          <t>EHS Compliance</t>
        </is>
      </c>
      <c r="F175" s="22" t="inlineStr">
        <is>
          <t>Yes</t>
        </is>
      </c>
      <c r="G175" s="234" t="n">
        <v>104</v>
      </c>
      <c r="H175" s="225" t="n">
        <v>0.05</v>
      </c>
      <c r="I175" s="225" t="n">
        <v>0.5900000000000001</v>
      </c>
      <c r="J175" s="225" t="n">
        <v>0.55</v>
      </c>
      <c r="K175" s="226" t="n">
        <v>44682</v>
      </c>
      <c r="L175" s="22" t="inlineStr">
        <is>
          <t>Delta</t>
        </is>
      </c>
      <c r="M175" s="22" t="inlineStr">
        <is>
          <t>Active</t>
        </is>
      </c>
      <c r="N175" s="22" t="inlineStr">
        <is>
          <t>Staff</t>
        </is>
      </c>
      <c r="O175" s="22" t="inlineStr">
        <is>
          <t>No</t>
        </is>
      </c>
      <c r="P175" s="22" t="inlineStr">
        <is>
          <t>HRIS / KS-DL-1.2</t>
        </is>
      </c>
    </row>
    <row r="176">
      <c r="A176" s="22" t="inlineStr">
        <is>
          <t>E0173</t>
        </is>
      </c>
      <c r="B176" s="22" t="inlineStr">
        <is>
          <t>Raleigh</t>
        </is>
      </c>
      <c r="C176" s="22" t="inlineStr">
        <is>
          <t>Midwest</t>
        </is>
      </c>
      <c r="D176" s="22" t="inlineStr">
        <is>
          <t>Technical</t>
        </is>
      </c>
      <c r="E176" s="22" t="inlineStr">
        <is>
          <t>Industrial Hygiene</t>
        </is>
      </c>
      <c r="F176" s="22" t="inlineStr">
        <is>
          <t>Yes</t>
        </is>
      </c>
      <c r="G176" s="234" t="n">
        <v>121</v>
      </c>
      <c r="H176" s="225" t="n">
        <v>0.05</v>
      </c>
      <c r="I176" s="225" t="n">
        <v>0.66</v>
      </c>
      <c r="J176" s="225" t="n">
        <v>0.62</v>
      </c>
      <c r="K176" s="226" t="n">
        <v>45078</v>
      </c>
      <c r="L176" s="22" t="inlineStr">
        <is>
          <t>Meridian</t>
        </is>
      </c>
      <c r="M176" s="22" t="inlineStr">
        <is>
          <t>Active</t>
        </is>
      </c>
      <c r="N176" s="22" t="inlineStr">
        <is>
          <t>Staff</t>
        </is>
      </c>
      <c r="O176" s="22" t="inlineStr">
        <is>
          <t>No</t>
        </is>
      </c>
      <c r="P176" s="22" t="inlineStr">
        <is>
          <t>HRIS / KS-DL-1.2</t>
        </is>
      </c>
    </row>
    <row r="177">
      <c r="A177" s="22" t="inlineStr">
        <is>
          <t>E0174</t>
        </is>
      </c>
      <c r="B177" s="22" t="inlineStr">
        <is>
          <t>Charlotte</t>
        </is>
      </c>
      <c r="C177" s="22" t="inlineStr">
        <is>
          <t>Southeast</t>
        </is>
      </c>
      <c r="D177" s="22" t="inlineStr">
        <is>
          <t>Project Management</t>
        </is>
      </c>
      <c r="E177" s="22" t="inlineStr">
        <is>
          <t>Field Inspection</t>
        </is>
      </c>
      <c r="F177" s="22" t="inlineStr">
        <is>
          <t>Yes</t>
        </is>
      </c>
      <c r="G177" s="234" t="n">
        <v>138</v>
      </c>
      <c r="H177" s="225" t="n">
        <v>0.05</v>
      </c>
      <c r="I177" s="225" t="n">
        <v>0.73</v>
      </c>
      <c r="J177" s="225" t="n">
        <v>0.6899999999999999</v>
      </c>
      <c r="K177" s="226" t="n">
        <v>45474</v>
      </c>
      <c r="L177" s="22" t="inlineStr">
        <is>
          <t>Summit</t>
        </is>
      </c>
      <c r="M177" s="22" t="inlineStr">
        <is>
          <t>Active</t>
        </is>
      </c>
      <c r="N177" s="22" t="inlineStr">
        <is>
          <t>Staff</t>
        </is>
      </c>
      <c r="O177" s="22" t="inlineStr">
        <is>
          <t>Yes</t>
        </is>
      </c>
      <c r="P177" s="22" t="inlineStr">
        <is>
          <t>HRIS / KS-DL-1.2</t>
        </is>
      </c>
    </row>
    <row r="178">
      <c r="A178" s="22" t="inlineStr">
        <is>
          <t>E0175</t>
        </is>
      </c>
      <c r="B178" s="22" t="inlineStr">
        <is>
          <t>Cincinnati</t>
        </is>
      </c>
      <c r="C178" s="22" t="inlineStr">
        <is>
          <t>Midwest</t>
        </is>
      </c>
      <c r="D178" s="22" t="inlineStr">
        <is>
          <t>Corporate</t>
        </is>
      </c>
      <c r="E178" s="22" t="inlineStr">
        <is>
          <t>Permitting &amp; Advisory</t>
        </is>
      </c>
      <c r="F178" s="22" t="inlineStr">
        <is>
          <t>No</t>
        </is>
      </c>
      <c r="G178" s="234" t="n">
        <v>145</v>
      </c>
      <c r="H178" s="225" t="n">
        <v>0.15</v>
      </c>
      <c r="I178" s="225" t="n">
        <v>0</v>
      </c>
      <c r="J178" s="225" t="n">
        <v>0</v>
      </c>
      <c r="K178" s="226" t="n">
        <v>45870</v>
      </c>
      <c r="L178" s="22" t="inlineStr">
        <is>
          <t>Legacy Alderstone</t>
        </is>
      </c>
      <c r="M178" s="22" t="inlineStr">
        <is>
          <t>Active</t>
        </is>
      </c>
      <c r="N178" s="22" t="inlineStr">
        <is>
          <t>Staff</t>
        </is>
      </c>
      <c r="O178" s="22" t="inlineStr">
        <is>
          <t>No</t>
        </is>
      </c>
      <c r="P178" s="22" t="inlineStr">
        <is>
          <t>HRIS / KS-DL-1.2</t>
        </is>
      </c>
    </row>
    <row r="179">
      <c r="A179" s="22" t="inlineStr">
        <is>
          <t>E0176</t>
        </is>
      </c>
      <c r="B179" s="22" t="inlineStr">
        <is>
          <t>Columbus</t>
        </is>
      </c>
      <c r="C179" s="22" t="inlineStr">
        <is>
          <t>Midwest</t>
        </is>
      </c>
      <c r="D179" s="22" t="inlineStr">
        <is>
          <t>Sales</t>
        </is>
      </c>
      <c r="E179" s="22" t="inlineStr">
        <is>
          <t>EHS Compliance</t>
        </is>
      </c>
      <c r="F179" s="22" t="inlineStr">
        <is>
          <t>No</t>
        </is>
      </c>
      <c r="G179" s="234" t="n">
        <v>158</v>
      </c>
      <c r="H179" s="225" t="n">
        <v>0.15</v>
      </c>
      <c r="I179" s="225" t="n">
        <v>0</v>
      </c>
      <c r="J179" s="225" t="n">
        <v>0</v>
      </c>
      <c r="K179" s="226" t="n">
        <v>42248</v>
      </c>
      <c r="L179" s="22" t="inlineStr">
        <is>
          <t>Northstar</t>
        </is>
      </c>
      <c r="M179" s="22" t="inlineStr">
        <is>
          <t>Active</t>
        </is>
      </c>
      <c r="N179" s="22" t="inlineStr">
        <is>
          <t>Staff</t>
        </is>
      </c>
      <c r="O179" s="22" t="inlineStr">
        <is>
          <t>No</t>
        </is>
      </c>
      <c r="P179" s="22" t="inlineStr">
        <is>
          <t>HRIS / KS-DL-1.2</t>
        </is>
      </c>
    </row>
    <row r="180">
      <c r="A180" s="22" t="inlineStr">
        <is>
          <t>E0177</t>
        </is>
      </c>
      <c r="B180" s="22" t="inlineStr">
        <is>
          <t>Knoxville</t>
        </is>
      </c>
      <c r="C180" s="22" t="inlineStr">
        <is>
          <t>Southeast</t>
        </is>
      </c>
      <c r="D180" s="22" t="inlineStr">
        <is>
          <t>Finance</t>
        </is>
      </c>
      <c r="E180" s="22" t="inlineStr">
        <is>
          <t>Industrial Hygiene</t>
        </is>
      </c>
      <c r="F180" s="22" t="inlineStr">
        <is>
          <t>No</t>
        </is>
      </c>
      <c r="G180" s="234" t="n">
        <v>171</v>
      </c>
      <c r="H180" s="225" t="n">
        <v>0.15</v>
      </c>
      <c r="I180" s="225" t="n">
        <v>0</v>
      </c>
      <c r="J180" s="225" t="n">
        <v>0</v>
      </c>
      <c r="K180" s="226" t="n">
        <v>42644</v>
      </c>
      <c r="L180" s="22" t="inlineStr">
        <is>
          <t>Delta</t>
        </is>
      </c>
      <c r="M180" s="22" t="inlineStr">
        <is>
          <t>Active</t>
        </is>
      </c>
      <c r="N180" s="22" t="inlineStr">
        <is>
          <t>Staff</t>
        </is>
      </c>
      <c r="O180" s="22" t="inlineStr">
        <is>
          <t>No</t>
        </is>
      </c>
      <c r="P180" s="22" t="inlineStr">
        <is>
          <t>HRIS / KS-DL-1.2</t>
        </is>
      </c>
    </row>
    <row r="181">
      <c r="A181" s="22" t="inlineStr">
        <is>
          <t>E0178</t>
        </is>
      </c>
      <c r="B181" s="22" t="inlineStr">
        <is>
          <t>Greenville</t>
        </is>
      </c>
      <c r="C181" s="22" t="inlineStr">
        <is>
          <t>Midwest</t>
        </is>
      </c>
      <c r="D181" s="22" t="inlineStr">
        <is>
          <t>HR</t>
        </is>
      </c>
      <c r="E181" s="22" t="inlineStr">
        <is>
          <t>Field Inspection</t>
        </is>
      </c>
      <c r="F181" s="22" t="inlineStr">
        <is>
          <t>No</t>
        </is>
      </c>
      <c r="G181" s="234" t="n">
        <v>74</v>
      </c>
      <c r="H181" s="225" t="n">
        <v>0.15</v>
      </c>
      <c r="I181" s="225" t="n">
        <v>0</v>
      </c>
      <c r="J181" s="225" t="n">
        <v>0</v>
      </c>
      <c r="K181" s="226" t="n">
        <v>43040</v>
      </c>
      <c r="L181" s="22" t="inlineStr">
        <is>
          <t>Meridian</t>
        </is>
      </c>
      <c r="M181" s="22" t="inlineStr">
        <is>
          <t>Active</t>
        </is>
      </c>
      <c r="N181" s="22" t="inlineStr">
        <is>
          <t>Staff</t>
        </is>
      </c>
      <c r="O181" s="22" t="inlineStr">
        <is>
          <t>No</t>
        </is>
      </c>
      <c r="P181" s="22" t="inlineStr">
        <is>
          <t>HRIS / KS-DL-1.2</t>
        </is>
      </c>
    </row>
    <row r="182">
      <c r="A182" s="22" t="inlineStr">
        <is>
          <t>E0179</t>
        </is>
      </c>
      <c r="B182" s="22" t="inlineStr">
        <is>
          <t>Milwaukee</t>
        </is>
      </c>
      <c r="C182" s="22" t="inlineStr">
        <is>
          <t>Midwest</t>
        </is>
      </c>
      <c r="D182" s="22" t="inlineStr">
        <is>
          <t>IT</t>
        </is>
      </c>
      <c r="E182" s="22" t="inlineStr">
        <is>
          <t>Permitting &amp; Advisory</t>
        </is>
      </c>
      <c r="F182" s="22" t="inlineStr">
        <is>
          <t>No</t>
        </is>
      </c>
      <c r="G182" s="234" t="n">
        <v>87</v>
      </c>
      <c r="H182" s="225" t="n">
        <v>0.15</v>
      </c>
      <c r="I182" s="225" t="n">
        <v>0</v>
      </c>
      <c r="J182" s="225" t="n">
        <v>0</v>
      </c>
      <c r="K182" s="226" t="n">
        <v>43435</v>
      </c>
      <c r="L182" s="22" t="inlineStr">
        <is>
          <t>Summit</t>
        </is>
      </c>
      <c r="M182" s="22" t="inlineStr">
        <is>
          <t>Active</t>
        </is>
      </c>
      <c r="N182" s="22" t="inlineStr">
        <is>
          <t>Staff</t>
        </is>
      </c>
      <c r="O182" s="22" t="inlineStr">
        <is>
          <t>No</t>
        </is>
      </c>
      <c r="P182" s="22" t="inlineStr">
        <is>
          <t>HRIS / KS-DL-1.2</t>
        </is>
      </c>
    </row>
    <row r="183">
      <c r="A183" s="22" t="inlineStr">
        <is>
          <t>E0180</t>
        </is>
      </c>
      <c r="B183" s="22" t="inlineStr">
        <is>
          <t>St. Louis</t>
        </is>
      </c>
      <c r="C183" s="22" t="inlineStr">
        <is>
          <t>Southeast</t>
        </is>
      </c>
      <c r="D183" s="22" t="inlineStr">
        <is>
          <t>Technical</t>
        </is>
      </c>
      <c r="E183" s="22" t="inlineStr">
        <is>
          <t>EHS Compliance</t>
        </is>
      </c>
      <c r="F183" s="22" t="inlineStr">
        <is>
          <t>Yes</t>
        </is>
      </c>
      <c r="G183" s="234" t="n">
        <v>60</v>
      </c>
      <c r="H183" s="225" t="n">
        <v>0.05</v>
      </c>
      <c r="I183" s="225" t="n">
        <v>0.55</v>
      </c>
      <c r="J183" s="225" t="n">
        <v>0.51</v>
      </c>
      <c r="K183" s="226" t="n">
        <v>43466</v>
      </c>
      <c r="L183" s="22" t="inlineStr">
        <is>
          <t>Legacy Alderstone</t>
        </is>
      </c>
      <c r="M183" s="22" t="inlineStr">
        <is>
          <t>Active</t>
        </is>
      </c>
      <c r="N183" s="22" t="inlineStr">
        <is>
          <t>Manager</t>
        </is>
      </c>
      <c r="O183" s="22" t="inlineStr">
        <is>
          <t>No</t>
        </is>
      </c>
      <c r="P183" s="22" t="inlineStr">
        <is>
          <t>HRIS / KS-DL-1.2</t>
        </is>
      </c>
    </row>
    <row r="184">
      <c r="A184" s="22" t="inlineStr">
        <is>
          <t>E0181</t>
        </is>
      </c>
      <c r="B184" s="22" t="inlineStr">
        <is>
          <t>Richmond</t>
        </is>
      </c>
      <c r="C184" s="22" t="inlineStr">
        <is>
          <t>Midwest</t>
        </is>
      </c>
      <c r="D184" s="22" t="inlineStr">
        <is>
          <t>Technical</t>
        </is>
      </c>
      <c r="E184" s="22" t="inlineStr">
        <is>
          <t>Industrial Hygiene</t>
        </is>
      </c>
      <c r="F184" s="22" t="inlineStr">
        <is>
          <t>Yes</t>
        </is>
      </c>
      <c r="G184" s="234" t="n">
        <v>77</v>
      </c>
      <c r="H184" s="225" t="n">
        <v>0.05</v>
      </c>
      <c r="I184" s="225" t="n">
        <v>0.6200000000000001</v>
      </c>
      <c r="J184" s="225" t="n">
        <v>0.5800000000000001</v>
      </c>
      <c r="K184" s="226" t="n">
        <v>43862</v>
      </c>
      <c r="L184" s="22" t="inlineStr">
        <is>
          <t>Northstar</t>
        </is>
      </c>
      <c r="M184" s="22" t="inlineStr">
        <is>
          <t>Active</t>
        </is>
      </c>
      <c r="N184" s="22" t="inlineStr">
        <is>
          <t>Staff</t>
        </is>
      </c>
      <c r="O184" s="22" t="inlineStr">
        <is>
          <t>No</t>
        </is>
      </c>
      <c r="P184" s="22" t="inlineStr">
        <is>
          <t>HRIS / KS-DL-1.2</t>
        </is>
      </c>
    </row>
    <row r="185">
      <c r="A185" s="22" t="inlineStr">
        <is>
          <t>E0182</t>
        </is>
      </c>
      <c r="B185" s="22" t="inlineStr">
        <is>
          <t>Indianapolis</t>
        </is>
      </c>
      <c r="C185" s="22" t="inlineStr">
        <is>
          <t>Midwest</t>
        </is>
      </c>
      <c r="D185" s="22" t="inlineStr">
        <is>
          <t>Technical</t>
        </is>
      </c>
      <c r="E185" s="22" t="inlineStr">
        <is>
          <t>Field Inspection</t>
        </is>
      </c>
      <c r="F185" s="22" t="inlineStr">
        <is>
          <t>Yes</t>
        </is>
      </c>
      <c r="G185" s="234" t="n">
        <v>94</v>
      </c>
      <c r="H185" s="225" t="n">
        <v>0.05</v>
      </c>
      <c r="I185" s="225" t="n">
        <v>0.6900000000000001</v>
      </c>
      <c r="J185" s="225" t="n">
        <v>0.65</v>
      </c>
      <c r="K185" s="226" t="n">
        <v>44256</v>
      </c>
      <c r="L185" s="22" t="inlineStr">
        <is>
          <t>Delta</t>
        </is>
      </c>
      <c r="M185" s="22" t="inlineStr">
        <is>
          <t>Active</t>
        </is>
      </c>
      <c r="N185" s="22" t="inlineStr">
        <is>
          <t>Staff</t>
        </is>
      </c>
      <c r="O185" s="22" t="inlineStr">
        <is>
          <t>No</t>
        </is>
      </c>
      <c r="P185" s="22" t="inlineStr">
        <is>
          <t>HRIS / KS-DL-1.2</t>
        </is>
      </c>
    </row>
    <row r="186">
      <c r="A186" s="22" t="inlineStr">
        <is>
          <t>E0183</t>
        </is>
      </c>
      <c r="B186" s="22" t="inlineStr">
        <is>
          <t>Chicago</t>
        </is>
      </c>
      <c r="C186" s="22" t="inlineStr">
        <is>
          <t>Southeast</t>
        </is>
      </c>
      <c r="D186" s="22" t="inlineStr">
        <is>
          <t>Technical</t>
        </is>
      </c>
      <c r="E186" s="22" t="inlineStr">
        <is>
          <t>Permitting &amp; Advisory</t>
        </is>
      </c>
      <c r="F186" s="22" t="inlineStr">
        <is>
          <t>Yes</t>
        </is>
      </c>
      <c r="G186" s="234" t="n">
        <v>111</v>
      </c>
      <c r="H186" s="225" t="n">
        <v>0.05</v>
      </c>
      <c r="I186" s="225" t="n">
        <v>0.76</v>
      </c>
      <c r="J186" s="225" t="n">
        <v>0.72</v>
      </c>
      <c r="K186" s="226" t="n">
        <v>44652</v>
      </c>
      <c r="L186" s="22" t="inlineStr">
        <is>
          <t>Meridian</t>
        </is>
      </c>
      <c r="M186" s="22" t="inlineStr">
        <is>
          <t>Active</t>
        </is>
      </c>
      <c r="N186" s="22" t="inlineStr">
        <is>
          <t>Staff</t>
        </is>
      </c>
      <c r="O186" s="22" t="inlineStr">
        <is>
          <t>No</t>
        </is>
      </c>
      <c r="P186" s="22" t="inlineStr">
        <is>
          <t>HRIS / KS-DL-1.2</t>
        </is>
      </c>
    </row>
    <row r="187">
      <c r="A187" s="22" t="inlineStr">
        <is>
          <t>E0184</t>
        </is>
      </c>
      <c r="B187" s="22" t="inlineStr">
        <is>
          <t>Detroit</t>
        </is>
      </c>
      <c r="C187" s="22" t="inlineStr">
        <is>
          <t>Midwest</t>
        </is>
      </c>
      <c r="D187" s="22" t="inlineStr">
        <is>
          <t>Project Management</t>
        </is>
      </c>
      <c r="E187" s="22" t="inlineStr">
        <is>
          <t>EHS Compliance</t>
        </is>
      </c>
      <c r="F187" s="22" t="inlineStr">
        <is>
          <t>Yes</t>
        </is>
      </c>
      <c r="G187" s="234" t="n">
        <v>128</v>
      </c>
      <c r="H187" s="225" t="n">
        <v>0.05</v>
      </c>
      <c r="I187" s="225" t="n">
        <v>0.8300000000000001</v>
      </c>
      <c r="J187" s="225" t="n">
        <v>0.79</v>
      </c>
      <c r="K187" s="226" t="n">
        <v>45047</v>
      </c>
      <c r="L187" s="22" t="inlineStr">
        <is>
          <t>Summit</t>
        </is>
      </c>
      <c r="M187" s="22" t="inlineStr">
        <is>
          <t>Active</t>
        </is>
      </c>
      <c r="N187" s="22" t="inlineStr">
        <is>
          <t>Staff</t>
        </is>
      </c>
      <c r="O187" s="22" t="inlineStr">
        <is>
          <t>No</t>
        </is>
      </c>
      <c r="P187" s="22" t="inlineStr">
        <is>
          <t>HRIS / KS-DL-1.2</t>
        </is>
      </c>
    </row>
    <row r="188">
      <c r="A188" s="22" t="inlineStr">
        <is>
          <t>E0185</t>
        </is>
      </c>
      <c r="B188" s="22" t="inlineStr">
        <is>
          <t>Louisville</t>
        </is>
      </c>
      <c r="C188" s="22" t="inlineStr">
        <is>
          <t>Midwest</t>
        </is>
      </c>
      <c r="D188" s="22" t="inlineStr">
        <is>
          <t>Corporate</t>
        </is>
      </c>
      <c r="E188" s="22" t="inlineStr">
        <is>
          <t>Industrial Hygiene</t>
        </is>
      </c>
      <c r="F188" s="22" t="inlineStr">
        <is>
          <t>No</t>
        </is>
      </c>
      <c r="G188" s="234" t="n">
        <v>165</v>
      </c>
      <c r="H188" s="225" t="n">
        <v>0.15</v>
      </c>
      <c r="I188" s="225" t="n">
        <v>0</v>
      </c>
      <c r="J188" s="225" t="n">
        <v>0</v>
      </c>
      <c r="K188" s="226" t="n">
        <v>45444</v>
      </c>
      <c r="L188" s="22" t="inlineStr">
        <is>
          <t>Legacy Alderstone</t>
        </is>
      </c>
      <c r="M188" s="22" t="inlineStr">
        <is>
          <t>Active</t>
        </is>
      </c>
      <c r="N188" s="22" t="inlineStr">
        <is>
          <t>Staff</t>
        </is>
      </c>
      <c r="O188" s="22" t="inlineStr">
        <is>
          <t>No</t>
        </is>
      </c>
      <c r="P188" s="22" t="inlineStr">
        <is>
          <t>HRIS / KS-DL-1.2</t>
        </is>
      </c>
    </row>
    <row r="189">
      <c r="A189" s="22" t="inlineStr">
        <is>
          <t>E0186</t>
        </is>
      </c>
      <c r="B189" s="22" t="inlineStr">
        <is>
          <t>Nashville</t>
        </is>
      </c>
      <c r="C189" s="22" t="inlineStr">
        <is>
          <t>Southeast</t>
        </is>
      </c>
      <c r="D189" s="22" t="inlineStr">
        <is>
          <t>Sales</t>
        </is>
      </c>
      <c r="E189" s="22" t="inlineStr">
        <is>
          <t>Field Inspection</t>
        </is>
      </c>
      <c r="F189" s="22" t="inlineStr">
        <is>
          <t>No</t>
        </is>
      </c>
      <c r="G189" s="234" t="n">
        <v>178</v>
      </c>
      <c r="H189" s="225" t="n">
        <v>0.15</v>
      </c>
      <c r="I189" s="225" t="n">
        <v>0</v>
      </c>
      <c r="J189" s="225" t="n">
        <v>0</v>
      </c>
      <c r="K189" s="226" t="n">
        <v>45839</v>
      </c>
      <c r="L189" s="22" t="inlineStr">
        <is>
          <t>Northstar</t>
        </is>
      </c>
      <c r="M189" s="22" t="inlineStr">
        <is>
          <t>Active</t>
        </is>
      </c>
      <c r="N189" s="22" t="inlineStr">
        <is>
          <t>Staff</t>
        </is>
      </c>
      <c r="O189" s="22" t="inlineStr">
        <is>
          <t>No</t>
        </is>
      </c>
      <c r="P189" s="22" t="inlineStr">
        <is>
          <t>HRIS / KS-DL-1.2</t>
        </is>
      </c>
    </row>
    <row r="190">
      <c r="A190" s="22" t="inlineStr">
        <is>
          <t>E0187</t>
        </is>
      </c>
      <c r="B190" s="22" t="inlineStr">
        <is>
          <t>Raleigh</t>
        </is>
      </c>
      <c r="C190" s="22" t="inlineStr">
        <is>
          <t>Midwest</t>
        </is>
      </c>
      <c r="D190" s="22" t="inlineStr">
        <is>
          <t>Finance</t>
        </is>
      </c>
      <c r="E190" s="22" t="inlineStr">
        <is>
          <t>Permitting &amp; Advisory</t>
        </is>
      </c>
      <c r="F190" s="22" t="inlineStr">
        <is>
          <t>No</t>
        </is>
      </c>
      <c r="G190" s="234" t="n">
        <v>81</v>
      </c>
      <c r="H190" s="225" t="n">
        <v>0.15</v>
      </c>
      <c r="I190" s="225" t="n">
        <v>0</v>
      </c>
      <c r="J190" s="225" t="n">
        <v>0</v>
      </c>
      <c r="K190" s="226" t="n">
        <v>42217</v>
      </c>
      <c r="L190" s="22" t="inlineStr">
        <is>
          <t>Delta</t>
        </is>
      </c>
      <c r="M190" s="22" t="inlineStr">
        <is>
          <t>Active</t>
        </is>
      </c>
      <c r="N190" s="22" t="inlineStr">
        <is>
          <t>Staff</t>
        </is>
      </c>
      <c r="O190" s="22" t="inlineStr">
        <is>
          <t>No</t>
        </is>
      </c>
      <c r="P190" s="22" t="inlineStr">
        <is>
          <t>HRIS / KS-DL-1.2</t>
        </is>
      </c>
    </row>
    <row r="191">
      <c r="A191" s="22" t="inlineStr">
        <is>
          <t>E0188</t>
        </is>
      </c>
      <c r="B191" s="22" t="inlineStr">
        <is>
          <t>Charlotte</t>
        </is>
      </c>
      <c r="C191" s="22" t="inlineStr">
        <is>
          <t>Midwest</t>
        </is>
      </c>
      <c r="D191" s="22" t="inlineStr">
        <is>
          <t>HR</t>
        </is>
      </c>
      <c r="E191" s="22" t="inlineStr">
        <is>
          <t>EHS Compliance</t>
        </is>
      </c>
      <c r="F191" s="22" t="inlineStr">
        <is>
          <t>No</t>
        </is>
      </c>
      <c r="G191" s="234" t="n">
        <v>94</v>
      </c>
      <c r="H191" s="225" t="n">
        <v>0.15</v>
      </c>
      <c r="I191" s="225" t="n">
        <v>0</v>
      </c>
      <c r="J191" s="225" t="n">
        <v>0</v>
      </c>
      <c r="K191" s="226" t="n">
        <v>42614</v>
      </c>
      <c r="L191" s="22" t="inlineStr">
        <is>
          <t>Meridian</t>
        </is>
      </c>
      <c r="M191" s="22" t="inlineStr">
        <is>
          <t>Active</t>
        </is>
      </c>
      <c r="N191" s="22" t="inlineStr">
        <is>
          <t>Staff</t>
        </is>
      </c>
      <c r="O191" s="22" t="inlineStr">
        <is>
          <t>No</t>
        </is>
      </c>
      <c r="P191" s="22" t="inlineStr">
        <is>
          <t>HRIS / KS-DL-1.2</t>
        </is>
      </c>
    </row>
    <row r="192">
      <c r="A192" s="22" t="inlineStr">
        <is>
          <t>E0189</t>
        </is>
      </c>
      <c r="B192" s="22" t="inlineStr">
        <is>
          <t>Cincinnati</t>
        </is>
      </c>
      <c r="C192" s="22" t="inlineStr">
        <is>
          <t>Southeast</t>
        </is>
      </c>
      <c r="D192" s="22" t="inlineStr">
        <is>
          <t>IT</t>
        </is>
      </c>
      <c r="E192" s="22" t="inlineStr">
        <is>
          <t>Industrial Hygiene</t>
        </is>
      </c>
      <c r="F192" s="22" t="inlineStr">
        <is>
          <t>No</t>
        </is>
      </c>
      <c r="G192" s="234" t="n">
        <v>107</v>
      </c>
      <c r="H192" s="225" t="n">
        <v>0.15</v>
      </c>
      <c r="I192" s="225" t="n">
        <v>0</v>
      </c>
      <c r="J192" s="225" t="n">
        <v>0</v>
      </c>
      <c r="K192" s="226" t="n">
        <v>43009</v>
      </c>
      <c r="L192" s="22" t="inlineStr">
        <is>
          <t>Summit</t>
        </is>
      </c>
      <c r="M192" s="22" t="inlineStr">
        <is>
          <t>Active</t>
        </is>
      </c>
      <c r="N192" s="22" t="inlineStr">
        <is>
          <t>Staff</t>
        </is>
      </c>
      <c r="O192" s="22" t="inlineStr">
        <is>
          <t>No</t>
        </is>
      </c>
      <c r="P192" s="22" t="inlineStr">
        <is>
          <t>HRIS / KS-DL-1.2</t>
        </is>
      </c>
    </row>
    <row r="193">
      <c r="A193" s="22" t="inlineStr">
        <is>
          <t>E0190</t>
        </is>
      </c>
      <c r="B193" s="22" t="inlineStr">
        <is>
          <t>Columbus</t>
        </is>
      </c>
      <c r="C193" s="22" t="inlineStr">
        <is>
          <t>Midwest</t>
        </is>
      </c>
      <c r="D193" s="22" t="inlineStr">
        <is>
          <t>Technical</t>
        </is>
      </c>
      <c r="E193" s="22" t="inlineStr">
        <is>
          <t>Field Inspection</t>
        </is>
      </c>
      <c r="F193" s="22" t="inlineStr">
        <is>
          <t>Yes</t>
        </is>
      </c>
      <c r="G193" s="234" t="n">
        <v>140</v>
      </c>
      <c r="H193" s="225" t="n">
        <v>0.05</v>
      </c>
      <c r="I193" s="225" t="n">
        <v>0.65</v>
      </c>
      <c r="J193" s="225" t="n">
        <v>0.61</v>
      </c>
      <c r="K193" s="226" t="n">
        <v>43405</v>
      </c>
      <c r="L193" s="22" t="inlineStr">
        <is>
          <t>Legacy Alderstone</t>
        </is>
      </c>
      <c r="M193" s="22" t="inlineStr">
        <is>
          <t>Active</t>
        </is>
      </c>
      <c r="N193" s="22" t="inlineStr">
        <is>
          <t>Staff</t>
        </is>
      </c>
      <c r="O193" s="22" t="inlineStr">
        <is>
          <t>No</t>
        </is>
      </c>
      <c r="P193" s="22" t="inlineStr">
        <is>
          <t>HRIS / KS-DL-1.2</t>
        </is>
      </c>
    </row>
    <row r="194">
      <c r="A194" s="22" t="inlineStr">
        <is>
          <t>E0191</t>
        </is>
      </c>
      <c r="B194" s="22" t="inlineStr">
        <is>
          <t>Knoxville</t>
        </is>
      </c>
      <c r="C194" s="22" t="inlineStr">
        <is>
          <t>Midwest</t>
        </is>
      </c>
      <c r="D194" s="22" t="inlineStr">
        <is>
          <t>Technical</t>
        </is>
      </c>
      <c r="E194" s="22" t="inlineStr">
        <is>
          <t>Permitting &amp; Advisory</t>
        </is>
      </c>
      <c r="F194" s="22" t="inlineStr">
        <is>
          <t>Yes</t>
        </is>
      </c>
      <c r="G194" s="234" t="n">
        <v>67</v>
      </c>
      <c r="H194" s="225" t="n">
        <v>0.05</v>
      </c>
      <c r="I194" s="225" t="n">
        <v>0.7200000000000001</v>
      </c>
      <c r="J194" s="225" t="n">
        <v>0.68</v>
      </c>
      <c r="K194" s="226" t="n">
        <v>43800</v>
      </c>
      <c r="L194" s="22" t="inlineStr">
        <is>
          <t>Northstar</t>
        </is>
      </c>
      <c r="M194" s="22" t="inlineStr">
        <is>
          <t>Active</t>
        </is>
      </c>
      <c r="N194" s="22" t="inlineStr">
        <is>
          <t>Staff</t>
        </is>
      </c>
      <c r="O194" s="22" t="inlineStr">
        <is>
          <t>No</t>
        </is>
      </c>
      <c r="P194" s="22" t="inlineStr">
        <is>
          <t>HRIS / KS-DL-1.2</t>
        </is>
      </c>
    </row>
    <row r="195">
      <c r="A195" s="22" t="inlineStr">
        <is>
          <t>E0192</t>
        </is>
      </c>
      <c r="B195" s="22" t="inlineStr">
        <is>
          <t>Greenville</t>
        </is>
      </c>
      <c r="C195" s="22" t="inlineStr">
        <is>
          <t>Southeast</t>
        </is>
      </c>
      <c r="D195" s="22" t="inlineStr">
        <is>
          <t>Technical</t>
        </is>
      </c>
      <c r="E195" s="22" t="inlineStr">
        <is>
          <t>EHS Compliance</t>
        </is>
      </c>
      <c r="F195" s="22" t="inlineStr">
        <is>
          <t>Yes</t>
        </is>
      </c>
      <c r="G195" s="234" t="n">
        <v>84</v>
      </c>
      <c r="H195" s="225" t="n">
        <v>0.05</v>
      </c>
      <c r="I195" s="225" t="n">
        <v>0.79</v>
      </c>
      <c r="J195" s="225" t="n">
        <v>0.75</v>
      </c>
      <c r="K195" s="226" t="n">
        <v>43831</v>
      </c>
      <c r="L195" s="22" t="inlineStr">
        <is>
          <t>Delta</t>
        </is>
      </c>
      <c r="M195" s="22" t="inlineStr">
        <is>
          <t>Active</t>
        </is>
      </c>
      <c r="N195" s="22" t="inlineStr">
        <is>
          <t>Manager</t>
        </is>
      </c>
      <c r="O195" s="22" t="inlineStr">
        <is>
          <t>No</t>
        </is>
      </c>
      <c r="P195" s="22" t="inlineStr">
        <is>
          <t>HRIS / KS-DL-1.2</t>
        </is>
      </c>
    </row>
    <row r="196">
      <c r="A196" s="22" t="inlineStr">
        <is>
          <t>E0193</t>
        </is>
      </c>
      <c r="B196" s="22" t="inlineStr">
        <is>
          <t>Milwaukee</t>
        </is>
      </c>
      <c r="C196" s="22" t="inlineStr">
        <is>
          <t>Midwest</t>
        </is>
      </c>
      <c r="D196" s="22" t="inlineStr">
        <is>
          <t>Technical</t>
        </is>
      </c>
      <c r="E196" s="22" t="inlineStr">
        <is>
          <t>Industrial Hygiene</t>
        </is>
      </c>
      <c r="F196" s="22" t="inlineStr">
        <is>
          <t>Yes</t>
        </is>
      </c>
      <c r="G196" s="234" t="n">
        <v>101</v>
      </c>
      <c r="H196" s="225" t="n">
        <v>0.05</v>
      </c>
      <c r="I196" s="225" t="n">
        <v>0.5600000000000001</v>
      </c>
      <c r="J196" s="225" t="n">
        <v>0.52</v>
      </c>
      <c r="K196" s="226" t="n">
        <v>44228</v>
      </c>
      <c r="L196" s="22" t="inlineStr">
        <is>
          <t>Meridian</t>
        </is>
      </c>
      <c r="M196" s="22" t="inlineStr">
        <is>
          <t>Active</t>
        </is>
      </c>
      <c r="N196" s="22" t="inlineStr">
        <is>
          <t>Staff</t>
        </is>
      </c>
      <c r="O196" s="22" t="inlineStr">
        <is>
          <t>No</t>
        </is>
      </c>
      <c r="P196" s="22" t="inlineStr">
        <is>
          <t>HRIS / KS-DL-1.2</t>
        </is>
      </c>
    </row>
    <row r="197">
      <c r="A197" s="22" t="inlineStr">
        <is>
          <t>E0194</t>
        </is>
      </c>
      <c r="B197" s="22" t="inlineStr">
        <is>
          <t>St. Louis</t>
        </is>
      </c>
      <c r="C197" s="22" t="inlineStr">
        <is>
          <t>Midwest</t>
        </is>
      </c>
      <c r="D197" s="22" t="inlineStr">
        <is>
          <t>Project Management</t>
        </is>
      </c>
      <c r="E197" s="22" t="inlineStr">
        <is>
          <t>Field Inspection</t>
        </is>
      </c>
      <c r="F197" s="22" t="inlineStr">
        <is>
          <t>Yes</t>
        </is>
      </c>
      <c r="G197" s="234" t="n">
        <v>118</v>
      </c>
      <c r="H197" s="225" t="n">
        <v>0.05</v>
      </c>
      <c r="I197" s="225" t="n">
        <v>0.63</v>
      </c>
      <c r="J197" s="225" t="n">
        <v>0.59</v>
      </c>
      <c r="K197" s="226" t="n">
        <v>44621</v>
      </c>
      <c r="L197" s="22" t="inlineStr">
        <is>
          <t>Summit</t>
        </is>
      </c>
      <c r="M197" s="22" t="inlineStr">
        <is>
          <t>Active</t>
        </is>
      </c>
      <c r="N197" s="22" t="inlineStr">
        <is>
          <t>Staff</t>
        </is>
      </c>
      <c r="O197" s="22" t="inlineStr">
        <is>
          <t>No</t>
        </is>
      </c>
      <c r="P197" s="22" t="inlineStr">
        <is>
          <t>HRIS / KS-DL-1.2</t>
        </is>
      </c>
    </row>
    <row r="198">
      <c r="A198" s="22" t="inlineStr">
        <is>
          <t>E0195</t>
        </is>
      </c>
      <c r="B198" s="22" t="inlineStr">
        <is>
          <t>Richmond</t>
        </is>
      </c>
      <c r="C198" s="22" t="inlineStr">
        <is>
          <t>Southeast</t>
        </is>
      </c>
      <c r="D198" s="22" t="inlineStr">
        <is>
          <t>Corporate</t>
        </is>
      </c>
      <c r="E198" s="22" t="inlineStr">
        <is>
          <t>Permitting &amp; Advisory</t>
        </is>
      </c>
      <c r="F198" s="22" t="inlineStr">
        <is>
          <t>No</t>
        </is>
      </c>
      <c r="G198" s="234" t="n">
        <v>75</v>
      </c>
      <c r="H198" s="225" t="n">
        <v>0.15</v>
      </c>
      <c r="I198" s="225" t="n">
        <v>0</v>
      </c>
      <c r="J198" s="225" t="n">
        <v>0</v>
      </c>
      <c r="K198" s="226" t="n">
        <v>45017</v>
      </c>
      <c r="L198" s="22" t="inlineStr">
        <is>
          <t>Legacy Alderstone</t>
        </is>
      </c>
      <c r="M198" s="22" t="inlineStr">
        <is>
          <t>Active</t>
        </is>
      </c>
      <c r="N198" s="22" t="inlineStr">
        <is>
          <t>Staff</t>
        </is>
      </c>
      <c r="O198" s="22" t="inlineStr">
        <is>
          <t>No</t>
        </is>
      </c>
      <c r="P198" s="22" t="inlineStr">
        <is>
          <t>HRIS / KS-DL-1.2</t>
        </is>
      </c>
    </row>
    <row r="199">
      <c r="A199" s="22" t="inlineStr">
        <is>
          <t>E0196</t>
        </is>
      </c>
      <c r="B199" s="22" t="inlineStr">
        <is>
          <t>Indianapolis</t>
        </is>
      </c>
      <c r="C199" s="22" t="inlineStr">
        <is>
          <t>Midwest</t>
        </is>
      </c>
      <c r="D199" s="22" t="inlineStr">
        <is>
          <t>Sales</t>
        </is>
      </c>
      <c r="E199" s="22" t="inlineStr">
        <is>
          <t>EHS Compliance</t>
        </is>
      </c>
      <c r="F199" s="22" t="inlineStr">
        <is>
          <t>No</t>
        </is>
      </c>
      <c r="G199" s="234" t="n">
        <v>88</v>
      </c>
      <c r="H199" s="225" t="n">
        <v>0.15</v>
      </c>
      <c r="I199" s="225" t="n">
        <v>0</v>
      </c>
      <c r="J199" s="225" t="n">
        <v>0</v>
      </c>
      <c r="K199" s="226" t="n">
        <v>45413</v>
      </c>
      <c r="L199" s="22" t="inlineStr">
        <is>
          <t>Northstar</t>
        </is>
      </c>
      <c r="M199" s="22" t="inlineStr">
        <is>
          <t>Active</t>
        </is>
      </c>
      <c r="N199" s="22" t="inlineStr">
        <is>
          <t>Staff</t>
        </is>
      </c>
      <c r="O199" s="22" t="inlineStr">
        <is>
          <t>No</t>
        </is>
      </c>
      <c r="P199" s="22" t="inlineStr">
        <is>
          <t>HRIS / KS-DL-1.2</t>
        </is>
      </c>
    </row>
    <row r="200">
      <c r="A200" s="22" t="inlineStr">
        <is>
          <t>E0197</t>
        </is>
      </c>
      <c r="B200" s="22" t="inlineStr">
        <is>
          <t>Chicago</t>
        </is>
      </c>
      <c r="C200" s="22" t="inlineStr">
        <is>
          <t>Midwest</t>
        </is>
      </c>
      <c r="D200" s="22" t="inlineStr">
        <is>
          <t>Finance</t>
        </is>
      </c>
      <c r="E200" s="22" t="inlineStr">
        <is>
          <t>Industrial Hygiene</t>
        </is>
      </c>
      <c r="F200" s="22" t="inlineStr">
        <is>
          <t>No</t>
        </is>
      </c>
      <c r="G200" s="234" t="n">
        <v>101</v>
      </c>
      <c r="H200" s="225" t="n">
        <v>0.15</v>
      </c>
      <c r="I200" s="225" t="n">
        <v>0</v>
      </c>
      <c r="J200" s="225" t="n">
        <v>0</v>
      </c>
      <c r="K200" s="226" t="n">
        <v>45809</v>
      </c>
      <c r="L200" s="22" t="inlineStr">
        <is>
          <t>Delta</t>
        </is>
      </c>
      <c r="M200" s="22" t="inlineStr">
        <is>
          <t>Active</t>
        </is>
      </c>
      <c r="N200" s="22" t="inlineStr">
        <is>
          <t>Staff</t>
        </is>
      </c>
      <c r="O200" s="22" t="inlineStr">
        <is>
          <t>No</t>
        </is>
      </c>
      <c r="P200" s="22" t="inlineStr">
        <is>
          <t>HRIS / KS-DL-1.2</t>
        </is>
      </c>
    </row>
    <row r="201">
      <c r="A201" s="22" t="inlineStr">
        <is>
          <t>E0198</t>
        </is>
      </c>
      <c r="B201" s="22" t="inlineStr">
        <is>
          <t>Detroit</t>
        </is>
      </c>
      <c r="C201" s="22" t="inlineStr">
        <is>
          <t>Southeast</t>
        </is>
      </c>
      <c r="D201" s="22" t="inlineStr">
        <is>
          <t>HR</t>
        </is>
      </c>
      <c r="E201" s="22" t="inlineStr">
        <is>
          <t>Field Inspection</t>
        </is>
      </c>
      <c r="F201" s="22" t="inlineStr">
        <is>
          <t>No</t>
        </is>
      </c>
      <c r="G201" s="234" t="n">
        <v>114</v>
      </c>
      <c r="H201" s="225" t="n">
        <v>0.15</v>
      </c>
      <c r="I201" s="225" t="n">
        <v>0</v>
      </c>
      <c r="J201" s="225" t="n">
        <v>0</v>
      </c>
      <c r="K201" s="226" t="n">
        <v>42186</v>
      </c>
      <c r="L201" s="22" t="inlineStr">
        <is>
          <t>Meridian</t>
        </is>
      </c>
      <c r="M201" s="22" t="inlineStr">
        <is>
          <t>Active</t>
        </is>
      </c>
      <c r="N201" s="22" t="inlineStr">
        <is>
          <t>Staff</t>
        </is>
      </c>
      <c r="O201" s="22" t="inlineStr">
        <is>
          <t>No</t>
        </is>
      </c>
      <c r="P201" s="22" t="inlineStr">
        <is>
          <t>HRIS / KS-DL-1.2</t>
        </is>
      </c>
    </row>
    <row r="202">
      <c r="A202" s="22" t="inlineStr">
        <is>
          <t>E0199</t>
        </is>
      </c>
      <c r="B202" s="22" t="inlineStr">
        <is>
          <t>Louisville</t>
        </is>
      </c>
      <c r="C202" s="22" t="inlineStr">
        <is>
          <t>Midwest</t>
        </is>
      </c>
      <c r="D202" s="22" t="inlineStr">
        <is>
          <t>IT</t>
        </is>
      </c>
      <c r="E202" s="22" t="inlineStr">
        <is>
          <t>Permitting &amp; Advisory</t>
        </is>
      </c>
      <c r="F202" s="22" t="inlineStr">
        <is>
          <t>No</t>
        </is>
      </c>
      <c r="G202" s="234" t="n">
        <v>127</v>
      </c>
      <c r="H202" s="225" t="n">
        <v>0.15</v>
      </c>
      <c r="I202" s="225" t="n">
        <v>0</v>
      </c>
      <c r="J202" s="225" t="n">
        <v>0</v>
      </c>
      <c r="K202" s="226" t="n">
        <v>42583</v>
      </c>
      <c r="L202" s="22" t="inlineStr">
        <is>
          <t>Summit</t>
        </is>
      </c>
      <c r="M202" s="22" t="inlineStr">
        <is>
          <t>Active</t>
        </is>
      </c>
      <c r="N202" s="22" t="inlineStr">
        <is>
          <t>Staff</t>
        </is>
      </c>
      <c r="O202" s="22" t="inlineStr">
        <is>
          <t>No</t>
        </is>
      </c>
      <c r="P202" s="22" t="inlineStr">
        <is>
          <t>HRIS / KS-DL-1.2</t>
        </is>
      </c>
    </row>
    <row r="203">
      <c r="A203" s="22" t="inlineStr">
        <is>
          <t>E0200</t>
        </is>
      </c>
      <c r="B203" s="22" t="inlineStr">
        <is>
          <t>Nashville</t>
        </is>
      </c>
      <c r="C203" s="22" t="inlineStr">
        <is>
          <t>Midwest</t>
        </is>
      </c>
      <c r="D203" s="22" t="inlineStr">
        <is>
          <t>Technical</t>
        </is>
      </c>
      <c r="E203" s="22" t="inlineStr">
        <is>
          <t>EHS Compliance</t>
        </is>
      </c>
      <c r="F203" s="22" t="inlineStr">
        <is>
          <t>Yes</t>
        </is>
      </c>
      <c r="G203" s="234" t="n">
        <v>130</v>
      </c>
      <c r="H203" s="225" t="n">
        <v>0.05</v>
      </c>
      <c r="I203" s="225" t="n">
        <v>0.75</v>
      </c>
      <c r="J203" s="225" t="n">
        <v>0.71</v>
      </c>
      <c r="K203" s="226" t="n">
        <v>42979</v>
      </c>
      <c r="L203" s="22" t="inlineStr">
        <is>
          <t>Legacy Alderstone</t>
        </is>
      </c>
      <c r="M203" s="22" t="inlineStr">
        <is>
          <t>Active</t>
        </is>
      </c>
      <c r="N203" s="22" t="inlineStr">
        <is>
          <t>Staff</t>
        </is>
      </c>
      <c r="O203" s="22" t="inlineStr">
        <is>
          <t>No</t>
        </is>
      </c>
      <c r="P203" s="22" t="inlineStr">
        <is>
          <t>HRIS / KS-DL-1.2</t>
        </is>
      </c>
    </row>
    <row r="204">
      <c r="A204" s="22" t="inlineStr">
        <is>
          <t>E0201</t>
        </is>
      </c>
      <c r="B204" s="22" t="inlineStr">
        <is>
          <t>Raleigh</t>
        </is>
      </c>
      <c r="C204" s="22" t="inlineStr">
        <is>
          <t>Southeast</t>
        </is>
      </c>
      <c r="D204" s="22" t="inlineStr">
        <is>
          <t>Technical</t>
        </is>
      </c>
      <c r="E204" s="22" t="inlineStr">
        <is>
          <t>Industrial Hygiene</t>
        </is>
      </c>
      <c r="F204" s="22" t="inlineStr">
        <is>
          <t>Yes</t>
        </is>
      </c>
      <c r="G204" s="234" t="n">
        <v>147</v>
      </c>
      <c r="H204" s="225" t="n">
        <v>0.05</v>
      </c>
      <c r="I204" s="225" t="n">
        <v>0.8200000000000001</v>
      </c>
      <c r="J204" s="225" t="n">
        <v>0.78</v>
      </c>
      <c r="K204" s="226" t="n">
        <v>43374</v>
      </c>
      <c r="L204" s="22" t="inlineStr">
        <is>
          <t>Northstar</t>
        </is>
      </c>
      <c r="M204" s="22" t="inlineStr">
        <is>
          <t>Active</t>
        </is>
      </c>
      <c r="N204" s="22" t="inlineStr">
        <is>
          <t>Staff</t>
        </is>
      </c>
      <c r="O204" s="22" t="inlineStr">
        <is>
          <t>No</t>
        </is>
      </c>
      <c r="P204" s="22" t="inlineStr">
        <is>
          <t>HRIS / KS-DL-1.2</t>
        </is>
      </c>
    </row>
    <row r="205">
      <c r="A205" s="22" t="inlineStr">
        <is>
          <t>E0202</t>
        </is>
      </c>
      <c r="B205" s="22" t="inlineStr">
        <is>
          <t>Charlotte</t>
        </is>
      </c>
      <c r="C205" s="22" t="inlineStr">
        <is>
          <t>Midwest</t>
        </is>
      </c>
      <c r="D205" s="22" t="inlineStr">
        <is>
          <t>Technical</t>
        </is>
      </c>
      <c r="E205" s="22" t="inlineStr">
        <is>
          <t>Field Inspection</t>
        </is>
      </c>
      <c r="F205" s="22" t="inlineStr">
        <is>
          <t>Yes</t>
        </is>
      </c>
      <c r="G205" s="234" t="n">
        <v>74</v>
      </c>
      <c r="H205" s="225" t="n">
        <v>0.05</v>
      </c>
      <c r="I205" s="225" t="n">
        <v>0.5900000000000001</v>
      </c>
      <c r="J205" s="225" t="n">
        <v>0.55</v>
      </c>
      <c r="K205" s="226" t="n">
        <v>43770</v>
      </c>
      <c r="L205" s="22" t="inlineStr">
        <is>
          <t>Delta</t>
        </is>
      </c>
      <c r="M205" s="22" t="inlineStr">
        <is>
          <t>Active</t>
        </is>
      </c>
      <c r="N205" s="22" t="inlineStr">
        <is>
          <t>Staff</t>
        </is>
      </c>
      <c r="O205" s="22" t="inlineStr">
        <is>
          <t>No</t>
        </is>
      </c>
      <c r="P205" s="22" t="inlineStr">
        <is>
          <t>HRIS / KS-DL-1.2</t>
        </is>
      </c>
    </row>
    <row r="206">
      <c r="A206" s="22" t="inlineStr">
        <is>
          <t>E0203</t>
        </is>
      </c>
      <c r="B206" s="22" t="inlineStr">
        <is>
          <t>Cincinnati</t>
        </is>
      </c>
      <c r="C206" s="22" t="inlineStr">
        <is>
          <t>Midwest</t>
        </is>
      </c>
      <c r="D206" s="22" t="inlineStr">
        <is>
          <t>Technical</t>
        </is>
      </c>
      <c r="E206" s="22" t="inlineStr">
        <is>
          <t>Permitting &amp; Advisory</t>
        </is>
      </c>
      <c r="F206" s="22" t="inlineStr">
        <is>
          <t>Yes</t>
        </is>
      </c>
      <c r="G206" s="234" t="n">
        <v>91</v>
      </c>
      <c r="H206" s="225" t="n">
        <v>0.05</v>
      </c>
      <c r="I206" s="225" t="n">
        <v>0.66</v>
      </c>
      <c r="J206" s="225" t="n">
        <v>0.62</v>
      </c>
      <c r="K206" s="226" t="n">
        <v>44166</v>
      </c>
      <c r="L206" s="22" t="inlineStr">
        <is>
          <t>Meridian</t>
        </is>
      </c>
      <c r="M206" s="22" t="inlineStr">
        <is>
          <t>Active</t>
        </is>
      </c>
      <c r="N206" s="22" t="inlineStr">
        <is>
          <t>Staff</t>
        </is>
      </c>
      <c r="O206" s="22" t="inlineStr">
        <is>
          <t>Yes</t>
        </is>
      </c>
      <c r="P206" s="22" t="inlineStr">
        <is>
          <t>HRIS / KS-DL-1.2</t>
        </is>
      </c>
    </row>
    <row r="207">
      <c r="A207" s="22" t="inlineStr">
        <is>
          <t>E0204</t>
        </is>
      </c>
      <c r="B207" s="22" t="inlineStr">
        <is>
          <t>Columbus</t>
        </is>
      </c>
      <c r="C207" s="22" t="inlineStr">
        <is>
          <t>Southeast</t>
        </is>
      </c>
      <c r="D207" s="22" t="inlineStr">
        <is>
          <t>Project Management</t>
        </is>
      </c>
      <c r="E207" s="22" t="inlineStr">
        <is>
          <t>EHS Compliance</t>
        </is>
      </c>
      <c r="F207" s="22" t="inlineStr">
        <is>
          <t>Yes</t>
        </is>
      </c>
      <c r="G207" s="234" t="n">
        <v>108</v>
      </c>
      <c r="H207" s="225" t="n">
        <v>0.05</v>
      </c>
      <c r="I207" s="225" t="n">
        <v>0.73</v>
      </c>
      <c r="J207" s="225" t="n">
        <v>0.6899999999999999</v>
      </c>
      <c r="K207" s="226" t="n">
        <v>44197</v>
      </c>
      <c r="L207" s="22" t="inlineStr">
        <is>
          <t>Summit</t>
        </is>
      </c>
      <c r="M207" s="22" t="inlineStr">
        <is>
          <t>Active</t>
        </is>
      </c>
      <c r="N207" s="22" t="inlineStr">
        <is>
          <t>Manager</t>
        </is>
      </c>
      <c r="O207" s="22" t="inlineStr">
        <is>
          <t>No</t>
        </is>
      </c>
      <c r="P207" s="22" t="inlineStr">
        <is>
          <t>HRIS / KS-DL-1.2</t>
        </is>
      </c>
    </row>
    <row r="208">
      <c r="A208" s="22" t="inlineStr">
        <is>
          <t>E0205</t>
        </is>
      </c>
      <c r="B208" s="22" t="inlineStr">
        <is>
          <t>Knoxville</t>
        </is>
      </c>
      <c r="C208" s="22" t="inlineStr">
        <is>
          <t>Midwest</t>
        </is>
      </c>
      <c r="D208" s="22" t="inlineStr">
        <is>
          <t>Corporate</t>
        </is>
      </c>
      <c r="E208" s="22" t="inlineStr">
        <is>
          <t>Industrial Hygiene</t>
        </is>
      </c>
      <c r="F208" s="22" t="inlineStr">
        <is>
          <t>No</t>
        </is>
      </c>
      <c r="G208" s="234" t="n">
        <v>95</v>
      </c>
      <c r="H208" s="225" t="n">
        <v>0.15</v>
      </c>
      <c r="I208" s="225" t="n">
        <v>0</v>
      </c>
      <c r="J208" s="225" t="n">
        <v>0</v>
      </c>
      <c r="K208" s="226" t="n">
        <v>44593</v>
      </c>
      <c r="L208" s="22" t="inlineStr">
        <is>
          <t>Legacy Alderstone</t>
        </is>
      </c>
      <c r="M208" s="22" t="inlineStr">
        <is>
          <t>Active</t>
        </is>
      </c>
      <c r="N208" s="22" t="inlineStr">
        <is>
          <t>Staff</t>
        </is>
      </c>
      <c r="O208" s="22" t="inlineStr">
        <is>
          <t>No</t>
        </is>
      </c>
      <c r="P208" s="22" t="inlineStr">
        <is>
          <t>HRIS / KS-DL-1.2</t>
        </is>
      </c>
    </row>
    <row r="209">
      <c r="A209" s="22" t="inlineStr">
        <is>
          <t>E0206</t>
        </is>
      </c>
      <c r="B209" s="22" t="inlineStr">
        <is>
          <t>Greenville</t>
        </is>
      </c>
      <c r="C209" s="22" t="inlineStr">
        <is>
          <t>Midwest</t>
        </is>
      </c>
      <c r="D209" s="22" t="inlineStr">
        <is>
          <t>Sales</t>
        </is>
      </c>
      <c r="E209" s="22" t="inlineStr">
        <is>
          <t>Field Inspection</t>
        </is>
      </c>
      <c r="F209" s="22" t="inlineStr">
        <is>
          <t>No</t>
        </is>
      </c>
      <c r="G209" s="234" t="n">
        <v>108</v>
      </c>
      <c r="H209" s="225" t="n">
        <v>0.15</v>
      </c>
      <c r="I209" s="225" t="n">
        <v>0</v>
      </c>
      <c r="J209" s="225" t="n">
        <v>0</v>
      </c>
      <c r="K209" s="226" t="n">
        <v>44986</v>
      </c>
      <c r="L209" s="22" t="inlineStr">
        <is>
          <t>Northstar</t>
        </is>
      </c>
      <c r="M209" s="22" t="inlineStr">
        <is>
          <t>Active</t>
        </is>
      </c>
      <c r="N209" s="22" t="inlineStr">
        <is>
          <t>Staff</t>
        </is>
      </c>
      <c r="O209" s="22" t="inlineStr">
        <is>
          <t>No</t>
        </is>
      </c>
      <c r="P209" s="22" t="inlineStr">
        <is>
          <t>HRIS / KS-DL-1.2</t>
        </is>
      </c>
    </row>
    <row r="210">
      <c r="A210" s="22" t="inlineStr">
        <is>
          <t>E0207</t>
        </is>
      </c>
      <c r="B210" s="22" t="inlineStr">
        <is>
          <t>Milwaukee</t>
        </is>
      </c>
      <c r="C210" s="22" t="inlineStr">
        <is>
          <t>Southeast</t>
        </is>
      </c>
      <c r="D210" s="22" t="inlineStr">
        <is>
          <t>Finance</t>
        </is>
      </c>
      <c r="E210" s="22" t="inlineStr">
        <is>
          <t>Permitting &amp; Advisory</t>
        </is>
      </c>
      <c r="F210" s="22" t="inlineStr">
        <is>
          <t>No</t>
        </is>
      </c>
      <c r="G210" s="234" t="n">
        <v>121</v>
      </c>
      <c r="H210" s="225" t="n">
        <v>0.15</v>
      </c>
      <c r="I210" s="225" t="n">
        <v>0</v>
      </c>
      <c r="J210" s="225" t="n">
        <v>0</v>
      </c>
      <c r="K210" s="226" t="n">
        <v>45383</v>
      </c>
      <c r="L210" s="22" t="inlineStr">
        <is>
          <t>Delta</t>
        </is>
      </c>
      <c r="M210" s="22" t="inlineStr">
        <is>
          <t>Active</t>
        </is>
      </c>
      <c r="N210" s="22" t="inlineStr">
        <is>
          <t>Staff</t>
        </is>
      </c>
      <c r="O210" s="22" t="inlineStr">
        <is>
          <t>No</t>
        </is>
      </c>
      <c r="P210" s="22" t="inlineStr">
        <is>
          <t>HRIS / KS-DL-1.2</t>
        </is>
      </c>
    </row>
    <row r="211">
      <c r="A211" s="22" t="inlineStr">
        <is>
          <t>E0208</t>
        </is>
      </c>
      <c r="B211" s="22" t="inlineStr">
        <is>
          <t>St. Louis</t>
        </is>
      </c>
      <c r="C211" s="22" t="inlineStr">
        <is>
          <t>Midwest</t>
        </is>
      </c>
      <c r="D211" s="22" t="inlineStr">
        <is>
          <t>HR</t>
        </is>
      </c>
      <c r="E211" s="22" t="inlineStr">
        <is>
          <t>EHS Compliance</t>
        </is>
      </c>
      <c r="F211" s="22" t="inlineStr">
        <is>
          <t>No</t>
        </is>
      </c>
      <c r="G211" s="234" t="n">
        <v>134</v>
      </c>
      <c r="H211" s="225" t="n">
        <v>0.15</v>
      </c>
      <c r="I211" s="225" t="n">
        <v>0</v>
      </c>
      <c r="J211" s="225" t="n">
        <v>0</v>
      </c>
      <c r="K211" s="226" t="n">
        <v>45778</v>
      </c>
      <c r="L211" s="22" t="inlineStr">
        <is>
          <t>Meridian</t>
        </is>
      </c>
      <c r="M211" s="22" t="inlineStr">
        <is>
          <t>Active</t>
        </is>
      </c>
      <c r="N211" s="22" t="inlineStr">
        <is>
          <t>Staff</t>
        </is>
      </c>
      <c r="O211" s="22" t="inlineStr">
        <is>
          <t>No</t>
        </is>
      </c>
      <c r="P211" s="22" t="inlineStr">
        <is>
          <t>HRIS / KS-DL-1.2</t>
        </is>
      </c>
    </row>
    <row r="212">
      <c r="A212" s="22" t="inlineStr">
        <is>
          <t>E0209</t>
        </is>
      </c>
      <c r="B212" s="22" t="inlineStr">
        <is>
          <t>Richmond</t>
        </is>
      </c>
      <c r="C212" s="22" t="inlineStr">
        <is>
          <t>Midwest</t>
        </is>
      </c>
      <c r="D212" s="22" t="inlineStr">
        <is>
          <t>IT</t>
        </is>
      </c>
      <c r="E212" s="22" t="inlineStr">
        <is>
          <t>Industrial Hygiene</t>
        </is>
      </c>
      <c r="F212" s="22" t="inlineStr">
        <is>
          <t>No</t>
        </is>
      </c>
      <c r="G212" s="234" t="n">
        <v>147</v>
      </c>
      <c r="H212" s="225" t="n">
        <v>0.15</v>
      </c>
      <c r="I212" s="225" t="n">
        <v>0</v>
      </c>
      <c r="J212" s="225" t="n">
        <v>0</v>
      </c>
      <c r="K212" s="226" t="n">
        <v>42156</v>
      </c>
      <c r="L212" s="22" t="inlineStr">
        <is>
          <t>Summit</t>
        </is>
      </c>
      <c r="M212" s="22" t="inlineStr">
        <is>
          <t>Active</t>
        </is>
      </c>
      <c r="N212" s="22" t="inlineStr">
        <is>
          <t>Staff</t>
        </is>
      </c>
      <c r="O212" s="22" t="inlineStr">
        <is>
          <t>No</t>
        </is>
      </c>
      <c r="P212" s="22" t="inlineStr">
        <is>
          <t>HRIS / KS-DL-1.2</t>
        </is>
      </c>
    </row>
    <row r="213">
      <c r="A213" s="22" t="inlineStr">
        <is>
          <t>E0210</t>
        </is>
      </c>
      <c r="B213" s="22" t="inlineStr">
        <is>
          <t>Indianapolis</t>
        </is>
      </c>
      <c r="C213" s="22" t="inlineStr">
        <is>
          <t>Southeast</t>
        </is>
      </c>
      <c r="D213" s="22" t="inlineStr">
        <is>
          <t>Technical</t>
        </is>
      </c>
      <c r="E213" s="22" t="inlineStr">
        <is>
          <t>Field Inspection</t>
        </is>
      </c>
      <c r="F213" s="22" t="inlineStr">
        <is>
          <t>Yes</t>
        </is>
      </c>
      <c r="G213" s="234" t="n">
        <v>120</v>
      </c>
      <c r="H213" s="225" t="n">
        <v>0.05</v>
      </c>
      <c r="I213" s="225" t="n">
        <v>0.55</v>
      </c>
      <c r="J213" s="225" t="n">
        <v>0.51</v>
      </c>
      <c r="K213" s="226" t="n">
        <v>42552</v>
      </c>
      <c r="L213" s="22" t="inlineStr">
        <is>
          <t>Legacy Alderstone</t>
        </is>
      </c>
      <c r="M213" s="22" t="inlineStr">
        <is>
          <t>Active</t>
        </is>
      </c>
      <c r="N213" s="22" t="inlineStr">
        <is>
          <t>Staff</t>
        </is>
      </c>
      <c r="O213" s="22" t="inlineStr">
        <is>
          <t>No</t>
        </is>
      </c>
      <c r="P213" s="22" t="inlineStr">
        <is>
          <t>HRIS / KS-DL-1.2</t>
        </is>
      </c>
    </row>
    <row r="214">
      <c r="A214" s="22" t="inlineStr">
        <is>
          <t>E0211</t>
        </is>
      </c>
      <c r="B214" s="22" t="inlineStr">
        <is>
          <t>Chicago</t>
        </is>
      </c>
      <c r="C214" s="22" t="inlineStr">
        <is>
          <t>Midwest</t>
        </is>
      </c>
      <c r="D214" s="22" t="inlineStr">
        <is>
          <t>Technical</t>
        </is>
      </c>
      <c r="E214" s="22" t="inlineStr">
        <is>
          <t>Permitting &amp; Advisory</t>
        </is>
      </c>
      <c r="F214" s="22" t="inlineStr">
        <is>
          <t>Yes</t>
        </is>
      </c>
      <c r="G214" s="234" t="n">
        <v>137</v>
      </c>
      <c r="H214" s="225" t="n">
        <v>0.05</v>
      </c>
      <c r="I214" s="225" t="n">
        <v>0.6200000000000001</v>
      </c>
      <c r="J214" s="225" t="n">
        <v>0.5800000000000001</v>
      </c>
      <c r="K214" s="226" t="n">
        <v>42948</v>
      </c>
      <c r="L214" s="22" t="inlineStr">
        <is>
          <t>Northstar</t>
        </is>
      </c>
      <c r="M214" s="22" t="inlineStr">
        <is>
          <t>Active</t>
        </is>
      </c>
      <c r="N214" s="22" t="inlineStr">
        <is>
          <t>Staff</t>
        </is>
      </c>
      <c r="O214" s="22" t="inlineStr">
        <is>
          <t>No</t>
        </is>
      </c>
      <c r="P214" s="22" t="inlineStr">
        <is>
          <t>HRIS / KS-DL-1.2</t>
        </is>
      </c>
    </row>
    <row r="215">
      <c r="A215" s="22" t="inlineStr">
        <is>
          <t>E0212</t>
        </is>
      </c>
      <c r="B215" s="22" t="inlineStr">
        <is>
          <t>Detroit</t>
        </is>
      </c>
      <c r="C215" s="22" t="inlineStr">
        <is>
          <t>Midwest</t>
        </is>
      </c>
      <c r="D215" s="22" t="inlineStr">
        <is>
          <t>Technical</t>
        </is>
      </c>
      <c r="E215" s="22" t="inlineStr">
        <is>
          <t>EHS Compliance</t>
        </is>
      </c>
      <c r="F215" s="22" t="inlineStr">
        <is>
          <t>Yes</t>
        </is>
      </c>
      <c r="G215" s="234" t="n">
        <v>64</v>
      </c>
      <c r="H215" s="225" t="n">
        <v>0.05</v>
      </c>
      <c r="I215" s="225" t="n">
        <v>0.6900000000000001</v>
      </c>
      <c r="J215" s="225" t="n">
        <v>0.65</v>
      </c>
      <c r="K215" s="226" t="n">
        <v>43344</v>
      </c>
      <c r="L215" s="22" t="inlineStr">
        <is>
          <t>Delta</t>
        </is>
      </c>
      <c r="M215" s="22" t="inlineStr">
        <is>
          <t>Active</t>
        </is>
      </c>
      <c r="N215" s="22" t="inlineStr">
        <is>
          <t>Staff</t>
        </is>
      </c>
      <c r="O215" s="22" t="inlineStr">
        <is>
          <t>No</t>
        </is>
      </c>
      <c r="P215" s="22" t="inlineStr">
        <is>
          <t>HRIS / KS-DL-1.2</t>
        </is>
      </c>
    </row>
    <row r="216">
      <c r="A216" s="22" t="inlineStr">
        <is>
          <t>E0213</t>
        </is>
      </c>
      <c r="B216" s="22" t="inlineStr">
        <is>
          <t>Louisville</t>
        </is>
      </c>
      <c r="C216" s="22" t="inlineStr">
        <is>
          <t>Southeast</t>
        </is>
      </c>
      <c r="D216" s="22" t="inlineStr">
        <is>
          <t>Technical</t>
        </is>
      </c>
      <c r="E216" s="22" t="inlineStr">
        <is>
          <t>Industrial Hygiene</t>
        </is>
      </c>
      <c r="F216" s="22" t="inlineStr">
        <is>
          <t>Yes</t>
        </is>
      </c>
      <c r="G216" s="234" t="n">
        <v>81</v>
      </c>
      <c r="H216" s="225" t="n">
        <v>0.05</v>
      </c>
      <c r="I216" s="225" t="n">
        <v>0.76</v>
      </c>
      <c r="J216" s="225" t="n">
        <v>0.72</v>
      </c>
      <c r="K216" s="226" t="n">
        <v>43739</v>
      </c>
      <c r="L216" s="22" t="inlineStr">
        <is>
          <t>Meridian</t>
        </is>
      </c>
      <c r="M216" s="22" t="inlineStr">
        <is>
          <t>Active</t>
        </is>
      </c>
      <c r="N216" s="22" t="inlineStr">
        <is>
          <t>Staff</t>
        </is>
      </c>
      <c r="O216" s="22" t="inlineStr">
        <is>
          <t>No</t>
        </is>
      </c>
      <c r="P216" s="22" t="inlineStr">
        <is>
          <t>HRIS / KS-DL-1.2</t>
        </is>
      </c>
    </row>
    <row r="217">
      <c r="A217" s="22" t="inlineStr">
        <is>
          <t>E0214</t>
        </is>
      </c>
      <c r="B217" s="22" t="inlineStr">
        <is>
          <t>Nashville</t>
        </is>
      </c>
      <c r="C217" s="22" t="inlineStr">
        <is>
          <t>Midwest</t>
        </is>
      </c>
      <c r="D217" s="22" t="inlineStr">
        <is>
          <t>Project Management</t>
        </is>
      </c>
      <c r="E217" s="22" t="inlineStr">
        <is>
          <t>Field Inspection</t>
        </is>
      </c>
      <c r="F217" s="22" t="inlineStr">
        <is>
          <t>Yes</t>
        </is>
      </c>
      <c r="G217" s="234" t="n">
        <v>98</v>
      </c>
      <c r="H217" s="225" t="n">
        <v>0.05</v>
      </c>
      <c r="I217" s="225" t="n">
        <v>0.8300000000000001</v>
      </c>
      <c r="J217" s="225" t="n">
        <v>0.79</v>
      </c>
      <c r="K217" s="226" t="n">
        <v>44136</v>
      </c>
      <c r="L217" s="22" t="inlineStr">
        <is>
          <t>Summit</t>
        </is>
      </c>
      <c r="M217" s="22" t="inlineStr">
        <is>
          <t>Active</t>
        </is>
      </c>
      <c r="N217" s="22" t="inlineStr">
        <is>
          <t>Staff</t>
        </is>
      </c>
      <c r="O217" s="22" t="inlineStr">
        <is>
          <t>No</t>
        </is>
      </c>
      <c r="P217" s="22" t="inlineStr">
        <is>
          <t>HRIS / KS-DL-1.2</t>
        </is>
      </c>
    </row>
    <row r="218">
      <c r="A218" s="22" t="inlineStr">
        <is>
          <t>E0215</t>
        </is>
      </c>
      <c r="B218" s="22" t="inlineStr">
        <is>
          <t>Raleigh</t>
        </is>
      </c>
      <c r="C218" s="22" t="inlineStr">
        <is>
          <t>Midwest</t>
        </is>
      </c>
      <c r="D218" s="22" t="inlineStr">
        <is>
          <t>Corporate</t>
        </is>
      </c>
      <c r="E218" s="22" t="inlineStr">
        <is>
          <t>Permitting &amp; Advisory</t>
        </is>
      </c>
      <c r="F218" s="22" t="inlineStr">
        <is>
          <t>No</t>
        </is>
      </c>
      <c r="G218" s="234" t="n">
        <v>115</v>
      </c>
      <c r="H218" s="225" t="n">
        <v>0.15</v>
      </c>
      <c r="I218" s="225" t="n">
        <v>0</v>
      </c>
      <c r="J218" s="225" t="n">
        <v>0</v>
      </c>
      <c r="K218" s="226" t="n">
        <v>44531</v>
      </c>
      <c r="L218" s="22" t="inlineStr">
        <is>
          <t>Legacy Alderstone</t>
        </is>
      </c>
      <c r="M218" s="22" t="inlineStr">
        <is>
          <t>Active</t>
        </is>
      </c>
      <c r="N218" s="22" t="inlineStr">
        <is>
          <t>Staff</t>
        </is>
      </c>
      <c r="O218" s="22" t="inlineStr">
        <is>
          <t>No</t>
        </is>
      </c>
      <c r="P218" s="22" t="inlineStr">
        <is>
          <t>HRIS / KS-DL-1.2</t>
        </is>
      </c>
    </row>
    <row r="219">
      <c r="A219" s="22" t="inlineStr">
        <is>
          <t>E0216</t>
        </is>
      </c>
      <c r="B219" s="22" t="inlineStr">
        <is>
          <t>Charlotte</t>
        </is>
      </c>
      <c r="C219" s="22" t="inlineStr">
        <is>
          <t>Southeast</t>
        </is>
      </c>
      <c r="D219" s="22" t="inlineStr">
        <is>
          <t>Sales</t>
        </is>
      </c>
      <c r="E219" s="22" t="inlineStr">
        <is>
          <t>EHS Compliance</t>
        </is>
      </c>
      <c r="F219" s="22" t="inlineStr">
        <is>
          <t>No</t>
        </is>
      </c>
      <c r="G219" s="234" t="n">
        <v>128</v>
      </c>
      <c r="H219" s="225" t="n">
        <v>0.15</v>
      </c>
      <c r="I219" s="225" t="n">
        <v>0</v>
      </c>
      <c r="J219" s="225" t="n">
        <v>0</v>
      </c>
      <c r="K219" s="226" t="n">
        <v>44562</v>
      </c>
      <c r="L219" s="22" t="inlineStr">
        <is>
          <t>Northstar</t>
        </is>
      </c>
      <c r="M219" s="22" t="inlineStr">
        <is>
          <t>Active</t>
        </is>
      </c>
      <c r="N219" s="22" t="inlineStr">
        <is>
          <t>Manager</t>
        </is>
      </c>
      <c r="O219" s="22" t="inlineStr">
        <is>
          <t>No</t>
        </is>
      </c>
      <c r="P219" s="22" t="inlineStr">
        <is>
          <t>HRIS / KS-DL-1.2</t>
        </is>
      </c>
    </row>
    <row r="220">
      <c r="A220" s="22" t="inlineStr">
        <is>
          <t>E0217</t>
        </is>
      </c>
      <c r="B220" s="22" t="inlineStr">
        <is>
          <t>Cincinnati</t>
        </is>
      </c>
      <c r="C220" s="22" t="inlineStr">
        <is>
          <t>Midwest</t>
        </is>
      </c>
      <c r="D220" s="22" t="inlineStr">
        <is>
          <t>Finance</t>
        </is>
      </c>
      <c r="E220" s="22" t="inlineStr">
        <is>
          <t>Industrial Hygiene</t>
        </is>
      </c>
      <c r="F220" s="22" t="inlineStr">
        <is>
          <t>No</t>
        </is>
      </c>
      <c r="G220" s="234" t="n">
        <v>141</v>
      </c>
      <c r="H220" s="225" t="n">
        <v>0.15</v>
      </c>
      <c r="I220" s="225" t="n">
        <v>0</v>
      </c>
      <c r="J220" s="225" t="n">
        <v>0</v>
      </c>
      <c r="K220" s="226" t="n">
        <v>44958</v>
      </c>
      <c r="L220" s="22" t="inlineStr">
        <is>
          <t>Delta</t>
        </is>
      </c>
      <c r="M220" s="22" t="inlineStr">
        <is>
          <t>Active</t>
        </is>
      </c>
      <c r="N220" s="22" t="inlineStr">
        <is>
          <t>Staff</t>
        </is>
      </c>
      <c r="O220" s="22" t="inlineStr">
        <is>
          <t>No</t>
        </is>
      </c>
      <c r="P220" s="22" t="inlineStr">
        <is>
          <t>HRIS / KS-DL-1.2</t>
        </is>
      </c>
    </row>
    <row r="221">
      <c r="A221" s="22" t="inlineStr">
        <is>
          <t>E0218</t>
        </is>
      </c>
      <c r="B221" s="22" t="inlineStr">
        <is>
          <t>Columbus</t>
        </is>
      </c>
      <c r="C221" s="22" t="inlineStr">
        <is>
          <t>Midwest</t>
        </is>
      </c>
      <c r="D221" s="22" t="inlineStr">
        <is>
          <t>HR</t>
        </is>
      </c>
      <c r="E221" s="22" t="inlineStr">
        <is>
          <t>Field Inspection</t>
        </is>
      </c>
      <c r="F221" s="22" t="inlineStr">
        <is>
          <t>No</t>
        </is>
      </c>
      <c r="G221" s="234" t="n">
        <v>154</v>
      </c>
      <c r="H221" s="225" t="n">
        <v>0.15</v>
      </c>
      <c r="I221" s="225" t="n">
        <v>0</v>
      </c>
      <c r="J221" s="225" t="n">
        <v>0</v>
      </c>
      <c r="K221" s="226" t="n">
        <v>45352</v>
      </c>
      <c r="L221" s="22" t="inlineStr">
        <is>
          <t>Meridian</t>
        </is>
      </c>
      <c r="M221" s="22" t="inlineStr">
        <is>
          <t>Active</t>
        </is>
      </c>
      <c r="N221" s="22" t="inlineStr">
        <is>
          <t>Staff</t>
        </is>
      </c>
      <c r="O221" s="22" t="inlineStr">
        <is>
          <t>No</t>
        </is>
      </c>
      <c r="P221" s="22" t="inlineStr">
        <is>
          <t>HRIS / KS-DL-1.2</t>
        </is>
      </c>
    </row>
    <row r="222">
      <c r="A222" s="22" t="inlineStr">
        <is>
          <t>E0219</t>
        </is>
      </c>
      <c r="B222" s="22" t="inlineStr">
        <is>
          <t>Knoxville</t>
        </is>
      </c>
      <c r="C222" s="22" t="inlineStr">
        <is>
          <t>Southeast</t>
        </is>
      </c>
      <c r="D222" s="22" t="inlineStr">
        <is>
          <t>IT</t>
        </is>
      </c>
      <c r="E222" s="22" t="inlineStr">
        <is>
          <t>Permitting &amp; Advisory</t>
        </is>
      </c>
      <c r="F222" s="22" t="inlineStr">
        <is>
          <t>No</t>
        </is>
      </c>
      <c r="G222" s="234" t="n">
        <v>167</v>
      </c>
      <c r="H222" s="225" t="n">
        <v>0.15</v>
      </c>
      <c r="I222" s="225" t="n">
        <v>0</v>
      </c>
      <c r="J222" s="225" t="n">
        <v>0</v>
      </c>
      <c r="K222" s="226" t="n">
        <v>45748</v>
      </c>
      <c r="L222" s="22" t="inlineStr">
        <is>
          <t>Summit</t>
        </is>
      </c>
      <c r="M222" s="22" t="inlineStr">
        <is>
          <t>Active</t>
        </is>
      </c>
      <c r="N222" s="22" t="inlineStr">
        <is>
          <t>Staff</t>
        </is>
      </c>
      <c r="O222" s="22" t="inlineStr">
        <is>
          <t>No</t>
        </is>
      </c>
      <c r="P222" s="22" t="inlineStr">
        <is>
          <t>HRIS / KS-DL-1.2</t>
        </is>
      </c>
    </row>
    <row r="223">
      <c r="A223" s="22" t="inlineStr">
        <is>
          <t>E0220</t>
        </is>
      </c>
      <c r="B223" s="22" t="inlineStr">
        <is>
          <t>Greenville</t>
        </is>
      </c>
      <c r="C223" s="22" t="inlineStr">
        <is>
          <t>Midwest</t>
        </is>
      </c>
      <c r="D223" s="22" t="inlineStr">
        <is>
          <t>Technical</t>
        </is>
      </c>
      <c r="E223" s="22" t="inlineStr">
        <is>
          <t>EHS Compliance</t>
        </is>
      </c>
      <c r="F223" s="22" t="inlineStr">
        <is>
          <t>Yes</t>
        </is>
      </c>
      <c r="G223" s="234" t="n">
        <v>110</v>
      </c>
      <c r="H223" s="225" t="n">
        <v>0.05</v>
      </c>
      <c r="I223" s="225" t="n">
        <v>0.65</v>
      </c>
      <c r="J223" s="225" t="n">
        <v>0.61</v>
      </c>
      <c r="K223" s="226" t="n">
        <v>42125</v>
      </c>
      <c r="L223" s="22" t="inlineStr">
        <is>
          <t>Legacy Alderstone</t>
        </is>
      </c>
      <c r="M223" s="22" t="inlineStr">
        <is>
          <t>Active</t>
        </is>
      </c>
      <c r="N223" s="22" t="inlineStr">
        <is>
          <t>Staff</t>
        </is>
      </c>
      <c r="O223" s="22" t="inlineStr">
        <is>
          <t>No</t>
        </is>
      </c>
      <c r="P223" s="22" t="inlineStr">
        <is>
          <t>HRIS / KS-DL-1.2</t>
        </is>
      </c>
    </row>
    <row r="224">
      <c r="A224" s="22" t="inlineStr">
        <is>
          <t>E0221</t>
        </is>
      </c>
      <c r="B224" s="22" t="inlineStr">
        <is>
          <t>Milwaukee</t>
        </is>
      </c>
      <c r="C224" s="22" t="inlineStr">
        <is>
          <t>Midwest</t>
        </is>
      </c>
      <c r="D224" s="22" t="inlineStr">
        <is>
          <t>Technical</t>
        </is>
      </c>
      <c r="E224" s="22" t="inlineStr">
        <is>
          <t>Industrial Hygiene</t>
        </is>
      </c>
      <c r="F224" s="22" t="inlineStr">
        <is>
          <t>Yes</t>
        </is>
      </c>
      <c r="G224" s="234" t="n">
        <v>127</v>
      </c>
      <c r="H224" s="225" t="n">
        <v>0.05</v>
      </c>
      <c r="I224" s="225" t="n">
        <v>0.7200000000000001</v>
      </c>
      <c r="J224" s="225" t="n">
        <v>0.68</v>
      </c>
      <c r="K224" s="226" t="n">
        <v>42522</v>
      </c>
      <c r="L224" s="22" t="inlineStr">
        <is>
          <t>Northstar</t>
        </is>
      </c>
      <c r="M224" s="22" t="inlineStr">
        <is>
          <t>Active</t>
        </is>
      </c>
      <c r="N224" s="22" t="inlineStr">
        <is>
          <t>Staff</t>
        </is>
      </c>
      <c r="O224" s="22" t="inlineStr">
        <is>
          <t>No</t>
        </is>
      </c>
      <c r="P224" s="22" t="inlineStr">
        <is>
          <t>HRIS / KS-DL-1.2</t>
        </is>
      </c>
    </row>
    <row r="225">
      <c r="A225" s="22" t="inlineStr">
        <is>
          <t>E0222</t>
        </is>
      </c>
      <c r="B225" s="22" t="inlineStr">
        <is>
          <t>St. Louis</t>
        </is>
      </c>
      <c r="C225" s="22" t="inlineStr">
        <is>
          <t>Southeast</t>
        </is>
      </c>
      <c r="D225" s="22" t="inlineStr">
        <is>
          <t>Technical</t>
        </is>
      </c>
      <c r="E225" s="22" t="inlineStr">
        <is>
          <t>Field Inspection</t>
        </is>
      </c>
      <c r="F225" s="22" t="inlineStr">
        <is>
          <t>Yes</t>
        </is>
      </c>
      <c r="G225" s="234" t="n">
        <v>144</v>
      </c>
      <c r="H225" s="225" t="n">
        <v>0.05</v>
      </c>
      <c r="I225" s="225" t="n">
        <v>0.79</v>
      </c>
      <c r="J225" s="225" t="n">
        <v>0.75</v>
      </c>
      <c r="K225" s="226" t="n">
        <v>42917</v>
      </c>
      <c r="L225" s="22" t="inlineStr">
        <is>
          <t>Delta</t>
        </is>
      </c>
      <c r="M225" s="22" t="inlineStr">
        <is>
          <t>Active</t>
        </is>
      </c>
      <c r="N225" s="22" t="inlineStr">
        <is>
          <t>Staff</t>
        </is>
      </c>
      <c r="O225" s="22" t="inlineStr">
        <is>
          <t>No</t>
        </is>
      </c>
      <c r="P225" s="22" t="inlineStr">
        <is>
          <t>HRIS / KS-DL-1.2</t>
        </is>
      </c>
    </row>
    <row r="226">
      <c r="A226" s="22" t="inlineStr">
        <is>
          <t>E0223</t>
        </is>
      </c>
      <c r="B226" s="22" t="inlineStr">
        <is>
          <t>Richmond</t>
        </is>
      </c>
      <c r="C226" s="22" t="inlineStr">
        <is>
          <t>Midwest</t>
        </is>
      </c>
      <c r="D226" s="22" t="inlineStr">
        <is>
          <t>Technical</t>
        </is>
      </c>
      <c r="E226" s="22" t="inlineStr">
        <is>
          <t>Permitting &amp; Advisory</t>
        </is>
      </c>
      <c r="F226" s="22" t="inlineStr">
        <is>
          <t>Yes</t>
        </is>
      </c>
      <c r="G226" s="234" t="n">
        <v>71</v>
      </c>
      <c r="H226" s="225" t="n">
        <v>0.05</v>
      </c>
      <c r="I226" s="225" t="n">
        <v>0.5600000000000001</v>
      </c>
      <c r="J226" s="225" t="n">
        <v>0.52</v>
      </c>
      <c r="K226" s="226" t="n">
        <v>43313</v>
      </c>
      <c r="L226" s="22" t="inlineStr">
        <is>
          <t>Meridian</t>
        </is>
      </c>
      <c r="M226" s="22" t="inlineStr">
        <is>
          <t>Active</t>
        </is>
      </c>
      <c r="N226" s="22" t="inlineStr">
        <is>
          <t>Staff</t>
        </is>
      </c>
      <c r="O226" s="22" t="inlineStr">
        <is>
          <t>No</t>
        </is>
      </c>
      <c r="P226" s="22" t="inlineStr">
        <is>
          <t>HRIS / KS-DL-1.2</t>
        </is>
      </c>
    </row>
    <row r="227">
      <c r="A227" s="22" t="inlineStr">
        <is>
          <t>E0224</t>
        </is>
      </c>
      <c r="B227" s="22" t="inlineStr">
        <is>
          <t>Indianapolis</t>
        </is>
      </c>
      <c r="C227" s="22" t="inlineStr">
        <is>
          <t>Midwest</t>
        </is>
      </c>
      <c r="D227" s="22" t="inlineStr">
        <is>
          <t>Project Management</t>
        </is>
      </c>
      <c r="E227" s="22" t="inlineStr">
        <is>
          <t>EHS Compliance</t>
        </is>
      </c>
      <c r="F227" s="22" t="inlineStr">
        <is>
          <t>Yes</t>
        </is>
      </c>
      <c r="G227" s="234" t="n">
        <v>88</v>
      </c>
      <c r="H227" s="225" t="n">
        <v>0.05</v>
      </c>
      <c r="I227" s="225" t="n">
        <v>0.63</v>
      </c>
      <c r="J227" s="225" t="n">
        <v>0.59</v>
      </c>
      <c r="K227" s="226" t="n">
        <v>43709</v>
      </c>
      <c r="L227" s="22" t="inlineStr">
        <is>
          <t>Summit</t>
        </is>
      </c>
      <c r="M227" s="22" t="inlineStr">
        <is>
          <t>Active</t>
        </is>
      </c>
      <c r="N227" s="22" t="inlineStr">
        <is>
          <t>Staff</t>
        </is>
      </c>
      <c r="O227" s="22" t="inlineStr">
        <is>
          <t>No</t>
        </is>
      </c>
      <c r="P227" s="22" t="inlineStr">
        <is>
          <t>HRIS / KS-DL-1.2</t>
        </is>
      </c>
    </row>
    <row r="228">
      <c r="A228" s="22" t="inlineStr">
        <is>
          <t>E0225</t>
        </is>
      </c>
      <c r="B228" s="22" t="inlineStr">
        <is>
          <t>Chicago</t>
        </is>
      </c>
      <c r="C228" s="22" t="inlineStr">
        <is>
          <t>Southeast</t>
        </is>
      </c>
      <c r="D228" s="22" t="inlineStr">
        <is>
          <t>Corporate</t>
        </is>
      </c>
      <c r="E228" s="22" t="inlineStr">
        <is>
          <t>Industrial Hygiene</t>
        </is>
      </c>
      <c r="F228" s="22" t="inlineStr">
        <is>
          <t>No</t>
        </is>
      </c>
      <c r="G228" s="234" t="n">
        <v>135</v>
      </c>
      <c r="H228" s="225" t="n">
        <v>0.15</v>
      </c>
      <c r="I228" s="225" t="n">
        <v>0</v>
      </c>
      <c r="J228" s="225" t="n">
        <v>0</v>
      </c>
      <c r="K228" s="226" t="n">
        <v>44105</v>
      </c>
      <c r="L228" s="22" t="inlineStr">
        <is>
          <t>Legacy Alderstone</t>
        </is>
      </c>
      <c r="M228" s="22" t="inlineStr">
        <is>
          <t>Active</t>
        </is>
      </c>
      <c r="N228" s="22" t="inlineStr">
        <is>
          <t>Staff</t>
        </is>
      </c>
      <c r="O228" s="22" t="inlineStr">
        <is>
          <t>No</t>
        </is>
      </c>
      <c r="P228" s="22" t="inlineStr">
        <is>
          <t>HRIS / KS-DL-1.2</t>
        </is>
      </c>
    </row>
    <row r="229">
      <c r="A229" s="22" t="inlineStr">
        <is>
          <t>E0226</t>
        </is>
      </c>
      <c r="B229" s="22" t="inlineStr">
        <is>
          <t>Detroit</t>
        </is>
      </c>
      <c r="C229" s="22" t="inlineStr">
        <is>
          <t>Midwest</t>
        </is>
      </c>
      <c r="D229" s="22" t="inlineStr">
        <is>
          <t>Sales</t>
        </is>
      </c>
      <c r="E229" s="22" t="inlineStr">
        <is>
          <t>Field Inspection</t>
        </is>
      </c>
      <c r="F229" s="22" t="inlineStr">
        <is>
          <t>No</t>
        </is>
      </c>
      <c r="G229" s="234" t="n">
        <v>148</v>
      </c>
      <c r="H229" s="225" t="n">
        <v>0.15</v>
      </c>
      <c r="I229" s="225" t="n">
        <v>0</v>
      </c>
      <c r="J229" s="225" t="n">
        <v>0</v>
      </c>
      <c r="K229" s="226" t="n">
        <v>44501</v>
      </c>
      <c r="L229" s="22" t="inlineStr">
        <is>
          <t>Northstar</t>
        </is>
      </c>
      <c r="M229" s="22" t="inlineStr">
        <is>
          <t>Active</t>
        </is>
      </c>
      <c r="N229" s="22" t="inlineStr">
        <is>
          <t>Staff</t>
        </is>
      </c>
      <c r="O229" s="22" t="inlineStr">
        <is>
          <t>No</t>
        </is>
      </c>
      <c r="P229" s="22" t="inlineStr">
        <is>
          <t>HRIS / KS-DL-1.2</t>
        </is>
      </c>
    </row>
    <row r="230">
      <c r="A230" s="22" t="inlineStr">
        <is>
          <t>E0227</t>
        </is>
      </c>
      <c r="B230" s="22" t="inlineStr">
        <is>
          <t>Louisville</t>
        </is>
      </c>
      <c r="C230" s="22" t="inlineStr">
        <is>
          <t>Midwest</t>
        </is>
      </c>
      <c r="D230" s="22" t="inlineStr">
        <is>
          <t>Finance</t>
        </is>
      </c>
      <c r="E230" s="22" t="inlineStr">
        <is>
          <t>Permitting &amp; Advisory</t>
        </is>
      </c>
      <c r="F230" s="22" t="inlineStr">
        <is>
          <t>No</t>
        </is>
      </c>
      <c r="G230" s="234" t="n">
        <v>161</v>
      </c>
      <c r="H230" s="225" t="n">
        <v>0.15</v>
      </c>
      <c r="I230" s="225" t="n">
        <v>0</v>
      </c>
      <c r="J230" s="225" t="n">
        <v>0</v>
      </c>
      <c r="K230" s="226" t="n">
        <v>44896</v>
      </c>
      <c r="L230" s="22" t="inlineStr">
        <is>
          <t>Delta</t>
        </is>
      </c>
      <c r="M230" s="22" t="inlineStr">
        <is>
          <t>Active</t>
        </is>
      </c>
      <c r="N230" s="22" t="inlineStr">
        <is>
          <t>Staff</t>
        </is>
      </c>
      <c r="O230" s="22" t="inlineStr">
        <is>
          <t>No</t>
        </is>
      </c>
      <c r="P230" s="22" t="inlineStr">
        <is>
          <t>HRIS / KS-DL-1.2</t>
        </is>
      </c>
    </row>
    <row r="231">
      <c r="A231" s="22" t="inlineStr">
        <is>
          <t>E0228</t>
        </is>
      </c>
      <c r="B231" s="22" t="inlineStr">
        <is>
          <t>Nashville</t>
        </is>
      </c>
      <c r="C231" s="22" t="inlineStr">
        <is>
          <t>Southeast</t>
        </is>
      </c>
      <c r="D231" s="22" t="inlineStr">
        <is>
          <t>HR</t>
        </is>
      </c>
      <c r="E231" s="22" t="inlineStr">
        <is>
          <t>EHS Compliance</t>
        </is>
      </c>
      <c r="F231" s="22" t="inlineStr">
        <is>
          <t>No</t>
        </is>
      </c>
      <c r="G231" s="234" t="n">
        <v>174</v>
      </c>
      <c r="H231" s="225" t="n">
        <v>0.15</v>
      </c>
      <c r="I231" s="225" t="n">
        <v>0</v>
      </c>
      <c r="J231" s="225" t="n">
        <v>0</v>
      </c>
      <c r="K231" s="226" t="n">
        <v>44927</v>
      </c>
      <c r="L231" s="22" t="inlineStr">
        <is>
          <t>Meridian</t>
        </is>
      </c>
      <c r="M231" s="22" t="inlineStr">
        <is>
          <t>Active</t>
        </is>
      </c>
      <c r="N231" s="22" t="inlineStr">
        <is>
          <t>Manager</t>
        </is>
      </c>
      <c r="O231" s="22" t="inlineStr">
        <is>
          <t>No</t>
        </is>
      </c>
      <c r="P231" s="22" t="inlineStr">
        <is>
          <t>HRIS / KS-DL-1.2</t>
        </is>
      </c>
    </row>
    <row r="232">
      <c r="A232" s="22" t="inlineStr">
        <is>
          <t>E0229</t>
        </is>
      </c>
      <c r="B232" s="22" t="inlineStr">
        <is>
          <t>Raleigh</t>
        </is>
      </c>
      <c r="C232" s="22" t="inlineStr">
        <is>
          <t>Midwest</t>
        </is>
      </c>
      <c r="D232" s="22" t="inlineStr">
        <is>
          <t>IT</t>
        </is>
      </c>
      <c r="E232" s="22" t="inlineStr">
        <is>
          <t>Industrial Hygiene</t>
        </is>
      </c>
      <c r="F232" s="22" t="inlineStr">
        <is>
          <t>No</t>
        </is>
      </c>
      <c r="G232" s="234" t="n">
        <v>77</v>
      </c>
      <c r="H232" s="225" t="n">
        <v>0.15</v>
      </c>
      <c r="I232" s="225" t="n">
        <v>0</v>
      </c>
      <c r="J232" s="225" t="n">
        <v>0</v>
      </c>
      <c r="K232" s="226" t="n">
        <v>45323</v>
      </c>
      <c r="L232" s="22" t="inlineStr">
        <is>
          <t>Summit</t>
        </is>
      </c>
      <c r="M232" s="22" t="inlineStr">
        <is>
          <t>Active</t>
        </is>
      </c>
      <c r="N232" s="22" t="inlineStr">
        <is>
          <t>Staff</t>
        </is>
      </c>
      <c r="O232" s="22" t="inlineStr">
        <is>
          <t>No</t>
        </is>
      </c>
      <c r="P232" s="22" t="inlineStr">
        <is>
          <t>HRIS / KS-DL-1.2</t>
        </is>
      </c>
    </row>
    <row r="233">
      <c r="A233" s="22" t="inlineStr">
        <is>
          <t>E0230</t>
        </is>
      </c>
      <c r="B233" s="22" t="inlineStr">
        <is>
          <t>Charlotte</t>
        </is>
      </c>
      <c r="C233" s="22" t="inlineStr">
        <is>
          <t>Midwest</t>
        </is>
      </c>
      <c r="D233" s="22" t="inlineStr">
        <is>
          <t>Technical</t>
        </is>
      </c>
      <c r="E233" s="22" t="inlineStr">
        <is>
          <t>Field Inspection</t>
        </is>
      </c>
      <c r="F233" s="22" t="inlineStr">
        <is>
          <t>Yes</t>
        </is>
      </c>
      <c r="G233" s="234" t="n">
        <v>100</v>
      </c>
      <c r="H233" s="225" t="n">
        <v>0.05</v>
      </c>
      <c r="I233" s="225" t="n">
        <v>0.75</v>
      </c>
      <c r="J233" s="225" t="n">
        <v>0.71</v>
      </c>
      <c r="K233" s="226" t="n">
        <v>45717</v>
      </c>
      <c r="L233" s="22" t="inlineStr">
        <is>
          <t>Legacy Alderstone</t>
        </is>
      </c>
      <c r="M233" s="22" t="inlineStr">
        <is>
          <t>Active</t>
        </is>
      </c>
      <c r="N233" s="22" t="inlineStr">
        <is>
          <t>Staff</t>
        </is>
      </c>
      <c r="O233" s="22" t="inlineStr">
        <is>
          <t>No</t>
        </is>
      </c>
      <c r="P233" s="22" t="inlineStr">
        <is>
          <t>HRIS / KS-DL-1.2</t>
        </is>
      </c>
    </row>
    <row r="234">
      <c r="A234" s="22" t="inlineStr">
        <is>
          <t>E0231</t>
        </is>
      </c>
      <c r="B234" s="22" t="inlineStr">
        <is>
          <t>Cincinnati</t>
        </is>
      </c>
      <c r="C234" s="22" t="inlineStr">
        <is>
          <t>Southeast</t>
        </is>
      </c>
      <c r="D234" s="22" t="inlineStr">
        <is>
          <t>Technical</t>
        </is>
      </c>
      <c r="E234" s="22" t="inlineStr">
        <is>
          <t>Permitting &amp; Advisory</t>
        </is>
      </c>
      <c r="F234" s="22" t="inlineStr">
        <is>
          <t>Yes</t>
        </is>
      </c>
      <c r="G234" s="234" t="n">
        <v>117</v>
      </c>
      <c r="H234" s="225" t="n">
        <v>0.05</v>
      </c>
      <c r="I234" s="225" t="n">
        <v>0.8200000000000001</v>
      </c>
      <c r="J234" s="225" t="n">
        <v>0.78</v>
      </c>
      <c r="K234" s="226" t="n">
        <v>42095</v>
      </c>
      <c r="L234" s="22" t="inlineStr">
        <is>
          <t>Northstar</t>
        </is>
      </c>
      <c r="M234" s="22" t="inlineStr">
        <is>
          <t>Active</t>
        </is>
      </c>
      <c r="N234" s="22" t="inlineStr">
        <is>
          <t>Staff</t>
        </is>
      </c>
      <c r="O234" s="22" t="inlineStr">
        <is>
          <t>No</t>
        </is>
      </c>
      <c r="P234" s="22" t="inlineStr">
        <is>
          <t>HRIS / KS-DL-1.2</t>
        </is>
      </c>
    </row>
    <row r="235">
      <c r="A235" s="22" t="inlineStr">
        <is>
          <t>E0232</t>
        </is>
      </c>
      <c r="B235" s="22" t="inlineStr">
        <is>
          <t>Columbus</t>
        </is>
      </c>
      <c r="C235" s="22" t="inlineStr">
        <is>
          <t>Midwest</t>
        </is>
      </c>
      <c r="D235" s="22" t="inlineStr">
        <is>
          <t>Technical</t>
        </is>
      </c>
      <c r="E235" s="22" t="inlineStr">
        <is>
          <t>EHS Compliance</t>
        </is>
      </c>
      <c r="F235" s="22" t="inlineStr">
        <is>
          <t>Yes</t>
        </is>
      </c>
      <c r="G235" s="234" t="n">
        <v>134</v>
      </c>
      <c r="H235" s="225" t="n">
        <v>0.05</v>
      </c>
      <c r="I235" s="225" t="n">
        <v>0.5900000000000001</v>
      </c>
      <c r="J235" s="225" t="n">
        <v>0.55</v>
      </c>
      <c r="K235" s="226" t="n">
        <v>42491</v>
      </c>
      <c r="L235" s="22" t="inlineStr">
        <is>
          <t>Delta</t>
        </is>
      </c>
      <c r="M235" s="22" t="inlineStr">
        <is>
          <t>Active</t>
        </is>
      </c>
      <c r="N235" s="22" t="inlineStr">
        <is>
          <t>Staff</t>
        </is>
      </c>
      <c r="O235" s="22" t="inlineStr">
        <is>
          <t>Yes</t>
        </is>
      </c>
      <c r="P235" s="22" t="inlineStr">
        <is>
          <t>HRIS / KS-DL-1.2</t>
        </is>
      </c>
    </row>
    <row r="236">
      <c r="A236" s="22" t="inlineStr">
        <is>
          <t>E0233</t>
        </is>
      </c>
      <c r="B236" s="22" t="inlineStr">
        <is>
          <t>Knoxville</t>
        </is>
      </c>
      <c r="C236" s="22" t="inlineStr">
        <is>
          <t>Midwest</t>
        </is>
      </c>
      <c r="D236" s="22" t="inlineStr">
        <is>
          <t>Technical</t>
        </is>
      </c>
      <c r="E236" s="22" t="inlineStr">
        <is>
          <t>Industrial Hygiene</t>
        </is>
      </c>
      <c r="F236" s="22" t="inlineStr">
        <is>
          <t>Yes</t>
        </is>
      </c>
      <c r="G236" s="234" t="n">
        <v>61</v>
      </c>
      <c r="H236" s="225" t="n">
        <v>0.05</v>
      </c>
      <c r="I236" s="225" t="n">
        <v>0.66</v>
      </c>
      <c r="J236" s="225" t="n">
        <v>0.62</v>
      </c>
      <c r="K236" s="226" t="n">
        <v>42887</v>
      </c>
      <c r="L236" s="22" t="inlineStr">
        <is>
          <t>Meridian</t>
        </is>
      </c>
      <c r="M236" s="22" t="inlineStr">
        <is>
          <t>Active</t>
        </is>
      </c>
      <c r="N236" s="22" t="inlineStr">
        <is>
          <t>Staff</t>
        </is>
      </c>
      <c r="O236" s="22" t="inlineStr">
        <is>
          <t>No</t>
        </is>
      </c>
      <c r="P236" s="22" t="inlineStr">
        <is>
          <t>HRIS / KS-DL-1.2</t>
        </is>
      </c>
    </row>
    <row r="237">
      <c r="A237" s="22" t="inlineStr">
        <is>
          <t>E0234</t>
        </is>
      </c>
      <c r="B237" s="22" t="inlineStr">
        <is>
          <t>Greenville</t>
        </is>
      </c>
      <c r="C237" s="22" t="inlineStr">
        <is>
          <t>Southeast</t>
        </is>
      </c>
      <c r="D237" s="22" t="inlineStr">
        <is>
          <t>Project Management</t>
        </is>
      </c>
      <c r="E237" s="22" t="inlineStr">
        <is>
          <t>Field Inspection</t>
        </is>
      </c>
      <c r="F237" s="22" t="inlineStr">
        <is>
          <t>Yes</t>
        </is>
      </c>
      <c r="G237" s="234" t="n">
        <v>78</v>
      </c>
      <c r="H237" s="225" t="n">
        <v>0.05</v>
      </c>
      <c r="I237" s="225" t="n">
        <v>0.73</v>
      </c>
      <c r="J237" s="225" t="n">
        <v>0.6899999999999999</v>
      </c>
      <c r="K237" s="226" t="n">
        <v>43282</v>
      </c>
      <c r="L237" s="22" t="inlineStr">
        <is>
          <t>Summit</t>
        </is>
      </c>
      <c r="M237" s="22" t="inlineStr">
        <is>
          <t>Active</t>
        </is>
      </c>
      <c r="N237" s="22" t="inlineStr">
        <is>
          <t>Staff</t>
        </is>
      </c>
      <c r="O237" s="22" t="inlineStr">
        <is>
          <t>No</t>
        </is>
      </c>
      <c r="P237" s="22" t="inlineStr">
        <is>
          <t>HRIS / KS-DL-1.2</t>
        </is>
      </c>
    </row>
    <row r="238">
      <c r="A238" s="22" t="inlineStr">
        <is>
          <t>E0235</t>
        </is>
      </c>
      <c r="B238" s="22" t="inlineStr">
        <is>
          <t>Milwaukee</t>
        </is>
      </c>
      <c r="C238" s="22" t="inlineStr">
        <is>
          <t>Midwest</t>
        </is>
      </c>
      <c r="D238" s="22" t="inlineStr">
        <is>
          <t>Corporate</t>
        </is>
      </c>
      <c r="E238" s="22" t="inlineStr">
        <is>
          <t>Permitting &amp; Advisory</t>
        </is>
      </c>
      <c r="F238" s="22" t="inlineStr">
        <is>
          <t>No</t>
        </is>
      </c>
      <c r="G238" s="234" t="n">
        <v>155</v>
      </c>
      <c r="H238" s="225" t="n">
        <v>0.15</v>
      </c>
      <c r="I238" s="225" t="n">
        <v>0</v>
      </c>
      <c r="J238" s="225" t="n">
        <v>0</v>
      </c>
      <c r="K238" s="226" t="n">
        <v>43678</v>
      </c>
      <c r="L238" s="22" t="inlineStr">
        <is>
          <t>Legacy Alderstone</t>
        </is>
      </c>
      <c r="M238" s="22" t="inlineStr">
        <is>
          <t>Active</t>
        </is>
      </c>
      <c r="N238" s="22" t="inlineStr">
        <is>
          <t>Staff</t>
        </is>
      </c>
      <c r="O238" s="22" t="inlineStr">
        <is>
          <t>No</t>
        </is>
      </c>
      <c r="P238" s="22" t="inlineStr">
        <is>
          <t>HRIS / KS-DL-1.2</t>
        </is>
      </c>
    </row>
    <row r="239">
      <c r="A239" s="22" t="inlineStr">
        <is>
          <t>E0236</t>
        </is>
      </c>
      <c r="B239" s="22" t="inlineStr">
        <is>
          <t>St. Louis</t>
        </is>
      </c>
      <c r="C239" s="22" t="inlineStr">
        <is>
          <t>Midwest</t>
        </is>
      </c>
      <c r="D239" s="22" t="inlineStr">
        <is>
          <t>Sales</t>
        </is>
      </c>
      <c r="E239" s="22" t="inlineStr">
        <is>
          <t>EHS Compliance</t>
        </is>
      </c>
      <c r="F239" s="22" t="inlineStr">
        <is>
          <t>No</t>
        </is>
      </c>
      <c r="G239" s="234" t="n">
        <v>168</v>
      </c>
      <c r="H239" s="225" t="n">
        <v>0.15</v>
      </c>
      <c r="I239" s="225" t="n">
        <v>0</v>
      </c>
      <c r="J239" s="225" t="n">
        <v>0</v>
      </c>
      <c r="K239" s="226" t="n">
        <v>44075</v>
      </c>
      <c r="L239" s="22" t="inlineStr">
        <is>
          <t>Northstar</t>
        </is>
      </c>
      <c r="M239" s="22" t="inlineStr">
        <is>
          <t>Active</t>
        </is>
      </c>
      <c r="N239" s="22" t="inlineStr">
        <is>
          <t>Staff</t>
        </is>
      </c>
      <c r="O239" s="22" t="inlineStr">
        <is>
          <t>No</t>
        </is>
      </c>
      <c r="P239" s="22" t="inlineStr">
        <is>
          <t>HRIS / KS-DL-1.2</t>
        </is>
      </c>
    </row>
    <row r="240">
      <c r="A240" s="22" t="inlineStr">
        <is>
          <t>E0237</t>
        </is>
      </c>
      <c r="B240" s="22" t="inlineStr">
        <is>
          <t>Richmond</t>
        </is>
      </c>
      <c r="C240" s="22" t="inlineStr">
        <is>
          <t>Southeast</t>
        </is>
      </c>
      <c r="D240" s="22" t="inlineStr">
        <is>
          <t>Finance</t>
        </is>
      </c>
      <c r="E240" s="22" t="inlineStr">
        <is>
          <t>Industrial Hygiene</t>
        </is>
      </c>
      <c r="F240" s="22" t="inlineStr">
        <is>
          <t>No</t>
        </is>
      </c>
      <c r="G240" s="234" t="n">
        <v>71</v>
      </c>
      <c r="H240" s="225" t="n">
        <v>0.15</v>
      </c>
      <c r="I240" s="225" t="n">
        <v>0</v>
      </c>
      <c r="J240" s="225" t="n">
        <v>0</v>
      </c>
      <c r="K240" s="226" t="n">
        <v>44470</v>
      </c>
      <c r="L240" s="22" t="inlineStr">
        <is>
          <t>Delta</t>
        </is>
      </c>
      <c r="M240" s="22" t="inlineStr">
        <is>
          <t>Active</t>
        </is>
      </c>
      <c r="N240" s="22" t="inlineStr">
        <is>
          <t>Staff</t>
        </is>
      </c>
      <c r="O240" s="22" t="inlineStr">
        <is>
          <t>No</t>
        </is>
      </c>
      <c r="P240" s="22" t="inlineStr">
        <is>
          <t>HRIS / KS-DL-1.2</t>
        </is>
      </c>
    </row>
    <row r="241">
      <c r="A241" s="22" t="inlineStr">
        <is>
          <t>E0238</t>
        </is>
      </c>
      <c r="B241" s="22" t="inlineStr">
        <is>
          <t>Indianapolis</t>
        </is>
      </c>
      <c r="C241" s="22" t="inlineStr">
        <is>
          <t>Midwest</t>
        </is>
      </c>
      <c r="D241" s="22" t="inlineStr">
        <is>
          <t>HR</t>
        </is>
      </c>
      <c r="E241" s="22" t="inlineStr">
        <is>
          <t>Field Inspection</t>
        </is>
      </c>
      <c r="F241" s="22" t="inlineStr">
        <is>
          <t>No</t>
        </is>
      </c>
      <c r="G241" s="234" t="n">
        <v>84</v>
      </c>
      <c r="H241" s="225" t="n">
        <v>0.15</v>
      </c>
      <c r="I241" s="225" t="n">
        <v>0</v>
      </c>
      <c r="J241" s="225" t="n">
        <v>0</v>
      </c>
      <c r="K241" s="226" t="n">
        <v>44866</v>
      </c>
      <c r="L241" s="22" t="inlineStr">
        <is>
          <t>Meridian</t>
        </is>
      </c>
      <c r="M241" s="22" t="inlineStr">
        <is>
          <t>Active</t>
        </is>
      </c>
      <c r="N241" s="22" t="inlineStr">
        <is>
          <t>Staff</t>
        </is>
      </c>
      <c r="O241" s="22" t="inlineStr">
        <is>
          <t>No</t>
        </is>
      </c>
      <c r="P241" s="22" t="inlineStr">
        <is>
          <t>HRIS / KS-DL-1.2</t>
        </is>
      </c>
    </row>
    <row r="242">
      <c r="A242" s="22" t="inlineStr">
        <is>
          <t>E0239</t>
        </is>
      </c>
      <c r="B242" s="22" t="inlineStr">
        <is>
          <t>Chicago</t>
        </is>
      </c>
      <c r="C242" s="22" t="inlineStr">
        <is>
          <t>Midwest</t>
        </is>
      </c>
      <c r="D242" s="22" t="inlineStr">
        <is>
          <t>IT</t>
        </is>
      </c>
      <c r="E242" s="22" t="inlineStr">
        <is>
          <t>Permitting &amp; Advisory</t>
        </is>
      </c>
      <c r="F242" s="22" t="inlineStr">
        <is>
          <t>No</t>
        </is>
      </c>
      <c r="G242" s="234" t="n">
        <v>97</v>
      </c>
      <c r="H242" s="225" t="n">
        <v>0.15</v>
      </c>
      <c r="I242" s="225" t="n">
        <v>0</v>
      </c>
      <c r="J242" s="225" t="n">
        <v>0</v>
      </c>
      <c r="K242" s="226" t="n">
        <v>45261</v>
      </c>
      <c r="L242" s="22" t="inlineStr">
        <is>
          <t>Summit</t>
        </is>
      </c>
      <c r="M242" s="22" t="inlineStr">
        <is>
          <t>Active</t>
        </is>
      </c>
      <c r="N242" s="22" t="inlineStr">
        <is>
          <t>Staff</t>
        </is>
      </c>
      <c r="O242" s="22" t="inlineStr">
        <is>
          <t>No</t>
        </is>
      </c>
      <c r="P242" s="22" t="inlineStr">
        <is>
          <t>HRIS / KS-DL-1.2</t>
        </is>
      </c>
    </row>
    <row r="243">
      <c r="A243" s="22" t="inlineStr">
        <is>
          <t>E0240</t>
        </is>
      </c>
      <c r="B243" s="22" t="inlineStr">
        <is>
          <t>Detroit</t>
        </is>
      </c>
      <c r="C243" s="22" t="inlineStr">
        <is>
          <t>Southeast</t>
        </is>
      </c>
      <c r="D243" s="22" t="inlineStr">
        <is>
          <t>Technical</t>
        </is>
      </c>
      <c r="E243" s="22" t="inlineStr">
        <is>
          <t>EHS Compliance</t>
        </is>
      </c>
      <c r="F243" s="22" t="inlineStr">
        <is>
          <t>Yes</t>
        </is>
      </c>
      <c r="G243" s="234" t="n">
        <v>90</v>
      </c>
      <c r="H243" s="225" t="n">
        <v>0.05</v>
      </c>
      <c r="I243" s="225" t="n">
        <v>0.55</v>
      </c>
      <c r="J243" s="225" t="n">
        <v>0.51</v>
      </c>
      <c r="K243" s="226" t="n">
        <v>45292</v>
      </c>
      <c r="L243" s="22" t="inlineStr">
        <is>
          <t>Legacy Alderstone</t>
        </is>
      </c>
      <c r="M243" s="22" t="inlineStr">
        <is>
          <t>Active</t>
        </is>
      </c>
      <c r="N243" s="22" t="inlineStr">
        <is>
          <t>Manager</t>
        </is>
      </c>
      <c r="O243" s="22" t="inlineStr">
        <is>
          <t>No</t>
        </is>
      </c>
      <c r="P243" s="22" t="inlineStr">
        <is>
          <t>HRIS / KS-DL-1.2</t>
        </is>
      </c>
    </row>
    <row r="244">
      <c r="A244" s="22" t="inlineStr">
        <is>
          <t>E0241</t>
        </is>
      </c>
      <c r="B244" s="22" t="inlineStr">
        <is>
          <t>Louisville</t>
        </is>
      </c>
      <c r="C244" s="22" t="inlineStr">
        <is>
          <t>Midwest</t>
        </is>
      </c>
      <c r="D244" s="22" t="inlineStr">
        <is>
          <t>Technical</t>
        </is>
      </c>
      <c r="E244" s="22" t="inlineStr">
        <is>
          <t>Industrial Hygiene</t>
        </is>
      </c>
      <c r="F244" s="22" t="inlineStr">
        <is>
          <t>Yes</t>
        </is>
      </c>
      <c r="G244" s="234" t="n">
        <v>107</v>
      </c>
      <c r="H244" s="225" t="n">
        <v>0.05</v>
      </c>
      <c r="I244" s="225" t="n">
        <v>0.6200000000000001</v>
      </c>
      <c r="J244" s="225" t="n">
        <v>0.5800000000000001</v>
      </c>
      <c r="K244" s="226" t="n">
        <v>45689</v>
      </c>
      <c r="L244" s="22" t="inlineStr">
        <is>
          <t>Northstar</t>
        </is>
      </c>
      <c r="M244" s="22" t="inlineStr">
        <is>
          <t>Active</t>
        </is>
      </c>
      <c r="N244" s="22" t="inlineStr">
        <is>
          <t>Staff</t>
        </is>
      </c>
      <c r="O244" s="22" t="inlineStr">
        <is>
          <t>No</t>
        </is>
      </c>
      <c r="P244" s="22" t="inlineStr">
        <is>
          <t>HRIS / KS-DL-1.2</t>
        </is>
      </c>
    </row>
    <row r="245">
      <c r="A245" s="22" t="inlineStr">
        <is>
          <t>E0242</t>
        </is>
      </c>
      <c r="B245" s="22" t="inlineStr">
        <is>
          <t>Nashville</t>
        </is>
      </c>
      <c r="C245" s="22" t="inlineStr">
        <is>
          <t>Midwest</t>
        </is>
      </c>
      <c r="D245" s="22" t="inlineStr">
        <is>
          <t>Technical</t>
        </is>
      </c>
      <c r="E245" s="22" t="inlineStr">
        <is>
          <t>Field Inspection</t>
        </is>
      </c>
      <c r="F245" s="22" t="inlineStr">
        <is>
          <t>Yes</t>
        </is>
      </c>
      <c r="G245" s="234" t="n">
        <v>124</v>
      </c>
      <c r="H245" s="225" t="n">
        <v>0.05</v>
      </c>
      <c r="I245" s="225" t="n">
        <v>0.6900000000000001</v>
      </c>
      <c r="J245" s="225" t="n">
        <v>0.65</v>
      </c>
      <c r="K245" s="226" t="n">
        <v>42064</v>
      </c>
      <c r="L245" s="22" t="inlineStr">
        <is>
          <t>Delta</t>
        </is>
      </c>
      <c r="M245" s="22" t="inlineStr">
        <is>
          <t>Active</t>
        </is>
      </c>
      <c r="N245" s="22" t="inlineStr">
        <is>
          <t>Staff</t>
        </is>
      </c>
      <c r="O245" s="22" t="inlineStr">
        <is>
          <t>No</t>
        </is>
      </c>
      <c r="P245" s="22" t="inlineStr">
        <is>
          <t>HRIS / KS-DL-1.2</t>
        </is>
      </c>
    </row>
    <row r="246">
      <c r="A246" s="22" t="inlineStr">
        <is>
          <t>E0243</t>
        </is>
      </c>
      <c r="B246" s="22" t="inlineStr">
        <is>
          <t>Raleigh</t>
        </is>
      </c>
      <c r="C246" s="22" t="inlineStr">
        <is>
          <t>Southeast</t>
        </is>
      </c>
      <c r="D246" s="22" t="inlineStr">
        <is>
          <t>Technical</t>
        </is>
      </c>
      <c r="E246" s="22" t="inlineStr">
        <is>
          <t>Permitting &amp; Advisory</t>
        </is>
      </c>
      <c r="F246" s="22" t="inlineStr">
        <is>
          <t>Yes</t>
        </is>
      </c>
      <c r="G246" s="234" t="n">
        <v>141</v>
      </c>
      <c r="H246" s="225" t="n">
        <v>0.05</v>
      </c>
      <c r="I246" s="225" t="n">
        <v>0.76</v>
      </c>
      <c r="J246" s="225" t="n">
        <v>0.72</v>
      </c>
      <c r="K246" s="226" t="n">
        <v>42461</v>
      </c>
      <c r="L246" s="22" t="inlineStr">
        <is>
          <t>Meridian</t>
        </is>
      </c>
      <c r="M246" s="22" t="inlineStr">
        <is>
          <t>Active</t>
        </is>
      </c>
      <c r="N246" s="22" t="inlineStr">
        <is>
          <t>Staff</t>
        </is>
      </c>
      <c r="O246" s="22" t="inlineStr">
        <is>
          <t>No</t>
        </is>
      </c>
      <c r="P246" s="22" t="inlineStr">
        <is>
          <t>HRIS / KS-DL-1.2</t>
        </is>
      </c>
    </row>
    <row r="247">
      <c r="A247" s="22" t="inlineStr">
        <is>
          <t>E0244</t>
        </is>
      </c>
      <c r="B247" s="22" t="inlineStr">
        <is>
          <t>Charlotte</t>
        </is>
      </c>
      <c r="C247" s="22" t="inlineStr">
        <is>
          <t>Midwest</t>
        </is>
      </c>
      <c r="D247" s="22" t="inlineStr">
        <is>
          <t>Project Management</t>
        </is>
      </c>
      <c r="E247" s="22" t="inlineStr">
        <is>
          <t>EHS Compliance</t>
        </is>
      </c>
      <c r="F247" s="22" t="inlineStr">
        <is>
          <t>Yes</t>
        </is>
      </c>
      <c r="G247" s="234" t="n">
        <v>68</v>
      </c>
      <c r="H247" s="225" t="n">
        <v>0.05</v>
      </c>
      <c r="I247" s="225" t="n">
        <v>0.8300000000000001</v>
      </c>
      <c r="J247" s="225" t="n">
        <v>0.79</v>
      </c>
      <c r="K247" s="226" t="n">
        <v>42856</v>
      </c>
      <c r="L247" s="22" t="inlineStr">
        <is>
          <t>Summit</t>
        </is>
      </c>
      <c r="M247" s="22" t="inlineStr">
        <is>
          <t>Active</t>
        </is>
      </c>
      <c r="N247" s="22" t="inlineStr">
        <is>
          <t>Staff</t>
        </is>
      </c>
      <c r="O247" s="22" t="inlineStr">
        <is>
          <t>No</t>
        </is>
      </c>
      <c r="P247" s="22" t="inlineStr">
        <is>
          <t>HRIS / KS-DL-1.2</t>
        </is>
      </c>
    </row>
    <row r="248">
      <c r="A248" s="22" t="inlineStr">
        <is>
          <t>E0245</t>
        </is>
      </c>
      <c r="B248" s="22" t="inlineStr">
        <is>
          <t>Cincinnati</t>
        </is>
      </c>
      <c r="C248" s="22" t="inlineStr">
        <is>
          <t>Midwest</t>
        </is>
      </c>
      <c r="D248" s="22" t="inlineStr">
        <is>
          <t>Corporate</t>
        </is>
      </c>
      <c r="E248" s="22" t="inlineStr">
        <is>
          <t>Industrial Hygiene</t>
        </is>
      </c>
      <c r="F248" s="22" t="inlineStr">
        <is>
          <t>No</t>
        </is>
      </c>
      <c r="G248" s="234" t="n">
        <v>175</v>
      </c>
      <c r="H248" s="225" t="n">
        <v>0.15</v>
      </c>
      <c r="I248" s="225" t="n">
        <v>0</v>
      </c>
      <c r="J248" s="225" t="n">
        <v>0</v>
      </c>
      <c r="K248" s="226" t="n">
        <v>43252</v>
      </c>
      <c r="L248" s="22" t="inlineStr">
        <is>
          <t>Legacy Alderstone</t>
        </is>
      </c>
      <c r="M248" s="22" t="inlineStr">
        <is>
          <t>Active</t>
        </is>
      </c>
      <c r="N248" s="22" t="inlineStr">
        <is>
          <t>Staff</t>
        </is>
      </c>
      <c r="O248" s="22" t="inlineStr">
        <is>
          <t>No</t>
        </is>
      </c>
      <c r="P248" s="22" t="inlineStr">
        <is>
          <t>HRIS / KS-DL-1.2</t>
        </is>
      </c>
    </row>
    <row r="249">
      <c r="A249" s="22" t="inlineStr">
        <is>
          <t>E0246</t>
        </is>
      </c>
      <c r="B249" s="22" t="inlineStr">
        <is>
          <t>Columbus</t>
        </is>
      </c>
      <c r="C249" s="22" t="inlineStr">
        <is>
          <t>Southeast</t>
        </is>
      </c>
      <c r="D249" s="22" t="inlineStr">
        <is>
          <t>Sales</t>
        </is>
      </c>
      <c r="E249" s="22" t="inlineStr">
        <is>
          <t>Field Inspection</t>
        </is>
      </c>
      <c r="F249" s="22" t="inlineStr">
        <is>
          <t>No</t>
        </is>
      </c>
      <c r="G249" s="234" t="n">
        <v>78</v>
      </c>
      <c r="H249" s="225" t="n">
        <v>0.15</v>
      </c>
      <c r="I249" s="225" t="n">
        <v>0</v>
      </c>
      <c r="J249" s="225" t="n">
        <v>0</v>
      </c>
      <c r="K249" s="226" t="n">
        <v>43647</v>
      </c>
      <c r="L249" s="22" t="inlineStr">
        <is>
          <t>Northstar</t>
        </is>
      </c>
      <c r="M249" s="22" t="inlineStr">
        <is>
          <t>Active</t>
        </is>
      </c>
      <c r="N249" s="22" t="inlineStr">
        <is>
          <t>Staff</t>
        </is>
      </c>
      <c r="O249" s="22" t="inlineStr">
        <is>
          <t>No</t>
        </is>
      </c>
      <c r="P249" s="22" t="inlineStr">
        <is>
          <t>HRIS / KS-DL-1.2</t>
        </is>
      </c>
    </row>
    <row r="250">
      <c r="A250" s="22" t="inlineStr">
        <is>
          <t>E0247</t>
        </is>
      </c>
      <c r="B250" s="22" t="inlineStr">
        <is>
          <t>Knoxville</t>
        </is>
      </c>
      <c r="C250" s="22" t="inlineStr">
        <is>
          <t>Midwest</t>
        </is>
      </c>
      <c r="D250" s="22" t="inlineStr">
        <is>
          <t>Finance</t>
        </is>
      </c>
      <c r="E250" s="22" t="inlineStr">
        <is>
          <t>Permitting &amp; Advisory</t>
        </is>
      </c>
      <c r="F250" s="22" t="inlineStr">
        <is>
          <t>No</t>
        </is>
      </c>
      <c r="G250" s="234" t="n">
        <v>91</v>
      </c>
      <c r="H250" s="225" t="n">
        <v>0.15</v>
      </c>
      <c r="I250" s="225" t="n">
        <v>0</v>
      </c>
      <c r="J250" s="225" t="n">
        <v>0</v>
      </c>
      <c r="K250" s="226" t="n">
        <v>44044</v>
      </c>
      <c r="L250" s="22" t="inlineStr">
        <is>
          <t>Delta</t>
        </is>
      </c>
      <c r="M250" s="22" t="inlineStr">
        <is>
          <t>Active</t>
        </is>
      </c>
      <c r="N250" s="22" t="inlineStr">
        <is>
          <t>Staff</t>
        </is>
      </c>
      <c r="O250" s="22" t="inlineStr">
        <is>
          <t>No</t>
        </is>
      </c>
      <c r="P250" s="22" t="inlineStr">
        <is>
          <t>HRIS / KS-DL-1.2</t>
        </is>
      </c>
    </row>
    <row r="251">
      <c r="A251" s="22" t="inlineStr">
        <is>
          <t>E0248</t>
        </is>
      </c>
      <c r="B251" s="22" t="inlineStr">
        <is>
          <t>Greenville</t>
        </is>
      </c>
      <c r="C251" s="22" t="inlineStr">
        <is>
          <t>Midwest</t>
        </is>
      </c>
      <c r="D251" s="22" t="inlineStr">
        <is>
          <t>HR</t>
        </is>
      </c>
      <c r="E251" s="22" t="inlineStr">
        <is>
          <t>EHS Compliance</t>
        </is>
      </c>
      <c r="F251" s="22" t="inlineStr">
        <is>
          <t>No</t>
        </is>
      </c>
      <c r="G251" s="234" t="n">
        <v>104</v>
      </c>
      <c r="H251" s="225" t="n">
        <v>0.15</v>
      </c>
      <c r="I251" s="225" t="n">
        <v>0</v>
      </c>
      <c r="J251" s="225" t="n">
        <v>0</v>
      </c>
      <c r="K251" s="226" t="n">
        <v>44440</v>
      </c>
      <c r="L251" s="22" t="inlineStr">
        <is>
          <t>Meridian</t>
        </is>
      </c>
      <c r="M251" s="22" t="inlineStr">
        <is>
          <t>Active</t>
        </is>
      </c>
      <c r="N251" s="22" t="inlineStr">
        <is>
          <t>Staff</t>
        </is>
      </c>
      <c r="O251" s="22" t="inlineStr">
        <is>
          <t>No</t>
        </is>
      </c>
      <c r="P251" s="22" t="inlineStr">
        <is>
          <t>HRIS / KS-DL-1.2</t>
        </is>
      </c>
    </row>
    <row r="252">
      <c r="A252" s="22" t="inlineStr">
        <is>
          <t>E0249</t>
        </is>
      </c>
      <c r="B252" s="22" t="inlineStr">
        <is>
          <t>Milwaukee</t>
        </is>
      </c>
      <c r="C252" s="22" t="inlineStr">
        <is>
          <t>Southeast</t>
        </is>
      </c>
      <c r="D252" s="22" t="inlineStr">
        <is>
          <t>IT</t>
        </is>
      </c>
      <c r="E252" s="22" t="inlineStr">
        <is>
          <t>Industrial Hygiene</t>
        </is>
      </c>
      <c r="F252" s="22" t="inlineStr">
        <is>
          <t>No</t>
        </is>
      </c>
      <c r="G252" s="234" t="n">
        <v>117</v>
      </c>
      <c r="H252" s="225" t="n">
        <v>0.15</v>
      </c>
      <c r="I252" s="225" t="n">
        <v>0</v>
      </c>
      <c r="J252" s="225" t="n">
        <v>0</v>
      </c>
      <c r="K252" s="226" t="n">
        <v>44835</v>
      </c>
      <c r="L252" s="22" t="inlineStr">
        <is>
          <t>Summit</t>
        </is>
      </c>
      <c r="M252" s="22" t="inlineStr">
        <is>
          <t>Active</t>
        </is>
      </c>
      <c r="N252" s="22" t="inlineStr">
        <is>
          <t>Staff</t>
        </is>
      </c>
      <c r="O252" s="22" t="inlineStr">
        <is>
          <t>No</t>
        </is>
      </c>
      <c r="P252" s="22" t="inlineStr">
        <is>
          <t>HRIS / KS-DL-1.2</t>
        </is>
      </c>
    </row>
    <row r="253">
      <c r="A253" s="22" t="inlineStr">
        <is>
          <t>E0250</t>
        </is>
      </c>
      <c r="B253" s="22" t="inlineStr">
        <is>
          <t>St. Louis</t>
        </is>
      </c>
      <c r="C253" s="22" t="inlineStr">
        <is>
          <t>Midwest</t>
        </is>
      </c>
      <c r="D253" s="22" t="inlineStr">
        <is>
          <t>Technical</t>
        </is>
      </c>
      <c r="E253" s="22" t="inlineStr">
        <is>
          <t>Field Inspection</t>
        </is>
      </c>
      <c r="F253" s="22" t="inlineStr">
        <is>
          <t>Yes</t>
        </is>
      </c>
      <c r="G253" s="234" t="n">
        <v>80</v>
      </c>
      <c r="H253" s="225" t="n">
        <v>0.05</v>
      </c>
      <c r="I253" s="225" t="n">
        <v>0.65</v>
      </c>
      <c r="J253" s="225" t="n">
        <v>0.61</v>
      </c>
      <c r="K253" s="226" t="n">
        <v>45231</v>
      </c>
      <c r="L253" s="22" t="inlineStr">
        <is>
          <t>Legacy Alderstone</t>
        </is>
      </c>
      <c r="M253" s="22" t="inlineStr">
        <is>
          <t>Active</t>
        </is>
      </c>
      <c r="N253" s="22" t="inlineStr">
        <is>
          <t>Staff</t>
        </is>
      </c>
      <c r="O253" s="22" t="inlineStr">
        <is>
          <t>No</t>
        </is>
      </c>
      <c r="P253" s="22" t="inlineStr">
        <is>
          <t>HRIS / KS-DL-1.2</t>
        </is>
      </c>
    </row>
    <row r="254">
      <c r="A254" s="22" t="inlineStr">
        <is>
          <t>E0251</t>
        </is>
      </c>
      <c r="B254" s="22" t="inlineStr">
        <is>
          <t>Richmond</t>
        </is>
      </c>
      <c r="C254" s="22" t="inlineStr">
        <is>
          <t>Midwest</t>
        </is>
      </c>
      <c r="D254" s="22" t="inlineStr">
        <is>
          <t>Technical</t>
        </is>
      </c>
      <c r="E254" s="22" t="inlineStr">
        <is>
          <t>Permitting &amp; Advisory</t>
        </is>
      </c>
      <c r="F254" s="22" t="inlineStr">
        <is>
          <t>Yes</t>
        </is>
      </c>
      <c r="G254" s="234" t="n">
        <v>97</v>
      </c>
      <c r="H254" s="225" t="n">
        <v>0.05</v>
      </c>
      <c r="I254" s="225" t="n">
        <v>0.7200000000000001</v>
      </c>
      <c r="J254" s="225" t="n">
        <v>0.68</v>
      </c>
      <c r="K254" s="226" t="n">
        <v>45627</v>
      </c>
      <c r="L254" s="22" t="inlineStr">
        <is>
          <t>Northstar</t>
        </is>
      </c>
      <c r="M254" s="22" t="inlineStr">
        <is>
          <t>Active</t>
        </is>
      </c>
      <c r="N254" s="22" t="inlineStr">
        <is>
          <t>Staff</t>
        </is>
      </c>
      <c r="O254" s="22" t="inlineStr">
        <is>
          <t>No</t>
        </is>
      </c>
      <c r="P254" s="22" t="inlineStr">
        <is>
          <t>HRIS / KS-DL-1.2</t>
        </is>
      </c>
    </row>
    <row r="255">
      <c r="A255" s="22" t="inlineStr">
        <is>
          <t>E0252</t>
        </is>
      </c>
      <c r="B255" s="22" t="inlineStr">
        <is>
          <t>Indianapolis</t>
        </is>
      </c>
      <c r="C255" s="22" t="inlineStr">
        <is>
          <t>Southeast</t>
        </is>
      </c>
      <c r="D255" s="22" t="inlineStr">
        <is>
          <t>Technical</t>
        </is>
      </c>
      <c r="E255" s="22" t="inlineStr">
        <is>
          <t>EHS Compliance</t>
        </is>
      </c>
      <c r="F255" s="22" t="inlineStr">
        <is>
          <t>Yes</t>
        </is>
      </c>
      <c r="G255" s="234" t="n">
        <v>114</v>
      </c>
      <c r="H255" s="225" t="n">
        <v>0.05</v>
      </c>
      <c r="I255" s="225" t="n">
        <v>0.79</v>
      </c>
      <c r="J255" s="225" t="n">
        <v>0.75</v>
      </c>
      <c r="K255" s="226" t="n">
        <v>45658</v>
      </c>
      <c r="L255" s="22" t="inlineStr">
        <is>
          <t>Delta</t>
        </is>
      </c>
      <c r="M255" s="22" t="inlineStr">
        <is>
          <t>Active</t>
        </is>
      </c>
      <c r="N255" s="22" t="inlineStr">
        <is>
          <t>Manager</t>
        </is>
      </c>
      <c r="O255" s="22" t="inlineStr">
        <is>
          <t>No</t>
        </is>
      </c>
      <c r="P255" s="22" t="inlineStr">
        <is>
          <t>HRIS / KS-DL-1.2</t>
        </is>
      </c>
    </row>
    <row r="256">
      <c r="A256" s="22" t="inlineStr">
        <is>
          <t>E0253</t>
        </is>
      </c>
      <c r="B256" s="22" t="inlineStr">
        <is>
          <t>Chicago</t>
        </is>
      </c>
      <c r="C256" s="22" t="inlineStr">
        <is>
          <t>Midwest</t>
        </is>
      </c>
      <c r="D256" s="22" t="inlineStr">
        <is>
          <t>Technical</t>
        </is>
      </c>
      <c r="E256" s="22" t="inlineStr">
        <is>
          <t>Industrial Hygiene</t>
        </is>
      </c>
      <c r="F256" s="22" t="inlineStr">
        <is>
          <t>Yes</t>
        </is>
      </c>
      <c r="G256" s="234" t="n">
        <v>131</v>
      </c>
      <c r="H256" s="225" t="n">
        <v>0.05</v>
      </c>
      <c r="I256" s="225" t="n">
        <v>0.5600000000000001</v>
      </c>
      <c r="J256" s="225" t="n">
        <v>0.52</v>
      </c>
      <c r="K256" s="226" t="n">
        <v>42036</v>
      </c>
      <c r="L256" s="22" t="inlineStr">
        <is>
          <t>Meridian</t>
        </is>
      </c>
      <c r="M256" s="22" t="inlineStr">
        <is>
          <t>Active</t>
        </is>
      </c>
      <c r="N256" s="22" t="inlineStr">
        <is>
          <t>Staff</t>
        </is>
      </c>
      <c r="O256" s="22" t="inlineStr">
        <is>
          <t>No</t>
        </is>
      </c>
      <c r="P256" s="22" t="inlineStr">
        <is>
          <t>HRIS / KS-DL-1.2</t>
        </is>
      </c>
    </row>
    <row r="257">
      <c r="A257" s="22" t="inlineStr">
        <is>
          <t>E0254</t>
        </is>
      </c>
      <c r="B257" s="22" t="inlineStr">
        <is>
          <t>Detroit</t>
        </is>
      </c>
      <c r="C257" s="22" t="inlineStr">
        <is>
          <t>Midwest</t>
        </is>
      </c>
      <c r="D257" s="22" t="inlineStr">
        <is>
          <t>Project Management</t>
        </is>
      </c>
      <c r="E257" s="22" t="inlineStr">
        <is>
          <t>Field Inspection</t>
        </is>
      </c>
      <c r="F257" s="22" t="inlineStr">
        <is>
          <t>Yes</t>
        </is>
      </c>
      <c r="G257" s="234" t="n">
        <v>148</v>
      </c>
      <c r="H257" s="225" t="n">
        <v>0.05</v>
      </c>
      <c r="I257" s="225" t="n">
        <v>0.63</v>
      </c>
      <c r="J257" s="225" t="n">
        <v>0.59</v>
      </c>
      <c r="K257" s="226" t="n">
        <v>42430</v>
      </c>
      <c r="L257" s="22" t="inlineStr">
        <is>
          <t>Summit</t>
        </is>
      </c>
      <c r="M257" s="22" t="inlineStr">
        <is>
          <t>Active</t>
        </is>
      </c>
      <c r="N257" s="22" t="inlineStr">
        <is>
          <t>Staff</t>
        </is>
      </c>
      <c r="O257" s="22" t="inlineStr">
        <is>
          <t>No</t>
        </is>
      </c>
      <c r="P257" s="22" t="inlineStr">
        <is>
          <t>HRIS / KS-DL-1.2</t>
        </is>
      </c>
    </row>
    <row r="258">
      <c r="A258" s="22" t="inlineStr">
        <is>
          <t>E0255</t>
        </is>
      </c>
      <c r="B258" s="22" t="inlineStr">
        <is>
          <t>Louisville</t>
        </is>
      </c>
      <c r="C258" s="22" t="inlineStr">
        <is>
          <t>Southeast</t>
        </is>
      </c>
      <c r="D258" s="22" t="inlineStr">
        <is>
          <t>Corporate</t>
        </is>
      </c>
      <c r="E258" s="22" t="inlineStr">
        <is>
          <t>Permitting &amp; Advisory</t>
        </is>
      </c>
      <c r="F258" s="22" t="inlineStr">
        <is>
          <t>No</t>
        </is>
      </c>
      <c r="G258" s="234" t="n">
        <v>85</v>
      </c>
      <c r="H258" s="225" t="n">
        <v>0.15</v>
      </c>
      <c r="I258" s="225" t="n">
        <v>0</v>
      </c>
      <c r="J258" s="225" t="n">
        <v>0</v>
      </c>
      <c r="K258" s="226" t="n">
        <v>42826</v>
      </c>
      <c r="L258" s="22" t="inlineStr">
        <is>
          <t>Legacy Alderstone</t>
        </is>
      </c>
      <c r="M258" s="22" t="inlineStr">
        <is>
          <t>Active</t>
        </is>
      </c>
      <c r="N258" s="22" t="inlineStr">
        <is>
          <t>Staff</t>
        </is>
      </c>
      <c r="O258" s="22" t="inlineStr">
        <is>
          <t>No</t>
        </is>
      </c>
      <c r="P258" s="22" t="inlineStr">
        <is>
          <t>HRIS / KS-DL-1.2</t>
        </is>
      </c>
    </row>
    <row r="259">
      <c r="A259" s="22" t="inlineStr">
        <is>
          <t>E0256</t>
        </is>
      </c>
      <c r="B259" s="22" t="inlineStr">
        <is>
          <t>Nashville</t>
        </is>
      </c>
      <c r="C259" s="22" t="inlineStr">
        <is>
          <t>Midwest</t>
        </is>
      </c>
      <c r="D259" s="22" t="inlineStr">
        <is>
          <t>Sales</t>
        </is>
      </c>
      <c r="E259" s="22" t="inlineStr">
        <is>
          <t>EHS Compliance</t>
        </is>
      </c>
      <c r="F259" s="22" t="inlineStr">
        <is>
          <t>No</t>
        </is>
      </c>
      <c r="G259" s="234" t="n">
        <v>98</v>
      </c>
      <c r="H259" s="225" t="n">
        <v>0.15</v>
      </c>
      <c r="I259" s="225" t="n">
        <v>0</v>
      </c>
      <c r="J259" s="225" t="n">
        <v>0</v>
      </c>
      <c r="K259" s="226" t="n">
        <v>43221</v>
      </c>
      <c r="L259" s="22" t="inlineStr">
        <is>
          <t>Northstar</t>
        </is>
      </c>
      <c r="M259" s="22" t="inlineStr">
        <is>
          <t>Active</t>
        </is>
      </c>
      <c r="N259" s="22" t="inlineStr">
        <is>
          <t>Staff</t>
        </is>
      </c>
      <c r="O259" s="22" t="inlineStr">
        <is>
          <t>No</t>
        </is>
      </c>
      <c r="P259" s="22" t="inlineStr">
        <is>
          <t>HRIS / KS-DL-1.2</t>
        </is>
      </c>
    </row>
    <row r="260">
      <c r="A260" s="22" t="inlineStr">
        <is>
          <t>E0257</t>
        </is>
      </c>
      <c r="B260" s="22" t="inlineStr">
        <is>
          <t>Raleigh</t>
        </is>
      </c>
      <c r="C260" s="22" t="inlineStr">
        <is>
          <t>Midwest</t>
        </is>
      </c>
      <c r="D260" s="22" t="inlineStr">
        <is>
          <t>Finance</t>
        </is>
      </c>
      <c r="E260" s="22" t="inlineStr">
        <is>
          <t>Industrial Hygiene</t>
        </is>
      </c>
      <c r="F260" s="22" t="inlineStr">
        <is>
          <t>No</t>
        </is>
      </c>
      <c r="G260" s="234" t="n">
        <v>111</v>
      </c>
      <c r="H260" s="225" t="n">
        <v>0.15</v>
      </c>
      <c r="I260" s="225" t="n">
        <v>0</v>
      </c>
      <c r="J260" s="225" t="n">
        <v>0</v>
      </c>
      <c r="K260" s="226" t="n">
        <v>43617</v>
      </c>
      <c r="L260" s="22" t="inlineStr">
        <is>
          <t>Delta</t>
        </is>
      </c>
      <c r="M260" s="22" t="inlineStr">
        <is>
          <t>Active</t>
        </is>
      </c>
      <c r="N260" s="22" t="inlineStr">
        <is>
          <t>Staff</t>
        </is>
      </c>
      <c r="O260" s="22" t="inlineStr">
        <is>
          <t>No</t>
        </is>
      </c>
      <c r="P260" s="22" t="inlineStr">
        <is>
          <t>HRIS / KS-DL-1.2</t>
        </is>
      </c>
    </row>
    <row r="261">
      <c r="A261" s="22" t="inlineStr">
        <is>
          <t>E0258</t>
        </is>
      </c>
      <c r="B261" s="22" t="inlineStr">
        <is>
          <t>Charlotte</t>
        </is>
      </c>
      <c r="C261" s="22" t="inlineStr">
        <is>
          <t>Southeast</t>
        </is>
      </c>
      <c r="D261" s="22" t="inlineStr">
        <is>
          <t>HR</t>
        </is>
      </c>
      <c r="E261" s="22" t="inlineStr">
        <is>
          <t>Field Inspection</t>
        </is>
      </c>
      <c r="F261" s="22" t="inlineStr">
        <is>
          <t>No</t>
        </is>
      </c>
      <c r="G261" s="234" t="n">
        <v>124</v>
      </c>
      <c r="H261" s="225" t="n">
        <v>0.15</v>
      </c>
      <c r="I261" s="225" t="n">
        <v>0</v>
      </c>
      <c r="J261" s="225" t="n">
        <v>0</v>
      </c>
      <c r="K261" s="226" t="n">
        <v>44013</v>
      </c>
      <c r="L261" s="22" t="inlineStr">
        <is>
          <t>Meridian</t>
        </is>
      </c>
      <c r="M261" s="22" t="inlineStr">
        <is>
          <t>Active</t>
        </is>
      </c>
      <c r="N261" s="22" t="inlineStr">
        <is>
          <t>Staff</t>
        </is>
      </c>
      <c r="O261" s="22" t="inlineStr">
        <is>
          <t>No</t>
        </is>
      </c>
      <c r="P261" s="22" t="inlineStr">
        <is>
          <t>HRIS / KS-DL-1.2</t>
        </is>
      </c>
    </row>
    <row r="262">
      <c r="A262" s="22" t="inlineStr">
        <is>
          <t>E0259</t>
        </is>
      </c>
      <c r="B262" s="22" t="inlineStr">
        <is>
          <t>Cincinnati</t>
        </is>
      </c>
      <c r="C262" s="22" t="inlineStr">
        <is>
          <t>Midwest</t>
        </is>
      </c>
      <c r="D262" s="22" t="inlineStr">
        <is>
          <t>IT</t>
        </is>
      </c>
      <c r="E262" s="22" t="inlineStr">
        <is>
          <t>Permitting &amp; Advisory</t>
        </is>
      </c>
      <c r="F262" s="22" t="inlineStr">
        <is>
          <t>No</t>
        </is>
      </c>
      <c r="G262" s="234" t="n">
        <v>137</v>
      </c>
      <c r="H262" s="225" t="n">
        <v>0.15</v>
      </c>
      <c r="I262" s="225" t="n">
        <v>0</v>
      </c>
      <c r="J262" s="225" t="n">
        <v>0</v>
      </c>
      <c r="K262" s="226" t="n">
        <v>44409</v>
      </c>
      <c r="L262" s="22" t="inlineStr">
        <is>
          <t>Summit</t>
        </is>
      </c>
      <c r="M262" s="22" t="inlineStr">
        <is>
          <t>Active</t>
        </is>
      </c>
      <c r="N262" s="22" t="inlineStr">
        <is>
          <t>Staff</t>
        </is>
      </c>
      <c r="O262" s="22" t="inlineStr">
        <is>
          <t>No</t>
        </is>
      </c>
      <c r="P262" s="22" t="inlineStr">
        <is>
          <t>HRIS / KS-DL-1.2</t>
        </is>
      </c>
    </row>
    <row r="263">
      <c r="A263" s="22" t="inlineStr">
        <is>
          <t>E0260</t>
        </is>
      </c>
      <c r="B263" s="22" t="inlineStr">
        <is>
          <t>Columbus</t>
        </is>
      </c>
      <c r="C263" s="22" t="inlineStr">
        <is>
          <t>Midwest</t>
        </is>
      </c>
      <c r="D263" s="22" t="inlineStr">
        <is>
          <t>Technical</t>
        </is>
      </c>
      <c r="E263" s="22" t="inlineStr">
        <is>
          <t>EHS Compliance</t>
        </is>
      </c>
      <c r="F263" s="22" t="inlineStr">
        <is>
          <t>Yes</t>
        </is>
      </c>
      <c r="G263" s="234" t="n">
        <v>70</v>
      </c>
      <c r="H263" s="225" t="n">
        <v>0.05</v>
      </c>
      <c r="I263" s="225" t="n">
        <v>0.75</v>
      </c>
      <c r="J263" s="225" t="n">
        <v>0.71</v>
      </c>
      <c r="K263" s="226" t="n">
        <v>44805</v>
      </c>
      <c r="L263" s="22" t="inlineStr">
        <is>
          <t>Legacy Alderstone</t>
        </is>
      </c>
      <c r="M263" s="22" t="inlineStr">
        <is>
          <t>Active</t>
        </is>
      </c>
      <c r="N263" s="22" t="inlineStr">
        <is>
          <t>Staff</t>
        </is>
      </c>
      <c r="O263" s="22" t="inlineStr">
        <is>
          <t>No</t>
        </is>
      </c>
      <c r="P263" s="22" t="inlineStr">
        <is>
          <t>HRIS / KS-DL-1.2</t>
        </is>
      </c>
    </row>
    <row r="264">
      <c r="A264" s="22" t="inlineStr">
        <is>
          <t>E0261</t>
        </is>
      </c>
      <c r="B264" s="22" t="inlineStr">
        <is>
          <t>Knoxville</t>
        </is>
      </c>
      <c r="C264" s="22" t="inlineStr">
        <is>
          <t>Southeast</t>
        </is>
      </c>
      <c r="D264" s="22" t="inlineStr">
        <is>
          <t>Technical</t>
        </is>
      </c>
      <c r="E264" s="22" t="inlineStr">
        <is>
          <t>Industrial Hygiene</t>
        </is>
      </c>
      <c r="F264" s="22" t="inlineStr">
        <is>
          <t>Yes</t>
        </is>
      </c>
      <c r="G264" s="234" t="n">
        <v>87</v>
      </c>
      <c r="H264" s="225" t="n">
        <v>0.05</v>
      </c>
      <c r="I264" s="225" t="n">
        <v>0.8200000000000001</v>
      </c>
      <c r="J264" s="225" t="n">
        <v>0.78</v>
      </c>
      <c r="K264" s="226" t="n">
        <v>45200</v>
      </c>
      <c r="L264" s="22" t="inlineStr">
        <is>
          <t>Northstar</t>
        </is>
      </c>
      <c r="M264" s="22" t="inlineStr">
        <is>
          <t>Active</t>
        </is>
      </c>
      <c r="N264" s="22" t="inlineStr">
        <is>
          <t>Staff</t>
        </is>
      </c>
      <c r="O264" s="22" t="inlineStr">
        <is>
          <t>Yes</t>
        </is>
      </c>
      <c r="P264" s="22" t="inlineStr">
        <is>
          <t>HRIS / KS-DL-1.2</t>
        </is>
      </c>
    </row>
    <row r="265">
      <c r="A265" s="22" t="inlineStr">
        <is>
          <t>E0262</t>
        </is>
      </c>
      <c r="B265" s="22" t="inlineStr">
        <is>
          <t>Greenville</t>
        </is>
      </c>
      <c r="C265" s="22" t="inlineStr">
        <is>
          <t>Midwest</t>
        </is>
      </c>
      <c r="D265" s="22" t="inlineStr">
        <is>
          <t>Technical</t>
        </is>
      </c>
      <c r="E265" s="22" t="inlineStr">
        <is>
          <t>Field Inspection</t>
        </is>
      </c>
      <c r="F265" s="22" t="inlineStr">
        <is>
          <t>Yes</t>
        </is>
      </c>
      <c r="G265" s="234" t="n">
        <v>104</v>
      </c>
      <c r="H265" s="225" t="n">
        <v>0.05</v>
      </c>
      <c r="I265" s="225" t="n">
        <v>0.5900000000000001</v>
      </c>
      <c r="J265" s="225" t="n">
        <v>0.55</v>
      </c>
      <c r="K265" s="226" t="n">
        <v>45597</v>
      </c>
      <c r="L265" s="22" t="inlineStr">
        <is>
          <t>Delta</t>
        </is>
      </c>
      <c r="M265" s="22" t="inlineStr">
        <is>
          <t>Active</t>
        </is>
      </c>
      <c r="N265" s="22" t="inlineStr">
        <is>
          <t>Staff</t>
        </is>
      </c>
      <c r="O265" s="22" t="inlineStr">
        <is>
          <t>No</t>
        </is>
      </c>
      <c r="P265" s="22" t="inlineStr">
        <is>
          <t>HRIS / KS-DL-1.2</t>
        </is>
      </c>
    </row>
    <row r="266">
      <c r="A266" s="22" t="inlineStr">
        <is>
          <t>E0263</t>
        </is>
      </c>
      <c r="B266" s="22" t="inlineStr">
        <is>
          <t>Milwaukee</t>
        </is>
      </c>
      <c r="C266" s="22" t="inlineStr">
        <is>
          <t>Midwest</t>
        </is>
      </c>
      <c r="D266" s="22" t="inlineStr">
        <is>
          <t>Technical</t>
        </is>
      </c>
      <c r="E266" s="22" t="inlineStr">
        <is>
          <t>Permitting &amp; Advisory</t>
        </is>
      </c>
      <c r="F266" s="22" t="inlineStr">
        <is>
          <t>Yes</t>
        </is>
      </c>
      <c r="G266" s="234" t="n">
        <v>121</v>
      </c>
      <c r="H266" s="225" t="n">
        <v>0.05</v>
      </c>
      <c r="I266" s="225" t="n">
        <v>0.66</v>
      </c>
      <c r="J266" s="225" t="n">
        <v>0.62</v>
      </c>
      <c r="K266" s="226" t="n">
        <v>45992</v>
      </c>
      <c r="L266" s="22" t="inlineStr">
        <is>
          <t>Meridian</t>
        </is>
      </c>
      <c r="M266" s="22" t="inlineStr">
        <is>
          <t>Active</t>
        </is>
      </c>
      <c r="N266" s="22" t="inlineStr">
        <is>
          <t>Staff</t>
        </is>
      </c>
      <c r="O266" s="22" t="inlineStr">
        <is>
          <t>No</t>
        </is>
      </c>
      <c r="P266" s="22" t="inlineStr">
        <is>
          <t>HRIS / KS-DL-1.2</t>
        </is>
      </c>
    </row>
    <row r="267">
      <c r="A267" s="22" t="inlineStr">
        <is>
          <t>E0264</t>
        </is>
      </c>
      <c r="B267" s="22" t="inlineStr">
        <is>
          <t>St. Louis</t>
        </is>
      </c>
      <c r="C267" s="22" t="inlineStr">
        <is>
          <t>Southeast</t>
        </is>
      </c>
      <c r="D267" s="22" t="inlineStr">
        <is>
          <t>Project Management</t>
        </is>
      </c>
      <c r="E267" s="22" t="inlineStr">
        <is>
          <t>EHS Compliance</t>
        </is>
      </c>
      <c r="F267" s="22" t="inlineStr">
        <is>
          <t>Yes</t>
        </is>
      </c>
      <c r="G267" s="234" t="n">
        <v>138</v>
      </c>
      <c r="H267" s="225" t="n">
        <v>0.05</v>
      </c>
      <c r="I267" s="225" t="n">
        <v>0.73</v>
      </c>
      <c r="J267" s="225" t="n">
        <v>0.6899999999999999</v>
      </c>
      <c r="K267" s="226" t="n">
        <v>42005</v>
      </c>
      <c r="L267" s="22" t="inlineStr">
        <is>
          <t>Summit</t>
        </is>
      </c>
      <c r="M267" s="22" t="inlineStr">
        <is>
          <t>Active</t>
        </is>
      </c>
      <c r="N267" s="22" t="inlineStr">
        <is>
          <t>Manager</t>
        </is>
      </c>
      <c r="O267" s="22" t="inlineStr">
        <is>
          <t>No</t>
        </is>
      </c>
      <c r="P267" s="22" t="inlineStr">
        <is>
          <t>HRIS / KS-DL-1.2</t>
        </is>
      </c>
    </row>
    <row r="268">
      <c r="A268" s="22" t="inlineStr">
        <is>
          <t>E0265</t>
        </is>
      </c>
      <c r="B268" s="22" t="inlineStr">
        <is>
          <t>Richmond</t>
        </is>
      </c>
      <c r="C268" s="22" t="inlineStr">
        <is>
          <t>Midwest</t>
        </is>
      </c>
      <c r="D268" s="22" t="inlineStr">
        <is>
          <t>Corporate</t>
        </is>
      </c>
      <c r="E268" s="22" t="inlineStr">
        <is>
          <t>Industrial Hygiene</t>
        </is>
      </c>
      <c r="F268" s="22" t="inlineStr">
        <is>
          <t>No</t>
        </is>
      </c>
      <c r="G268" s="234" t="n">
        <v>105</v>
      </c>
      <c r="H268" s="225" t="n">
        <v>0.15</v>
      </c>
      <c r="I268" s="225" t="n">
        <v>0</v>
      </c>
      <c r="J268" s="225" t="n">
        <v>0</v>
      </c>
      <c r="K268" s="226" t="n">
        <v>42401</v>
      </c>
      <c r="L268" s="22" t="inlineStr">
        <is>
          <t>Legacy Alderstone</t>
        </is>
      </c>
      <c r="M268" s="22" t="inlineStr">
        <is>
          <t>Active</t>
        </is>
      </c>
      <c r="N268" s="22" t="inlineStr">
        <is>
          <t>Staff</t>
        </is>
      </c>
      <c r="O268" s="22" t="inlineStr">
        <is>
          <t>No</t>
        </is>
      </c>
      <c r="P268" s="22" t="inlineStr">
        <is>
          <t>HRIS / KS-DL-1.2</t>
        </is>
      </c>
    </row>
    <row r="269">
      <c r="A269" s="22" t="inlineStr">
        <is>
          <t>E0266</t>
        </is>
      </c>
      <c r="B269" s="22" t="inlineStr">
        <is>
          <t>Indianapolis</t>
        </is>
      </c>
      <c r="C269" s="22" t="inlineStr">
        <is>
          <t>Midwest</t>
        </is>
      </c>
      <c r="D269" s="22" t="inlineStr">
        <is>
          <t>Sales</t>
        </is>
      </c>
      <c r="E269" s="22" t="inlineStr">
        <is>
          <t>Field Inspection</t>
        </is>
      </c>
      <c r="F269" s="22" t="inlineStr">
        <is>
          <t>No</t>
        </is>
      </c>
      <c r="G269" s="234" t="n">
        <v>118</v>
      </c>
      <c r="H269" s="225" t="n">
        <v>0.15</v>
      </c>
      <c r="I269" s="225" t="n">
        <v>0</v>
      </c>
      <c r="J269" s="225" t="n">
        <v>0</v>
      </c>
      <c r="K269" s="226" t="n">
        <v>42795</v>
      </c>
      <c r="L269" s="22" t="inlineStr">
        <is>
          <t>Northstar</t>
        </is>
      </c>
      <c r="M269" s="22" t="inlineStr">
        <is>
          <t>Active</t>
        </is>
      </c>
      <c r="N269" s="22" t="inlineStr">
        <is>
          <t>Staff</t>
        </is>
      </c>
      <c r="O269" s="22" t="inlineStr">
        <is>
          <t>No</t>
        </is>
      </c>
      <c r="P269" s="22" t="inlineStr">
        <is>
          <t>HRIS / KS-DL-1.2</t>
        </is>
      </c>
    </row>
    <row r="270">
      <c r="A270" s="22" t="inlineStr">
        <is>
          <t>E0267</t>
        </is>
      </c>
      <c r="B270" s="22" t="inlineStr">
        <is>
          <t>Chicago</t>
        </is>
      </c>
      <c r="C270" s="22" t="inlineStr">
        <is>
          <t>Southeast</t>
        </is>
      </c>
      <c r="D270" s="22" t="inlineStr">
        <is>
          <t>Finance</t>
        </is>
      </c>
      <c r="E270" s="22" t="inlineStr">
        <is>
          <t>Permitting &amp; Advisory</t>
        </is>
      </c>
      <c r="F270" s="22" t="inlineStr">
        <is>
          <t>No</t>
        </is>
      </c>
      <c r="G270" s="234" t="n">
        <v>131</v>
      </c>
      <c r="H270" s="225" t="n">
        <v>0.15</v>
      </c>
      <c r="I270" s="225" t="n">
        <v>0</v>
      </c>
      <c r="J270" s="225" t="n">
        <v>0</v>
      </c>
      <c r="K270" s="226" t="n">
        <v>43191</v>
      </c>
      <c r="L270" s="22" t="inlineStr">
        <is>
          <t>Delta</t>
        </is>
      </c>
      <c r="M270" s="22" t="inlineStr">
        <is>
          <t>Active</t>
        </is>
      </c>
      <c r="N270" s="22" t="inlineStr">
        <is>
          <t>Staff</t>
        </is>
      </c>
      <c r="O270" s="22" t="inlineStr">
        <is>
          <t>No</t>
        </is>
      </c>
      <c r="P270" s="22" t="inlineStr">
        <is>
          <t>HRIS / KS-DL-1.2</t>
        </is>
      </c>
    </row>
    <row r="271">
      <c r="A271" s="22" t="inlineStr">
        <is>
          <t>E0268</t>
        </is>
      </c>
      <c r="B271" s="22" t="inlineStr">
        <is>
          <t>Detroit</t>
        </is>
      </c>
      <c r="C271" s="22" t="inlineStr">
        <is>
          <t>Midwest</t>
        </is>
      </c>
      <c r="D271" s="22" t="inlineStr">
        <is>
          <t>HR</t>
        </is>
      </c>
      <c r="E271" s="22" t="inlineStr">
        <is>
          <t>EHS Compliance</t>
        </is>
      </c>
      <c r="F271" s="22" t="inlineStr">
        <is>
          <t>No</t>
        </is>
      </c>
      <c r="G271" s="234" t="n">
        <v>144</v>
      </c>
      <c r="H271" s="225" t="n">
        <v>0.15</v>
      </c>
      <c r="I271" s="225" t="n">
        <v>0</v>
      </c>
      <c r="J271" s="225" t="n">
        <v>0</v>
      </c>
      <c r="K271" s="226" t="n">
        <v>43586</v>
      </c>
      <c r="L271" s="22" t="inlineStr">
        <is>
          <t>Meridian</t>
        </is>
      </c>
      <c r="M271" s="22" t="inlineStr">
        <is>
          <t>Active</t>
        </is>
      </c>
      <c r="N271" s="22" t="inlineStr">
        <is>
          <t>Staff</t>
        </is>
      </c>
      <c r="O271" s="22" t="inlineStr">
        <is>
          <t>No</t>
        </is>
      </c>
      <c r="P271" s="22" t="inlineStr">
        <is>
          <t>HRIS / KS-DL-1.2</t>
        </is>
      </c>
    </row>
    <row r="272">
      <c r="A272" s="22" t="inlineStr">
        <is>
          <t>E0269</t>
        </is>
      </c>
      <c r="B272" s="22" t="inlineStr">
        <is>
          <t>Louisville</t>
        </is>
      </c>
      <c r="C272" s="22" t="inlineStr">
        <is>
          <t>Midwest</t>
        </is>
      </c>
      <c r="D272" s="22" t="inlineStr">
        <is>
          <t>IT</t>
        </is>
      </c>
      <c r="E272" s="22" t="inlineStr">
        <is>
          <t>Industrial Hygiene</t>
        </is>
      </c>
      <c r="F272" s="22" t="inlineStr">
        <is>
          <t>No</t>
        </is>
      </c>
      <c r="G272" s="234" t="n">
        <v>157</v>
      </c>
      <c r="H272" s="225" t="n">
        <v>0.15</v>
      </c>
      <c r="I272" s="225" t="n">
        <v>0</v>
      </c>
      <c r="J272" s="225" t="n">
        <v>0</v>
      </c>
      <c r="K272" s="226" t="n">
        <v>43983</v>
      </c>
      <c r="L272" s="22" t="inlineStr">
        <is>
          <t>Summit</t>
        </is>
      </c>
      <c r="M272" s="22" t="inlineStr">
        <is>
          <t>Active</t>
        </is>
      </c>
      <c r="N272" s="22" t="inlineStr">
        <is>
          <t>Staff</t>
        </is>
      </c>
      <c r="O272" s="22" t="inlineStr">
        <is>
          <t>No</t>
        </is>
      </c>
      <c r="P272" s="22" t="inlineStr">
        <is>
          <t>HRIS / KS-DL-1.2</t>
        </is>
      </c>
    </row>
    <row r="273">
      <c r="A273" s="22" t="inlineStr">
        <is>
          <t>E0270</t>
        </is>
      </c>
      <c r="B273" s="22" t="inlineStr">
        <is>
          <t>Nashville</t>
        </is>
      </c>
      <c r="C273" s="22" t="inlineStr">
        <is>
          <t>Southeast</t>
        </is>
      </c>
      <c r="D273" s="22" t="inlineStr">
        <is>
          <t>Technical</t>
        </is>
      </c>
      <c r="E273" s="22" t="inlineStr">
        <is>
          <t>Field Inspection</t>
        </is>
      </c>
      <c r="F273" s="22" t="inlineStr">
        <is>
          <t>Yes</t>
        </is>
      </c>
      <c r="G273" s="234" t="n">
        <v>60</v>
      </c>
      <c r="H273" s="225" t="n">
        <v>0.05</v>
      </c>
      <c r="I273" s="225" t="n">
        <v>0.55</v>
      </c>
      <c r="J273" s="225" t="n">
        <v>0.51</v>
      </c>
      <c r="K273" s="226" t="n">
        <v>44378</v>
      </c>
      <c r="L273" s="22" t="inlineStr">
        <is>
          <t>Legacy Alderstone</t>
        </is>
      </c>
      <c r="M273" s="22" t="inlineStr">
        <is>
          <t>Active</t>
        </is>
      </c>
      <c r="N273" s="22" t="inlineStr">
        <is>
          <t>Staff</t>
        </is>
      </c>
      <c r="O273" s="22" t="inlineStr">
        <is>
          <t>No</t>
        </is>
      </c>
      <c r="P273" s="22" t="inlineStr">
        <is>
          <t>HRIS / KS-DL-1.2</t>
        </is>
      </c>
    </row>
    <row r="274">
      <c r="A274" s="22" t="inlineStr">
        <is>
          <t>E0271</t>
        </is>
      </c>
      <c r="B274" s="22" t="inlineStr">
        <is>
          <t>Raleigh</t>
        </is>
      </c>
      <c r="C274" s="22" t="inlineStr">
        <is>
          <t>Midwest</t>
        </is>
      </c>
      <c r="D274" s="22" t="inlineStr">
        <is>
          <t>Technical</t>
        </is>
      </c>
      <c r="E274" s="22" t="inlineStr">
        <is>
          <t>Permitting &amp; Advisory</t>
        </is>
      </c>
      <c r="F274" s="22" t="inlineStr">
        <is>
          <t>Yes</t>
        </is>
      </c>
      <c r="G274" s="234" t="n">
        <v>77</v>
      </c>
      <c r="H274" s="225" t="n">
        <v>0.05</v>
      </c>
      <c r="I274" s="225" t="n">
        <v>0.6200000000000001</v>
      </c>
      <c r="J274" s="225" t="n">
        <v>0.5800000000000001</v>
      </c>
      <c r="K274" s="226" t="n">
        <v>44774</v>
      </c>
      <c r="L274" s="22" t="inlineStr">
        <is>
          <t>Northstar</t>
        </is>
      </c>
      <c r="M274" s="22" t="inlineStr">
        <is>
          <t>Active</t>
        </is>
      </c>
      <c r="N274" s="22" t="inlineStr">
        <is>
          <t>Staff</t>
        </is>
      </c>
      <c r="O274" s="22" t="inlineStr">
        <is>
          <t>No</t>
        </is>
      </c>
      <c r="P274" s="22" t="inlineStr">
        <is>
          <t>HRIS / KS-DL-1.2</t>
        </is>
      </c>
    </row>
    <row r="275">
      <c r="A275" s="22" t="inlineStr">
        <is>
          <t>E0272</t>
        </is>
      </c>
      <c r="B275" s="22" t="inlineStr">
        <is>
          <t>Charlotte</t>
        </is>
      </c>
      <c r="C275" s="22" t="inlineStr">
        <is>
          <t>Midwest</t>
        </is>
      </c>
      <c r="D275" s="22" t="inlineStr">
        <is>
          <t>Technical</t>
        </is>
      </c>
      <c r="E275" s="22" t="inlineStr">
        <is>
          <t>EHS Compliance</t>
        </is>
      </c>
      <c r="F275" s="22" t="inlineStr">
        <is>
          <t>Yes</t>
        </is>
      </c>
      <c r="G275" s="234" t="n">
        <v>94</v>
      </c>
      <c r="H275" s="225" t="n">
        <v>0.05</v>
      </c>
      <c r="I275" s="225" t="n">
        <v>0.6900000000000001</v>
      </c>
      <c r="J275" s="225" t="n">
        <v>0.65</v>
      </c>
      <c r="K275" s="226" t="n">
        <v>45170</v>
      </c>
      <c r="L275" s="22" t="inlineStr">
        <is>
          <t>Delta</t>
        </is>
      </c>
      <c r="M275" s="22" t="inlineStr">
        <is>
          <t>Active</t>
        </is>
      </c>
      <c r="N275" s="22" t="inlineStr">
        <is>
          <t>Staff</t>
        </is>
      </c>
      <c r="O275" s="22" t="inlineStr">
        <is>
          <t>No</t>
        </is>
      </c>
      <c r="P275" s="22" t="inlineStr">
        <is>
          <t>HRIS / KS-DL-1.2</t>
        </is>
      </c>
    </row>
    <row r="276">
      <c r="A276" s="22" t="inlineStr">
        <is>
          <t>E0273</t>
        </is>
      </c>
      <c r="B276" s="22" t="inlineStr">
        <is>
          <t>Cincinnati</t>
        </is>
      </c>
      <c r="C276" s="22" t="inlineStr">
        <is>
          <t>Southeast</t>
        </is>
      </c>
      <c r="D276" s="22" t="inlineStr">
        <is>
          <t>Technical</t>
        </is>
      </c>
      <c r="E276" s="22" t="inlineStr">
        <is>
          <t>Industrial Hygiene</t>
        </is>
      </c>
      <c r="F276" s="22" t="inlineStr">
        <is>
          <t>Yes</t>
        </is>
      </c>
      <c r="G276" s="234" t="n">
        <v>111</v>
      </c>
      <c r="H276" s="225" t="n">
        <v>0.05</v>
      </c>
      <c r="I276" s="225" t="n">
        <v>0.76</v>
      </c>
      <c r="J276" s="225" t="n">
        <v>0.72</v>
      </c>
      <c r="K276" s="226" t="n">
        <v>45566</v>
      </c>
      <c r="L276" s="22" t="inlineStr">
        <is>
          <t>Meridian</t>
        </is>
      </c>
      <c r="M276" s="22" t="inlineStr">
        <is>
          <t>Active</t>
        </is>
      </c>
      <c r="N276" s="22" t="inlineStr">
        <is>
          <t>Staff</t>
        </is>
      </c>
      <c r="O276" s="22" t="inlineStr">
        <is>
          <t>No</t>
        </is>
      </c>
      <c r="P276" s="22" t="inlineStr">
        <is>
          <t>HRIS / KS-DL-1.2</t>
        </is>
      </c>
    </row>
    <row r="277">
      <c r="A277" s="22" t="inlineStr">
        <is>
          <t>E0274</t>
        </is>
      </c>
      <c r="B277" s="22" t="inlineStr">
        <is>
          <t>Columbus</t>
        </is>
      </c>
      <c r="C277" s="22" t="inlineStr">
        <is>
          <t>Midwest</t>
        </is>
      </c>
      <c r="D277" s="22" t="inlineStr">
        <is>
          <t>Project Management</t>
        </is>
      </c>
      <c r="E277" s="22" t="inlineStr">
        <is>
          <t>Field Inspection</t>
        </is>
      </c>
      <c r="F277" s="22" t="inlineStr">
        <is>
          <t>Yes</t>
        </is>
      </c>
      <c r="G277" s="234" t="n">
        <v>128</v>
      </c>
      <c r="H277" s="225" t="n">
        <v>0.05</v>
      </c>
      <c r="I277" s="225" t="n">
        <v>0.8300000000000001</v>
      </c>
      <c r="J277" s="225" t="n">
        <v>0.79</v>
      </c>
      <c r="K277" s="226" t="n">
        <v>45962</v>
      </c>
      <c r="L277" s="22" t="inlineStr">
        <is>
          <t>Summit</t>
        </is>
      </c>
      <c r="M277" s="22" t="inlineStr">
        <is>
          <t>Active</t>
        </is>
      </c>
      <c r="N277" s="22" t="inlineStr">
        <is>
          <t>Staff</t>
        </is>
      </c>
      <c r="O277" s="22" t="inlineStr">
        <is>
          <t>No</t>
        </is>
      </c>
      <c r="P277" s="22" t="inlineStr">
        <is>
          <t>HRIS / KS-DL-1.2</t>
        </is>
      </c>
    </row>
    <row r="278">
      <c r="A278" s="22" t="inlineStr">
        <is>
          <t>E0275</t>
        </is>
      </c>
      <c r="B278" s="22" t="inlineStr">
        <is>
          <t>Knoxville</t>
        </is>
      </c>
      <c r="C278" s="22" t="inlineStr">
        <is>
          <t>Midwest</t>
        </is>
      </c>
      <c r="D278" s="22" t="inlineStr">
        <is>
          <t>Corporate</t>
        </is>
      </c>
      <c r="E278" s="22" t="inlineStr">
        <is>
          <t>Permitting &amp; Advisory</t>
        </is>
      </c>
      <c r="F278" s="22" t="inlineStr">
        <is>
          <t>No</t>
        </is>
      </c>
      <c r="G278" s="234" t="n">
        <v>125</v>
      </c>
      <c r="H278" s="225" t="n">
        <v>0.15</v>
      </c>
      <c r="I278" s="225" t="n">
        <v>0</v>
      </c>
      <c r="J278" s="225" t="n">
        <v>0</v>
      </c>
      <c r="K278" s="226" t="n">
        <v>42339</v>
      </c>
      <c r="L278" s="22" t="inlineStr">
        <is>
          <t>Legacy Alderstone</t>
        </is>
      </c>
      <c r="M278" s="22" t="inlineStr">
        <is>
          <t>Active</t>
        </is>
      </c>
      <c r="N278" s="22" t="inlineStr">
        <is>
          <t>Staff</t>
        </is>
      </c>
      <c r="O278" s="22" t="inlineStr">
        <is>
          <t>No</t>
        </is>
      </c>
      <c r="P278" s="22" t="inlineStr">
        <is>
          <t>HRIS / KS-DL-1.2</t>
        </is>
      </c>
    </row>
    <row r="279">
      <c r="A279" s="22" t="inlineStr">
        <is>
          <t>E0276</t>
        </is>
      </c>
      <c r="B279" s="22" t="inlineStr">
        <is>
          <t>Greenville</t>
        </is>
      </c>
      <c r="C279" s="22" t="inlineStr">
        <is>
          <t>Southeast</t>
        </is>
      </c>
      <c r="D279" s="22" t="inlineStr">
        <is>
          <t>Sales</t>
        </is>
      </c>
      <c r="E279" s="22" t="inlineStr">
        <is>
          <t>EHS Compliance</t>
        </is>
      </c>
      <c r="F279" s="22" t="inlineStr">
        <is>
          <t>No</t>
        </is>
      </c>
      <c r="G279" s="234" t="n">
        <v>138</v>
      </c>
      <c r="H279" s="225" t="n">
        <v>0.15</v>
      </c>
      <c r="I279" s="225" t="n">
        <v>0</v>
      </c>
      <c r="J279" s="225" t="n">
        <v>0</v>
      </c>
      <c r="K279" s="226" t="n">
        <v>42370</v>
      </c>
      <c r="L279" s="22" t="inlineStr">
        <is>
          <t>Northstar</t>
        </is>
      </c>
      <c r="M279" s="22" t="inlineStr">
        <is>
          <t>Active</t>
        </is>
      </c>
      <c r="N279" s="22" t="inlineStr">
        <is>
          <t>Manager</t>
        </is>
      </c>
      <c r="O279" s="22" t="inlineStr">
        <is>
          <t>No</t>
        </is>
      </c>
      <c r="P279" s="22" t="inlineStr">
        <is>
          <t>HRIS / KS-DL-1.2</t>
        </is>
      </c>
    </row>
    <row r="280">
      <c r="A280" s="22" t="inlineStr">
        <is>
          <t>E0277</t>
        </is>
      </c>
      <c r="B280" s="22" t="inlineStr">
        <is>
          <t>Milwaukee</t>
        </is>
      </c>
      <c r="C280" s="22" t="inlineStr">
        <is>
          <t>Midwest</t>
        </is>
      </c>
      <c r="D280" s="22" t="inlineStr">
        <is>
          <t>Finance</t>
        </is>
      </c>
      <c r="E280" s="22" t="inlineStr">
        <is>
          <t>Industrial Hygiene</t>
        </is>
      </c>
      <c r="F280" s="22" t="inlineStr">
        <is>
          <t>No</t>
        </is>
      </c>
      <c r="G280" s="234" t="n">
        <v>151</v>
      </c>
      <c r="H280" s="225" t="n">
        <v>0.15</v>
      </c>
      <c r="I280" s="225" t="n">
        <v>0</v>
      </c>
      <c r="J280" s="225" t="n">
        <v>0</v>
      </c>
      <c r="K280" s="226" t="n">
        <v>42767</v>
      </c>
      <c r="L280" s="22" t="inlineStr">
        <is>
          <t>Delta</t>
        </is>
      </c>
      <c r="M280" s="22" t="inlineStr">
        <is>
          <t>Active</t>
        </is>
      </c>
      <c r="N280" s="22" t="inlineStr">
        <is>
          <t>Staff</t>
        </is>
      </c>
      <c r="O280" s="22" t="inlineStr">
        <is>
          <t>No</t>
        </is>
      </c>
      <c r="P280" s="22" t="inlineStr">
        <is>
          <t>HRIS / KS-DL-1.2</t>
        </is>
      </c>
    </row>
    <row r="281">
      <c r="A281" s="22" t="inlineStr">
        <is>
          <t>E0278</t>
        </is>
      </c>
      <c r="B281" s="22" t="inlineStr">
        <is>
          <t>St. Louis</t>
        </is>
      </c>
      <c r="C281" s="22" t="inlineStr">
        <is>
          <t>Midwest</t>
        </is>
      </c>
      <c r="D281" s="22" t="inlineStr">
        <is>
          <t>HR</t>
        </is>
      </c>
      <c r="E281" s="22" t="inlineStr">
        <is>
          <t>Field Inspection</t>
        </is>
      </c>
      <c r="F281" s="22" t="inlineStr">
        <is>
          <t>No</t>
        </is>
      </c>
      <c r="G281" s="234" t="n">
        <v>164</v>
      </c>
      <c r="H281" s="225" t="n">
        <v>0.15</v>
      </c>
      <c r="I281" s="225" t="n">
        <v>0</v>
      </c>
      <c r="J281" s="225" t="n">
        <v>0</v>
      </c>
      <c r="K281" s="226" t="n">
        <v>43160</v>
      </c>
      <c r="L281" s="22" t="inlineStr">
        <is>
          <t>Meridian</t>
        </is>
      </c>
      <c r="M281" s="22" t="inlineStr">
        <is>
          <t>Active</t>
        </is>
      </c>
      <c r="N281" s="22" t="inlineStr">
        <is>
          <t>Staff</t>
        </is>
      </c>
      <c r="O281" s="22" t="inlineStr">
        <is>
          <t>No</t>
        </is>
      </c>
      <c r="P281" s="22" t="inlineStr">
        <is>
          <t>HRIS / KS-DL-1.2</t>
        </is>
      </c>
    </row>
    <row r="282">
      <c r="A282" s="22" t="inlineStr">
        <is>
          <t>E0279</t>
        </is>
      </c>
      <c r="B282" s="22" t="inlineStr">
        <is>
          <t>Richmond</t>
        </is>
      </c>
      <c r="C282" s="22" t="inlineStr">
        <is>
          <t>Southeast</t>
        </is>
      </c>
      <c r="D282" s="22" t="inlineStr">
        <is>
          <t>IT</t>
        </is>
      </c>
      <c r="E282" s="22" t="inlineStr">
        <is>
          <t>Permitting &amp; Advisory</t>
        </is>
      </c>
      <c r="F282" s="22" t="inlineStr">
        <is>
          <t>No</t>
        </is>
      </c>
      <c r="G282" s="234" t="n">
        <v>177</v>
      </c>
      <c r="H282" s="225" t="n">
        <v>0.15</v>
      </c>
      <c r="I282" s="225" t="n">
        <v>0</v>
      </c>
      <c r="J282" s="225" t="n">
        <v>0</v>
      </c>
      <c r="K282" s="226" t="n">
        <v>43556</v>
      </c>
      <c r="L282" s="22" t="inlineStr">
        <is>
          <t>Summit</t>
        </is>
      </c>
      <c r="M282" s="22" t="inlineStr">
        <is>
          <t>Active</t>
        </is>
      </c>
      <c r="N282" s="22" t="inlineStr">
        <is>
          <t>Staff</t>
        </is>
      </c>
      <c r="O282" s="22" t="inlineStr">
        <is>
          <t>No</t>
        </is>
      </c>
      <c r="P282" s="22" t="inlineStr">
        <is>
          <t>HRIS / KS-DL-1.2</t>
        </is>
      </c>
    </row>
    <row r="283">
      <c r="A283" s="22" t="inlineStr">
        <is>
          <t>E0280</t>
        </is>
      </c>
      <c r="B283" s="22" t="inlineStr">
        <is>
          <t>Indianapolis</t>
        </is>
      </c>
      <c r="C283" s="22" t="inlineStr">
        <is>
          <t>Midwest</t>
        </is>
      </c>
      <c r="D283" s="22" t="inlineStr">
        <is>
          <t>Technical</t>
        </is>
      </c>
      <c r="E283" s="22" t="inlineStr">
        <is>
          <t>EHS Compliance</t>
        </is>
      </c>
      <c r="F283" s="22" t="inlineStr">
        <is>
          <t>Yes</t>
        </is>
      </c>
      <c r="G283" s="234" t="n">
        <v>140</v>
      </c>
      <c r="H283" s="225" t="n">
        <v>0.05</v>
      </c>
      <c r="I283" s="225" t="n">
        <v>0.65</v>
      </c>
      <c r="J283" s="225" t="n">
        <v>0.61</v>
      </c>
      <c r="K283" s="226" t="n">
        <v>43952</v>
      </c>
      <c r="L283" s="22" t="inlineStr">
        <is>
          <t>Legacy Alderstone</t>
        </is>
      </c>
      <c r="M283" s="22" t="inlineStr">
        <is>
          <t>Active</t>
        </is>
      </c>
      <c r="N283" s="22" t="inlineStr">
        <is>
          <t>Staff</t>
        </is>
      </c>
      <c r="O283" s="22" t="inlineStr">
        <is>
          <t>No</t>
        </is>
      </c>
      <c r="P283" s="22" t="inlineStr">
        <is>
          <t>HRIS / KS-DL-1.2</t>
        </is>
      </c>
    </row>
    <row r="284">
      <c r="A284" s="22" t="inlineStr">
        <is>
          <t>E0281</t>
        </is>
      </c>
      <c r="B284" s="22" t="inlineStr">
        <is>
          <t>Chicago</t>
        </is>
      </c>
      <c r="C284" s="22" t="inlineStr">
        <is>
          <t>Midwest</t>
        </is>
      </c>
      <c r="D284" s="22" t="inlineStr">
        <is>
          <t>Technical</t>
        </is>
      </c>
      <c r="E284" s="22" t="inlineStr">
        <is>
          <t>Industrial Hygiene</t>
        </is>
      </c>
      <c r="F284" s="22" t="inlineStr">
        <is>
          <t>Yes</t>
        </is>
      </c>
      <c r="G284" s="234" t="n">
        <v>67</v>
      </c>
      <c r="H284" s="225" t="n">
        <v>0.05</v>
      </c>
      <c r="I284" s="225" t="n">
        <v>0.7200000000000001</v>
      </c>
      <c r="J284" s="225" t="n">
        <v>0.68</v>
      </c>
      <c r="K284" s="226" t="n">
        <v>44348</v>
      </c>
      <c r="L284" s="22" t="inlineStr">
        <is>
          <t>Northstar</t>
        </is>
      </c>
      <c r="M284" s="22" t="inlineStr">
        <is>
          <t>Active</t>
        </is>
      </c>
      <c r="N284" s="22" t="inlineStr">
        <is>
          <t>Staff</t>
        </is>
      </c>
      <c r="O284" s="22" t="inlineStr">
        <is>
          <t>No</t>
        </is>
      </c>
      <c r="P284" s="22" t="inlineStr">
        <is>
          <t>HRIS / KS-DL-1.2</t>
        </is>
      </c>
    </row>
    <row r="285">
      <c r="A285" s="22" t="inlineStr">
        <is>
          <t>E0282</t>
        </is>
      </c>
      <c r="B285" s="22" t="inlineStr">
        <is>
          <t>Detroit</t>
        </is>
      </c>
      <c r="C285" s="22" t="inlineStr">
        <is>
          <t>Southeast</t>
        </is>
      </c>
      <c r="D285" s="22" t="inlineStr">
        <is>
          <t>Technical</t>
        </is>
      </c>
      <c r="E285" s="22" t="inlineStr">
        <is>
          <t>Field Inspection</t>
        </is>
      </c>
      <c r="F285" s="22" t="inlineStr">
        <is>
          <t>Yes</t>
        </is>
      </c>
      <c r="G285" s="234" t="n">
        <v>84</v>
      </c>
      <c r="H285" s="225" t="n">
        <v>0.05</v>
      </c>
      <c r="I285" s="225" t="n">
        <v>0.79</v>
      </c>
      <c r="J285" s="225" t="n">
        <v>0.75</v>
      </c>
      <c r="K285" s="226" t="n">
        <v>44743</v>
      </c>
      <c r="L285" s="22" t="inlineStr">
        <is>
          <t>Delta</t>
        </is>
      </c>
      <c r="M285" s="22" t="inlineStr">
        <is>
          <t>Active</t>
        </is>
      </c>
      <c r="N285" s="22" t="inlineStr">
        <is>
          <t>Staff</t>
        </is>
      </c>
      <c r="O285" s="22" t="inlineStr">
        <is>
          <t>No</t>
        </is>
      </c>
      <c r="P285" s="22" t="inlineStr">
        <is>
          <t>HRIS / KS-DL-1.2</t>
        </is>
      </c>
    </row>
    <row r="286">
      <c r="A286" s="22" t="inlineStr">
        <is>
          <t>E0283</t>
        </is>
      </c>
      <c r="B286" s="22" t="inlineStr">
        <is>
          <t>Louisville</t>
        </is>
      </c>
      <c r="C286" s="22" t="inlineStr">
        <is>
          <t>Midwest</t>
        </is>
      </c>
      <c r="D286" s="22" t="inlineStr">
        <is>
          <t>Technical</t>
        </is>
      </c>
      <c r="E286" s="22" t="inlineStr">
        <is>
          <t>Permitting &amp; Advisory</t>
        </is>
      </c>
      <c r="F286" s="22" t="inlineStr">
        <is>
          <t>Yes</t>
        </is>
      </c>
      <c r="G286" s="234" t="n">
        <v>101</v>
      </c>
      <c r="H286" s="225" t="n">
        <v>0.05</v>
      </c>
      <c r="I286" s="225" t="n">
        <v>0.5600000000000001</v>
      </c>
      <c r="J286" s="225" t="n">
        <v>0.52</v>
      </c>
      <c r="K286" s="226" t="n">
        <v>45139</v>
      </c>
      <c r="L286" s="22" t="inlineStr">
        <is>
          <t>Meridian</t>
        </is>
      </c>
      <c r="M286" s="22" t="inlineStr">
        <is>
          <t>Active</t>
        </is>
      </c>
      <c r="N286" s="22" t="inlineStr">
        <is>
          <t>Staff</t>
        </is>
      </c>
      <c r="O286" s="22" t="inlineStr">
        <is>
          <t>No</t>
        </is>
      </c>
      <c r="P286" s="22" t="inlineStr">
        <is>
          <t>HRIS / KS-DL-1.2</t>
        </is>
      </c>
    </row>
    <row r="287">
      <c r="A287" s="22" t="inlineStr">
        <is>
          <t>E0284</t>
        </is>
      </c>
      <c r="B287" s="22" t="inlineStr">
        <is>
          <t>Nashville</t>
        </is>
      </c>
      <c r="C287" s="22" t="inlineStr">
        <is>
          <t>Midwest</t>
        </is>
      </c>
      <c r="D287" s="22" t="inlineStr">
        <is>
          <t>Project Management</t>
        </is>
      </c>
      <c r="E287" s="22" t="inlineStr">
        <is>
          <t>EHS Compliance</t>
        </is>
      </c>
      <c r="F287" s="22" t="inlineStr">
        <is>
          <t>Yes</t>
        </is>
      </c>
      <c r="G287" s="234" t="n">
        <v>118</v>
      </c>
      <c r="H287" s="225" t="n">
        <v>0.05</v>
      </c>
      <c r="I287" s="225" t="n">
        <v>0.63</v>
      </c>
      <c r="J287" s="225" t="n">
        <v>0.59</v>
      </c>
      <c r="K287" s="226" t="n">
        <v>45536</v>
      </c>
      <c r="L287" s="22" t="inlineStr">
        <is>
          <t>Summit</t>
        </is>
      </c>
      <c r="M287" s="22" t="inlineStr">
        <is>
          <t>Active</t>
        </is>
      </c>
      <c r="N287" s="22" t="inlineStr">
        <is>
          <t>Staff</t>
        </is>
      </c>
      <c r="O287" s="22" t="inlineStr">
        <is>
          <t>No</t>
        </is>
      </c>
      <c r="P287" s="22" t="inlineStr">
        <is>
          <t>HRIS / KS-DL-1.2</t>
        </is>
      </c>
    </row>
    <row r="288">
      <c r="A288" s="22" t="inlineStr">
        <is>
          <t>E0285</t>
        </is>
      </c>
      <c r="B288" s="22" t="inlineStr">
        <is>
          <t>Raleigh</t>
        </is>
      </c>
      <c r="C288" s="22" t="inlineStr">
        <is>
          <t>Southeast</t>
        </is>
      </c>
      <c r="D288" s="22" t="inlineStr">
        <is>
          <t>Corporate</t>
        </is>
      </c>
      <c r="E288" s="22" t="inlineStr">
        <is>
          <t>Industrial Hygiene</t>
        </is>
      </c>
      <c r="F288" s="22" t="inlineStr">
        <is>
          <t>No</t>
        </is>
      </c>
      <c r="G288" s="234" t="n">
        <v>145</v>
      </c>
      <c r="H288" s="225" t="n">
        <v>0.15</v>
      </c>
      <c r="I288" s="225" t="n">
        <v>0</v>
      </c>
      <c r="J288" s="225" t="n">
        <v>0</v>
      </c>
      <c r="K288" s="226" t="n">
        <v>45931</v>
      </c>
      <c r="L288" s="22" t="inlineStr">
        <is>
          <t>Legacy Alderstone</t>
        </is>
      </c>
      <c r="M288" s="22" t="inlineStr">
        <is>
          <t>Active</t>
        </is>
      </c>
      <c r="N288" s="22" t="inlineStr">
        <is>
          <t>Staff</t>
        </is>
      </c>
      <c r="O288" s="22" t="inlineStr">
        <is>
          <t>No</t>
        </is>
      </c>
      <c r="P288" s="22" t="inlineStr">
        <is>
          <t>HRIS / KS-DL-1.2</t>
        </is>
      </c>
    </row>
    <row r="289">
      <c r="A289" s="22" t="inlineStr">
        <is>
          <t>E0286</t>
        </is>
      </c>
      <c r="B289" s="22" t="inlineStr">
        <is>
          <t>Charlotte</t>
        </is>
      </c>
      <c r="C289" s="22" t="inlineStr">
        <is>
          <t>Midwest</t>
        </is>
      </c>
      <c r="D289" s="22" t="inlineStr">
        <is>
          <t>Sales</t>
        </is>
      </c>
      <c r="E289" s="22" t="inlineStr">
        <is>
          <t>Field Inspection</t>
        </is>
      </c>
      <c r="F289" s="22" t="inlineStr">
        <is>
          <t>No</t>
        </is>
      </c>
      <c r="G289" s="234" t="n">
        <v>158</v>
      </c>
      <c r="H289" s="225" t="n">
        <v>0.15</v>
      </c>
      <c r="I289" s="225" t="n">
        <v>0</v>
      </c>
      <c r="J289" s="225" t="n">
        <v>0</v>
      </c>
      <c r="K289" s="226" t="n">
        <v>42309</v>
      </c>
      <c r="L289" s="22" t="inlineStr">
        <is>
          <t>Northstar</t>
        </is>
      </c>
      <c r="M289" s="22" t="inlineStr">
        <is>
          <t>Active</t>
        </is>
      </c>
      <c r="N289" s="22" t="inlineStr">
        <is>
          <t>Staff</t>
        </is>
      </c>
      <c r="O289" s="22" t="inlineStr">
        <is>
          <t>No</t>
        </is>
      </c>
      <c r="P289" s="22" t="inlineStr">
        <is>
          <t>HRIS / KS-DL-1.2</t>
        </is>
      </c>
    </row>
    <row r="290">
      <c r="A290" s="22" t="inlineStr">
        <is>
          <t>E0287</t>
        </is>
      </c>
      <c r="B290" s="22" t="inlineStr">
        <is>
          <t>Cincinnati</t>
        </is>
      </c>
      <c r="C290" s="22" t="inlineStr">
        <is>
          <t>Midwest</t>
        </is>
      </c>
      <c r="D290" s="22" t="inlineStr">
        <is>
          <t>Finance</t>
        </is>
      </c>
      <c r="E290" s="22" t="inlineStr">
        <is>
          <t>Permitting &amp; Advisory</t>
        </is>
      </c>
      <c r="F290" s="22" t="inlineStr">
        <is>
          <t>No</t>
        </is>
      </c>
      <c r="G290" s="234" t="n">
        <v>171</v>
      </c>
      <c r="H290" s="225" t="n">
        <v>0.15</v>
      </c>
      <c r="I290" s="225" t="n">
        <v>0</v>
      </c>
      <c r="J290" s="225" t="n">
        <v>0</v>
      </c>
      <c r="K290" s="226" t="n">
        <v>42705</v>
      </c>
      <c r="L290" s="22" t="inlineStr">
        <is>
          <t>Delta</t>
        </is>
      </c>
      <c r="M290" s="22" t="inlineStr">
        <is>
          <t>Active</t>
        </is>
      </c>
      <c r="N290" s="22" t="inlineStr">
        <is>
          <t>Staff</t>
        </is>
      </c>
      <c r="O290" s="22" t="inlineStr">
        <is>
          <t>No</t>
        </is>
      </c>
      <c r="P290" s="22" t="inlineStr">
        <is>
          <t>HRIS / KS-DL-1.2</t>
        </is>
      </c>
    </row>
    <row r="291">
      <c r="A291" s="22" t="inlineStr">
        <is>
          <t>E0288</t>
        </is>
      </c>
      <c r="B291" s="22" t="inlineStr">
        <is>
          <t>Columbus</t>
        </is>
      </c>
      <c r="C291" s="22" t="inlineStr">
        <is>
          <t>Southeast</t>
        </is>
      </c>
      <c r="D291" s="22" t="inlineStr">
        <is>
          <t>HR</t>
        </is>
      </c>
      <c r="E291" s="22" t="inlineStr">
        <is>
          <t>EHS Compliance</t>
        </is>
      </c>
      <c r="F291" s="22" t="inlineStr">
        <is>
          <t>No</t>
        </is>
      </c>
      <c r="G291" s="234" t="n">
        <v>74</v>
      </c>
      <c r="H291" s="225" t="n">
        <v>0.15</v>
      </c>
      <c r="I291" s="225" t="n">
        <v>0</v>
      </c>
      <c r="J291" s="225" t="n">
        <v>0</v>
      </c>
      <c r="K291" s="226" t="n">
        <v>42736</v>
      </c>
      <c r="L291" s="22" t="inlineStr">
        <is>
          <t>Meridian</t>
        </is>
      </c>
      <c r="M291" s="22" t="inlineStr">
        <is>
          <t>Active</t>
        </is>
      </c>
      <c r="N291" s="22" t="inlineStr">
        <is>
          <t>Manager</t>
        </is>
      </c>
      <c r="O291" s="22" t="inlineStr">
        <is>
          <t>No</t>
        </is>
      </c>
      <c r="P291" s="22" t="inlineStr">
        <is>
          <t>HRIS / KS-DL-1.2</t>
        </is>
      </c>
    </row>
    <row r="292">
      <c r="A292" s="22" t="inlineStr">
        <is>
          <t>E0289</t>
        </is>
      </c>
      <c r="B292" s="22" t="inlineStr">
        <is>
          <t>Knoxville</t>
        </is>
      </c>
      <c r="C292" s="22" t="inlineStr">
        <is>
          <t>Midwest</t>
        </is>
      </c>
      <c r="D292" s="22" t="inlineStr">
        <is>
          <t>IT</t>
        </is>
      </c>
      <c r="E292" s="22" t="inlineStr">
        <is>
          <t>Industrial Hygiene</t>
        </is>
      </c>
      <c r="F292" s="22" t="inlineStr">
        <is>
          <t>No</t>
        </is>
      </c>
      <c r="G292" s="234" t="n">
        <v>87</v>
      </c>
      <c r="H292" s="225" t="n">
        <v>0.15</v>
      </c>
      <c r="I292" s="225" t="n">
        <v>0</v>
      </c>
      <c r="J292" s="225" t="n">
        <v>0</v>
      </c>
      <c r="K292" s="226" t="n">
        <v>43132</v>
      </c>
      <c r="L292" s="22" t="inlineStr">
        <is>
          <t>Summit</t>
        </is>
      </c>
      <c r="M292" s="22" t="inlineStr">
        <is>
          <t>Active</t>
        </is>
      </c>
      <c r="N292" s="22" t="inlineStr">
        <is>
          <t>Staff</t>
        </is>
      </c>
      <c r="O292" s="22" t="inlineStr">
        <is>
          <t>No</t>
        </is>
      </c>
      <c r="P292" s="22" t="inlineStr">
        <is>
          <t>HRIS / KS-DL-1.2</t>
        </is>
      </c>
    </row>
    <row r="293">
      <c r="A293" s="22" t="inlineStr">
        <is>
          <t>E0290</t>
        </is>
      </c>
      <c r="B293" s="22" t="inlineStr">
        <is>
          <t>Greenville</t>
        </is>
      </c>
      <c r="C293" s="22" t="inlineStr">
        <is>
          <t>Midwest</t>
        </is>
      </c>
      <c r="D293" s="22" t="inlineStr">
        <is>
          <t>Technical</t>
        </is>
      </c>
      <c r="E293" s="22" t="inlineStr">
        <is>
          <t>Field Inspection</t>
        </is>
      </c>
      <c r="F293" s="22" t="inlineStr">
        <is>
          <t>Yes</t>
        </is>
      </c>
      <c r="G293" s="234" t="n">
        <v>130</v>
      </c>
      <c r="H293" s="225" t="n">
        <v>0.05</v>
      </c>
      <c r="I293" s="225" t="n">
        <v>0.75</v>
      </c>
      <c r="J293" s="225" t="n">
        <v>0.71</v>
      </c>
      <c r="K293" s="226" t="n">
        <v>43525</v>
      </c>
      <c r="L293" s="22" t="inlineStr">
        <is>
          <t>Legacy Alderstone</t>
        </is>
      </c>
      <c r="M293" s="22" t="inlineStr">
        <is>
          <t>Active</t>
        </is>
      </c>
      <c r="N293" s="22" t="inlineStr">
        <is>
          <t>Staff</t>
        </is>
      </c>
      <c r="O293" s="22" t="inlineStr">
        <is>
          <t>Yes</t>
        </is>
      </c>
      <c r="P293" s="22" t="inlineStr">
        <is>
          <t>HRIS / KS-DL-1.2</t>
        </is>
      </c>
    </row>
    <row r="294">
      <c r="A294" s="22" t="inlineStr">
        <is>
          <t>E0291</t>
        </is>
      </c>
      <c r="B294" s="22" t="inlineStr">
        <is>
          <t>Milwaukee</t>
        </is>
      </c>
      <c r="C294" s="22" t="inlineStr">
        <is>
          <t>Southeast</t>
        </is>
      </c>
      <c r="D294" s="22" t="inlineStr">
        <is>
          <t>Technical</t>
        </is>
      </c>
      <c r="E294" s="22" t="inlineStr">
        <is>
          <t>Permitting &amp; Advisory</t>
        </is>
      </c>
      <c r="F294" s="22" t="inlineStr">
        <is>
          <t>Yes</t>
        </is>
      </c>
      <c r="G294" s="234" t="n">
        <v>147</v>
      </c>
      <c r="H294" s="225" t="n">
        <v>0.05</v>
      </c>
      <c r="I294" s="225" t="n">
        <v>0.8200000000000001</v>
      </c>
      <c r="J294" s="225" t="n">
        <v>0.78</v>
      </c>
      <c r="K294" s="226" t="n">
        <v>43922</v>
      </c>
      <c r="L294" s="22" t="inlineStr">
        <is>
          <t>Northstar</t>
        </is>
      </c>
      <c r="M294" s="22" t="inlineStr">
        <is>
          <t>Active</t>
        </is>
      </c>
      <c r="N294" s="22" t="inlineStr">
        <is>
          <t>Staff</t>
        </is>
      </c>
      <c r="O294" s="22" t="inlineStr">
        <is>
          <t>No</t>
        </is>
      </c>
      <c r="P294" s="22" t="inlineStr">
        <is>
          <t>HRIS / KS-DL-1.2</t>
        </is>
      </c>
    </row>
    <row r="295">
      <c r="A295" s="22" t="inlineStr">
        <is>
          <t>E0292</t>
        </is>
      </c>
      <c r="B295" s="22" t="inlineStr">
        <is>
          <t>St. Louis</t>
        </is>
      </c>
      <c r="C295" s="22" t="inlineStr">
        <is>
          <t>Midwest</t>
        </is>
      </c>
      <c r="D295" s="22" t="inlineStr">
        <is>
          <t>Technical</t>
        </is>
      </c>
      <c r="E295" s="22" t="inlineStr">
        <is>
          <t>EHS Compliance</t>
        </is>
      </c>
      <c r="F295" s="22" t="inlineStr">
        <is>
          <t>Yes</t>
        </is>
      </c>
      <c r="G295" s="234" t="n">
        <v>74</v>
      </c>
      <c r="H295" s="225" t="n">
        <v>0.05</v>
      </c>
      <c r="I295" s="225" t="n">
        <v>0.5900000000000001</v>
      </c>
      <c r="J295" s="225" t="n">
        <v>0.55</v>
      </c>
      <c r="K295" s="226" t="n">
        <v>44317</v>
      </c>
      <c r="L295" s="22" t="inlineStr">
        <is>
          <t>Delta</t>
        </is>
      </c>
      <c r="M295" s="22" t="inlineStr">
        <is>
          <t>Active</t>
        </is>
      </c>
      <c r="N295" s="22" t="inlineStr">
        <is>
          <t>Staff</t>
        </is>
      </c>
      <c r="O295" s="22" t="inlineStr">
        <is>
          <t>No</t>
        </is>
      </c>
      <c r="P295" s="22" t="inlineStr">
        <is>
          <t>HRIS / KS-DL-1.2</t>
        </is>
      </c>
    </row>
    <row r="296">
      <c r="A296" s="22" t="inlineStr">
        <is>
          <t>E0293</t>
        </is>
      </c>
      <c r="B296" s="22" t="inlineStr">
        <is>
          <t>Richmond</t>
        </is>
      </c>
      <c r="C296" s="22" t="inlineStr">
        <is>
          <t>Midwest</t>
        </is>
      </c>
      <c r="D296" s="22" t="inlineStr">
        <is>
          <t>Technical</t>
        </is>
      </c>
      <c r="E296" s="22" t="inlineStr">
        <is>
          <t>Industrial Hygiene</t>
        </is>
      </c>
      <c r="F296" s="22" t="inlineStr">
        <is>
          <t>Yes</t>
        </is>
      </c>
      <c r="G296" s="234" t="n">
        <v>91</v>
      </c>
      <c r="H296" s="225" t="n">
        <v>0.05</v>
      </c>
      <c r="I296" s="225" t="n">
        <v>0.66</v>
      </c>
      <c r="J296" s="225" t="n">
        <v>0.62</v>
      </c>
      <c r="K296" s="226" t="n">
        <v>44713</v>
      </c>
      <c r="L296" s="22" t="inlineStr">
        <is>
          <t>Meridian</t>
        </is>
      </c>
      <c r="M296" s="22" t="inlineStr">
        <is>
          <t>Active</t>
        </is>
      </c>
      <c r="N296" s="22" t="inlineStr">
        <is>
          <t>Staff</t>
        </is>
      </c>
      <c r="O296" s="22" t="inlineStr">
        <is>
          <t>No</t>
        </is>
      </c>
      <c r="P296" s="22" t="inlineStr">
        <is>
          <t>HRIS / KS-DL-1.2</t>
        </is>
      </c>
    </row>
    <row r="297">
      <c r="A297" s="22" t="inlineStr">
        <is>
          <t>E0294</t>
        </is>
      </c>
      <c r="B297" s="22" t="inlineStr">
        <is>
          <t>Indianapolis</t>
        </is>
      </c>
      <c r="C297" s="22" t="inlineStr">
        <is>
          <t>Southeast</t>
        </is>
      </c>
      <c r="D297" s="22" t="inlineStr">
        <is>
          <t>Project Management</t>
        </is>
      </c>
      <c r="E297" s="22" t="inlineStr">
        <is>
          <t>Field Inspection</t>
        </is>
      </c>
      <c r="F297" s="22" t="inlineStr">
        <is>
          <t>Yes</t>
        </is>
      </c>
      <c r="G297" s="234" t="n">
        <v>108</v>
      </c>
      <c r="H297" s="225" t="n">
        <v>0.05</v>
      </c>
      <c r="I297" s="225" t="n">
        <v>0.73</v>
      </c>
      <c r="J297" s="225" t="n">
        <v>0.6899999999999999</v>
      </c>
      <c r="K297" s="226" t="n">
        <v>45108</v>
      </c>
      <c r="L297" s="22" t="inlineStr">
        <is>
          <t>Summit</t>
        </is>
      </c>
      <c r="M297" s="22" t="inlineStr">
        <is>
          <t>Active</t>
        </is>
      </c>
      <c r="N297" s="22" t="inlineStr">
        <is>
          <t>Staff</t>
        </is>
      </c>
      <c r="O297" s="22" t="inlineStr">
        <is>
          <t>No</t>
        </is>
      </c>
      <c r="P297" s="22" t="inlineStr">
        <is>
          <t>HRIS / KS-DL-1.2</t>
        </is>
      </c>
    </row>
    <row r="298">
      <c r="A298" s="22" t="inlineStr">
        <is>
          <t>E0295</t>
        </is>
      </c>
      <c r="B298" s="22" t="inlineStr">
        <is>
          <t>Chicago</t>
        </is>
      </c>
      <c r="C298" s="22" t="inlineStr">
        <is>
          <t>Midwest</t>
        </is>
      </c>
      <c r="D298" s="22" t="inlineStr">
        <is>
          <t>Corporate</t>
        </is>
      </c>
      <c r="E298" s="22" t="inlineStr">
        <is>
          <t>Permitting &amp; Advisory</t>
        </is>
      </c>
      <c r="F298" s="22" t="inlineStr">
        <is>
          <t>No</t>
        </is>
      </c>
      <c r="G298" s="234" t="n">
        <v>165</v>
      </c>
      <c r="H298" s="225" t="n">
        <v>0.15</v>
      </c>
      <c r="I298" s="225" t="n">
        <v>0</v>
      </c>
      <c r="J298" s="225" t="n">
        <v>0</v>
      </c>
      <c r="K298" s="226" t="n">
        <v>45505</v>
      </c>
      <c r="L298" s="22" t="inlineStr">
        <is>
          <t>Legacy Alderstone</t>
        </is>
      </c>
      <c r="M298" s="22" t="inlineStr">
        <is>
          <t>Active</t>
        </is>
      </c>
      <c r="N298" s="22" t="inlineStr">
        <is>
          <t>Staff</t>
        </is>
      </c>
      <c r="O298" s="22" t="inlineStr">
        <is>
          <t>No</t>
        </is>
      </c>
      <c r="P298" s="22" t="inlineStr">
        <is>
          <t>HRIS / KS-DL-1.2</t>
        </is>
      </c>
    </row>
    <row r="299">
      <c r="A299" s="22" t="inlineStr">
        <is>
          <t>E0296</t>
        </is>
      </c>
      <c r="B299" s="22" t="inlineStr">
        <is>
          <t>Detroit</t>
        </is>
      </c>
      <c r="C299" s="22" t="inlineStr">
        <is>
          <t>Midwest</t>
        </is>
      </c>
      <c r="D299" s="22" t="inlineStr">
        <is>
          <t>Sales</t>
        </is>
      </c>
      <c r="E299" s="22" t="inlineStr">
        <is>
          <t>EHS Compliance</t>
        </is>
      </c>
      <c r="F299" s="22" t="inlineStr">
        <is>
          <t>No</t>
        </is>
      </c>
      <c r="G299" s="234" t="n">
        <v>178</v>
      </c>
      <c r="H299" s="225" t="n">
        <v>0.15</v>
      </c>
      <c r="I299" s="225" t="n">
        <v>0</v>
      </c>
      <c r="J299" s="225" t="n">
        <v>0</v>
      </c>
      <c r="K299" s="226" t="n">
        <v>45901</v>
      </c>
      <c r="L299" s="22" t="inlineStr">
        <is>
          <t>Northstar</t>
        </is>
      </c>
      <c r="M299" s="22" t="inlineStr">
        <is>
          <t>Active</t>
        </is>
      </c>
      <c r="N299" s="22" t="inlineStr">
        <is>
          <t>Staff</t>
        </is>
      </c>
      <c r="O299" s="22" t="inlineStr">
        <is>
          <t>No</t>
        </is>
      </c>
      <c r="P299" s="22" t="inlineStr">
        <is>
          <t>HRIS / KS-DL-1.2</t>
        </is>
      </c>
    </row>
    <row r="300">
      <c r="A300" s="22" t="inlineStr">
        <is>
          <t>E0297</t>
        </is>
      </c>
      <c r="B300" s="22" t="inlineStr">
        <is>
          <t>Louisville</t>
        </is>
      </c>
      <c r="C300" s="22" t="inlineStr">
        <is>
          <t>Southeast</t>
        </is>
      </c>
      <c r="D300" s="22" t="inlineStr">
        <is>
          <t>Finance</t>
        </is>
      </c>
      <c r="E300" s="22" t="inlineStr">
        <is>
          <t>Industrial Hygiene</t>
        </is>
      </c>
      <c r="F300" s="22" t="inlineStr">
        <is>
          <t>No</t>
        </is>
      </c>
      <c r="G300" s="234" t="n">
        <v>81</v>
      </c>
      <c r="H300" s="225" t="n">
        <v>0.15</v>
      </c>
      <c r="I300" s="225" t="n">
        <v>0</v>
      </c>
      <c r="J300" s="225" t="n">
        <v>0</v>
      </c>
      <c r="K300" s="226" t="n">
        <v>42278</v>
      </c>
      <c r="L300" s="22" t="inlineStr">
        <is>
          <t>Delta</t>
        </is>
      </c>
      <c r="M300" s="22" t="inlineStr">
        <is>
          <t>Active</t>
        </is>
      </c>
      <c r="N300" s="22" t="inlineStr">
        <is>
          <t>Staff</t>
        </is>
      </c>
      <c r="O300" s="22" t="inlineStr">
        <is>
          <t>No</t>
        </is>
      </c>
      <c r="P300" s="22" t="inlineStr">
        <is>
          <t>HRIS / KS-DL-1.2</t>
        </is>
      </c>
    </row>
    <row r="301">
      <c r="A301" s="22" t="inlineStr">
        <is>
          <t>E0298</t>
        </is>
      </c>
      <c r="B301" s="22" t="inlineStr">
        <is>
          <t>Nashville</t>
        </is>
      </c>
      <c r="C301" s="22" t="inlineStr">
        <is>
          <t>Midwest</t>
        </is>
      </c>
      <c r="D301" s="22" t="inlineStr">
        <is>
          <t>HR</t>
        </is>
      </c>
      <c r="E301" s="22" t="inlineStr">
        <is>
          <t>Field Inspection</t>
        </is>
      </c>
      <c r="F301" s="22" t="inlineStr">
        <is>
          <t>No</t>
        </is>
      </c>
      <c r="G301" s="234" t="n">
        <v>94</v>
      </c>
      <c r="H301" s="225" t="n">
        <v>0.15</v>
      </c>
      <c r="I301" s="225" t="n">
        <v>0</v>
      </c>
      <c r="J301" s="225" t="n">
        <v>0</v>
      </c>
      <c r="K301" s="226" t="n">
        <v>42675</v>
      </c>
      <c r="L301" s="22" t="inlineStr">
        <is>
          <t>Meridian</t>
        </is>
      </c>
      <c r="M301" s="22" t="inlineStr">
        <is>
          <t>Active</t>
        </is>
      </c>
      <c r="N301" s="22" t="inlineStr">
        <is>
          <t>Staff</t>
        </is>
      </c>
      <c r="O301" s="22" t="inlineStr">
        <is>
          <t>No</t>
        </is>
      </c>
      <c r="P301" s="22" t="inlineStr">
        <is>
          <t>HRIS / KS-DL-1.2</t>
        </is>
      </c>
    </row>
    <row r="302">
      <c r="A302" s="22" t="inlineStr">
        <is>
          <t>E0299</t>
        </is>
      </c>
      <c r="B302" s="22" t="inlineStr">
        <is>
          <t>Raleigh</t>
        </is>
      </c>
      <c r="C302" s="22" t="inlineStr">
        <is>
          <t>Midwest</t>
        </is>
      </c>
      <c r="D302" s="22" t="inlineStr">
        <is>
          <t>IT</t>
        </is>
      </c>
      <c r="E302" s="22" t="inlineStr">
        <is>
          <t>Permitting &amp; Advisory</t>
        </is>
      </c>
      <c r="F302" s="22" t="inlineStr">
        <is>
          <t>No</t>
        </is>
      </c>
      <c r="G302" s="234" t="n">
        <v>107</v>
      </c>
      <c r="H302" s="225" t="n">
        <v>0.15</v>
      </c>
      <c r="I302" s="225" t="n">
        <v>0</v>
      </c>
      <c r="J302" s="225" t="n">
        <v>0</v>
      </c>
      <c r="K302" s="226" t="n">
        <v>43070</v>
      </c>
      <c r="L302" s="22" t="inlineStr">
        <is>
          <t>Summit</t>
        </is>
      </c>
      <c r="M302" s="22" t="inlineStr">
        <is>
          <t>Active</t>
        </is>
      </c>
      <c r="N302" s="22" t="inlineStr">
        <is>
          <t>Staff</t>
        </is>
      </c>
      <c r="O302" s="22" t="inlineStr">
        <is>
          <t>No</t>
        </is>
      </c>
      <c r="P302" s="22" t="inlineStr">
        <is>
          <t>HRIS / KS-DL-1.2</t>
        </is>
      </c>
    </row>
    <row r="303">
      <c r="A303" s="22" t="inlineStr">
        <is>
          <t>E0300</t>
        </is>
      </c>
      <c r="B303" s="22" t="inlineStr">
        <is>
          <t>Charlotte</t>
        </is>
      </c>
      <c r="C303" s="22" t="inlineStr">
        <is>
          <t>Southeast</t>
        </is>
      </c>
      <c r="D303" s="22" t="inlineStr">
        <is>
          <t>Technical</t>
        </is>
      </c>
      <c r="E303" s="22" t="inlineStr">
        <is>
          <t>EHS Compliance</t>
        </is>
      </c>
      <c r="F303" s="22" t="inlineStr">
        <is>
          <t>Yes</t>
        </is>
      </c>
      <c r="G303" s="234" t="n">
        <v>120</v>
      </c>
      <c r="H303" s="225" t="n">
        <v>0.05</v>
      </c>
      <c r="I303" s="225" t="n">
        <v>0.55</v>
      </c>
      <c r="J303" s="225" t="n">
        <v>0.51</v>
      </c>
      <c r="K303" s="226" t="n">
        <v>43101</v>
      </c>
      <c r="L303" s="22" t="inlineStr">
        <is>
          <t>Legacy Alderstone</t>
        </is>
      </c>
      <c r="M303" s="22" t="inlineStr">
        <is>
          <t>Active</t>
        </is>
      </c>
      <c r="N303" s="22" t="inlineStr">
        <is>
          <t>Manager</t>
        </is>
      </c>
      <c r="O303" s="22" t="inlineStr">
        <is>
          <t>No</t>
        </is>
      </c>
      <c r="P303" s="22" t="inlineStr">
        <is>
          <t>HRIS / KS-DL-1.2</t>
        </is>
      </c>
    </row>
    <row r="304">
      <c r="A304" s="22" t="inlineStr">
        <is>
          <t>E0301</t>
        </is>
      </c>
      <c r="B304" s="22" t="inlineStr">
        <is>
          <t>Cincinnati</t>
        </is>
      </c>
      <c r="C304" s="22" t="inlineStr">
        <is>
          <t>Midwest</t>
        </is>
      </c>
      <c r="D304" s="22" t="inlineStr">
        <is>
          <t>Technical</t>
        </is>
      </c>
      <c r="E304" s="22" t="inlineStr">
        <is>
          <t>Industrial Hygiene</t>
        </is>
      </c>
      <c r="F304" s="22" t="inlineStr">
        <is>
          <t>Yes</t>
        </is>
      </c>
      <c r="G304" s="234" t="n">
        <v>137</v>
      </c>
      <c r="H304" s="225" t="n">
        <v>0.05</v>
      </c>
      <c r="I304" s="225" t="n">
        <v>0.6200000000000001</v>
      </c>
      <c r="J304" s="225" t="n">
        <v>0.5800000000000001</v>
      </c>
      <c r="K304" s="226" t="n">
        <v>43497</v>
      </c>
      <c r="L304" s="22" t="inlineStr">
        <is>
          <t>Northstar</t>
        </is>
      </c>
      <c r="M304" s="22" t="inlineStr">
        <is>
          <t>Active</t>
        </is>
      </c>
      <c r="N304" s="22" t="inlineStr">
        <is>
          <t>Staff</t>
        </is>
      </c>
      <c r="O304" s="22" t="inlineStr">
        <is>
          <t>No</t>
        </is>
      </c>
      <c r="P304" s="22" t="inlineStr">
        <is>
          <t>HRIS / KS-DL-1.2</t>
        </is>
      </c>
    </row>
    <row r="305">
      <c r="A305" s="22" t="inlineStr">
        <is>
          <t>E0302</t>
        </is>
      </c>
      <c r="B305" s="22" t="inlineStr">
        <is>
          <t>Columbus</t>
        </is>
      </c>
      <c r="C305" s="22" t="inlineStr">
        <is>
          <t>Midwest</t>
        </is>
      </c>
      <c r="D305" s="22" t="inlineStr">
        <is>
          <t>Technical</t>
        </is>
      </c>
      <c r="E305" s="22" t="inlineStr">
        <is>
          <t>Field Inspection</t>
        </is>
      </c>
      <c r="F305" s="22" t="inlineStr">
        <is>
          <t>Yes</t>
        </is>
      </c>
      <c r="G305" s="234" t="n">
        <v>64</v>
      </c>
      <c r="H305" s="225" t="n">
        <v>0.05</v>
      </c>
      <c r="I305" s="225" t="n">
        <v>0.6900000000000001</v>
      </c>
      <c r="J305" s="225" t="n">
        <v>0.65</v>
      </c>
      <c r="K305" s="226" t="n">
        <v>43891</v>
      </c>
      <c r="L305" s="22" t="inlineStr">
        <is>
          <t>Delta</t>
        </is>
      </c>
      <c r="M305" s="22" t="inlineStr">
        <is>
          <t>Active</t>
        </is>
      </c>
      <c r="N305" s="22" t="inlineStr">
        <is>
          <t>Staff</t>
        </is>
      </c>
      <c r="O305" s="22" t="inlineStr">
        <is>
          <t>No</t>
        </is>
      </c>
      <c r="P305" s="22" t="inlineStr">
        <is>
          <t>HRIS / KS-DL-1.2</t>
        </is>
      </c>
    </row>
    <row r="306">
      <c r="A306" s="22" t="inlineStr">
        <is>
          <t>E0303</t>
        </is>
      </c>
      <c r="B306" s="22" t="inlineStr">
        <is>
          <t>Knoxville</t>
        </is>
      </c>
      <c r="C306" s="22" t="inlineStr">
        <is>
          <t>Southeast</t>
        </is>
      </c>
      <c r="D306" s="22" t="inlineStr">
        <is>
          <t>Technical</t>
        </is>
      </c>
      <c r="E306" s="22" t="inlineStr">
        <is>
          <t>Permitting &amp; Advisory</t>
        </is>
      </c>
      <c r="F306" s="22" t="inlineStr">
        <is>
          <t>Yes</t>
        </is>
      </c>
      <c r="G306" s="234" t="n">
        <v>81</v>
      </c>
      <c r="H306" s="225" t="n">
        <v>0.05</v>
      </c>
      <c r="I306" s="225" t="n">
        <v>0.76</v>
      </c>
      <c r="J306" s="225" t="n">
        <v>0.72</v>
      </c>
      <c r="K306" s="226" t="n">
        <v>44287</v>
      </c>
      <c r="L306" s="22" t="inlineStr">
        <is>
          <t>Meridian</t>
        </is>
      </c>
      <c r="M306" s="22" t="inlineStr">
        <is>
          <t>Active</t>
        </is>
      </c>
      <c r="N306" s="22" t="inlineStr">
        <is>
          <t>Staff</t>
        </is>
      </c>
      <c r="O306" s="22" t="inlineStr">
        <is>
          <t>No</t>
        </is>
      </c>
      <c r="P306" s="22" t="inlineStr">
        <is>
          <t>HRIS / KS-DL-1.2</t>
        </is>
      </c>
    </row>
    <row r="307">
      <c r="A307" s="22" t="inlineStr">
        <is>
          <t>E0304</t>
        </is>
      </c>
      <c r="B307" s="22" t="inlineStr">
        <is>
          <t>Greenville</t>
        </is>
      </c>
      <c r="C307" s="22" t="inlineStr">
        <is>
          <t>Midwest</t>
        </is>
      </c>
      <c r="D307" s="22" t="inlineStr">
        <is>
          <t>Project Management</t>
        </is>
      </c>
      <c r="E307" s="22" t="inlineStr">
        <is>
          <t>EHS Compliance</t>
        </is>
      </c>
      <c r="F307" s="22" t="inlineStr">
        <is>
          <t>Yes</t>
        </is>
      </c>
      <c r="G307" s="234" t="n">
        <v>98</v>
      </c>
      <c r="H307" s="225" t="n">
        <v>0.05</v>
      </c>
      <c r="I307" s="225" t="n">
        <v>0.8300000000000001</v>
      </c>
      <c r="J307" s="225" t="n">
        <v>0.79</v>
      </c>
      <c r="K307" s="226" t="n">
        <v>44682</v>
      </c>
      <c r="L307" s="22" t="inlineStr">
        <is>
          <t>Summit</t>
        </is>
      </c>
      <c r="M307" s="22" t="inlineStr">
        <is>
          <t>Active</t>
        </is>
      </c>
      <c r="N307" s="22" t="inlineStr">
        <is>
          <t>Staff</t>
        </is>
      </c>
      <c r="O307" s="22" t="inlineStr">
        <is>
          <t>No</t>
        </is>
      </c>
      <c r="P307" s="22" t="inlineStr">
        <is>
          <t>HRIS / KS-DL-1.2</t>
        </is>
      </c>
    </row>
    <row r="308">
      <c r="A308" s="22" t="inlineStr">
        <is>
          <t>E0305</t>
        </is>
      </c>
      <c r="B308" s="22" t="inlineStr">
        <is>
          <t>Milwaukee</t>
        </is>
      </c>
      <c r="C308" s="22" t="inlineStr">
        <is>
          <t>Midwest</t>
        </is>
      </c>
      <c r="D308" s="22" t="inlineStr">
        <is>
          <t>Corporate</t>
        </is>
      </c>
      <c r="E308" s="22" t="inlineStr">
        <is>
          <t>Industrial Hygiene</t>
        </is>
      </c>
      <c r="F308" s="22" t="inlineStr">
        <is>
          <t>No</t>
        </is>
      </c>
      <c r="G308" s="234" t="n">
        <v>75</v>
      </c>
      <c r="H308" s="225" t="n">
        <v>0.15</v>
      </c>
      <c r="I308" s="225" t="n">
        <v>0</v>
      </c>
      <c r="J308" s="225" t="n">
        <v>0</v>
      </c>
      <c r="K308" s="226" t="n">
        <v>45078</v>
      </c>
      <c r="L308" s="22" t="inlineStr">
        <is>
          <t>Legacy Alderstone</t>
        </is>
      </c>
      <c r="M308" s="22" t="inlineStr">
        <is>
          <t>Active</t>
        </is>
      </c>
      <c r="N308" s="22" t="inlineStr">
        <is>
          <t>Staff</t>
        </is>
      </c>
      <c r="O308" s="22" t="inlineStr">
        <is>
          <t>No</t>
        </is>
      </c>
      <c r="P308" s="22" t="inlineStr">
        <is>
          <t>HRIS / KS-DL-1.2</t>
        </is>
      </c>
    </row>
    <row r="309">
      <c r="A309" s="22" t="inlineStr">
        <is>
          <t>E0306</t>
        </is>
      </c>
      <c r="B309" s="22" t="inlineStr">
        <is>
          <t>St. Louis</t>
        </is>
      </c>
      <c r="C309" s="22" t="inlineStr">
        <is>
          <t>Southeast</t>
        </is>
      </c>
      <c r="D309" s="22" t="inlineStr">
        <is>
          <t>Sales</t>
        </is>
      </c>
      <c r="E309" s="22" t="inlineStr">
        <is>
          <t>Field Inspection</t>
        </is>
      </c>
      <c r="F309" s="22" t="inlineStr">
        <is>
          <t>No</t>
        </is>
      </c>
      <c r="G309" s="234" t="n">
        <v>88</v>
      </c>
      <c r="H309" s="225" t="n">
        <v>0.15</v>
      </c>
      <c r="I309" s="225" t="n">
        <v>0</v>
      </c>
      <c r="J309" s="225" t="n">
        <v>0</v>
      </c>
      <c r="K309" s="226" t="n">
        <v>45474</v>
      </c>
      <c r="L309" s="22" t="inlineStr">
        <is>
          <t>Northstar</t>
        </is>
      </c>
      <c r="M309" s="22" t="inlineStr">
        <is>
          <t>Active</t>
        </is>
      </c>
      <c r="N309" s="22" t="inlineStr">
        <is>
          <t>Staff</t>
        </is>
      </c>
      <c r="O309" s="22" t="inlineStr">
        <is>
          <t>No</t>
        </is>
      </c>
      <c r="P309" s="22" t="inlineStr">
        <is>
          <t>HRIS / KS-DL-1.2</t>
        </is>
      </c>
    </row>
    <row r="310">
      <c r="A310" s="22" t="inlineStr">
        <is>
          <t>E0307</t>
        </is>
      </c>
      <c r="B310" s="22" t="inlineStr">
        <is>
          <t>Richmond</t>
        </is>
      </c>
      <c r="C310" s="22" t="inlineStr">
        <is>
          <t>Midwest</t>
        </is>
      </c>
      <c r="D310" s="22" t="inlineStr">
        <is>
          <t>Finance</t>
        </is>
      </c>
      <c r="E310" s="22" t="inlineStr">
        <is>
          <t>Permitting &amp; Advisory</t>
        </is>
      </c>
      <c r="F310" s="22" t="inlineStr">
        <is>
          <t>No</t>
        </is>
      </c>
      <c r="G310" s="234" t="n">
        <v>101</v>
      </c>
      <c r="H310" s="225" t="n">
        <v>0.15</v>
      </c>
      <c r="I310" s="225" t="n">
        <v>0</v>
      </c>
      <c r="J310" s="225" t="n">
        <v>0</v>
      </c>
      <c r="K310" s="226" t="n">
        <v>45870</v>
      </c>
      <c r="L310" s="22" t="inlineStr">
        <is>
          <t>Delta</t>
        </is>
      </c>
      <c r="M310" s="22" t="inlineStr">
        <is>
          <t>Active</t>
        </is>
      </c>
      <c r="N310" s="22" t="inlineStr">
        <is>
          <t>Staff</t>
        </is>
      </c>
      <c r="O310" s="22" t="inlineStr">
        <is>
          <t>No</t>
        </is>
      </c>
      <c r="P310" s="22" t="inlineStr">
        <is>
          <t>HRIS / KS-DL-1.2</t>
        </is>
      </c>
    </row>
    <row r="311">
      <c r="A311" s="22" t="inlineStr">
        <is>
          <t>E0308</t>
        </is>
      </c>
      <c r="B311" s="22" t="inlineStr">
        <is>
          <t>Indianapolis</t>
        </is>
      </c>
      <c r="C311" s="22" t="inlineStr">
        <is>
          <t>Midwest</t>
        </is>
      </c>
      <c r="D311" s="22" t="inlineStr">
        <is>
          <t>HR</t>
        </is>
      </c>
      <c r="E311" s="22" t="inlineStr">
        <is>
          <t>EHS Compliance</t>
        </is>
      </c>
      <c r="F311" s="22" t="inlineStr">
        <is>
          <t>No</t>
        </is>
      </c>
      <c r="G311" s="234" t="n">
        <v>114</v>
      </c>
      <c r="H311" s="225" t="n">
        <v>0.15</v>
      </c>
      <c r="I311" s="225" t="n">
        <v>0</v>
      </c>
      <c r="J311" s="225" t="n">
        <v>0</v>
      </c>
      <c r="K311" s="226" t="n">
        <v>42248</v>
      </c>
      <c r="L311" s="22" t="inlineStr">
        <is>
          <t>Meridian</t>
        </is>
      </c>
      <c r="M311" s="22" t="inlineStr">
        <is>
          <t>Active</t>
        </is>
      </c>
      <c r="N311" s="22" t="inlineStr">
        <is>
          <t>Staff</t>
        </is>
      </c>
      <c r="O311" s="22" t="inlineStr">
        <is>
          <t>No</t>
        </is>
      </c>
      <c r="P311" s="22" t="inlineStr">
        <is>
          <t>HRIS / KS-DL-1.2</t>
        </is>
      </c>
    </row>
    <row r="312">
      <c r="A312" s="22" t="inlineStr">
        <is>
          <t>E0309</t>
        </is>
      </c>
      <c r="B312" s="22" t="inlineStr">
        <is>
          <t>Chicago</t>
        </is>
      </c>
      <c r="C312" s="22" t="inlineStr">
        <is>
          <t>Southeast</t>
        </is>
      </c>
      <c r="D312" s="22" t="inlineStr">
        <is>
          <t>IT</t>
        </is>
      </c>
      <c r="E312" s="22" t="inlineStr">
        <is>
          <t>Industrial Hygiene</t>
        </is>
      </c>
      <c r="F312" s="22" t="inlineStr">
        <is>
          <t>No</t>
        </is>
      </c>
      <c r="G312" s="234" t="n">
        <v>127</v>
      </c>
      <c r="H312" s="225" t="n">
        <v>0.15</v>
      </c>
      <c r="I312" s="225" t="n">
        <v>0</v>
      </c>
      <c r="J312" s="225" t="n">
        <v>0</v>
      </c>
      <c r="K312" s="226" t="n">
        <v>42644</v>
      </c>
      <c r="L312" s="22" t="inlineStr">
        <is>
          <t>Summit</t>
        </is>
      </c>
      <c r="M312" s="22" t="inlineStr">
        <is>
          <t>Active</t>
        </is>
      </c>
      <c r="N312" s="22" t="inlineStr">
        <is>
          <t>Staff</t>
        </is>
      </c>
      <c r="O312" s="22" t="inlineStr">
        <is>
          <t>No</t>
        </is>
      </c>
      <c r="P312" s="22" t="inlineStr">
        <is>
          <t>HRIS / KS-DL-1.2</t>
        </is>
      </c>
    </row>
    <row r="313">
      <c r="A313" s="22" t="inlineStr">
        <is>
          <t>E0310</t>
        </is>
      </c>
      <c r="B313" s="22" t="inlineStr">
        <is>
          <t>Detroit</t>
        </is>
      </c>
      <c r="C313" s="22" t="inlineStr">
        <is>
          <t>Midwest</t>
        </is>
      </c>
      <c r="D313" s="22" t="inlineStr">
        <is>
          <t>Technical</t>
        </is>
      </c>
      <c r="E313" s="22" t="inlineStr">
        <is>
          <t>Field Inspection</t>
        </is>
      </c>
      <c r="F313" s="22" t="inlineStr">
        <is>
          <t>Yes</t>
        </is>
      </c>
      <c r="G313" s="234" t="n">
        <v>110</v>
      </c>
      <c r="H313" s="225" t="n">
        <v>0.05</v>
      </c>
      <c r="I313" s="225" t="n">
        <v>0.65</v>
      </c>
      <c r="J313" s="225" t="n">
        <v>0.61</v>
      </c>
      <c r="K313" s="226" t="n">
        <v>43040</v>
      </c>
      <c r="L313" s="22" t="inlineStr">
        <is>
          <t>Legacy Alderstone</t>
        </is>
      </c>
      <c r="M313" s="22" t="inlineStr">
        <is>
          <t>Active</t>
        </is>
      </c>
      <c r="N313" s="22" t="inlineStr">
        <is>
          <t>Staff</t>
        </is>
      </c>
      <c r="O313" s="22" t="inlineStr">
        <is>
          <t>No</t>
        </is>
      </c>
      <c r="P313" s="22" t="inlineStr">
        <is>
          <t>HRIS / KS-DL-1.2</t>
        </is>
      </c>
    </row>
    <row r="314">
      <c r="A314" s="22" t="inlineStr">
        <is>
          <t>E0311</t>
        </is>
      </c>
      <c r="B314" s="22" t="inlineStr">
        <is>
          <t>Louisville</t>
        </is>
      </c>
      <c r="C314" s="22" t="inlineStr">
        <is>
          <t>Midwest</t>
        </is>
      </c>
      <c r="D314" s="22" t="inlineStr">
        <is>
          <t>Technical</t>
        </is>
      </c>
      <c r="E314" s="22" t="inlineStr">
        <is>
          <t>Permitting &amp; Advisory</t>
        </is>
      </c>
      <c r="F314" s="22" t="inlineStr">
        <is>
          <t>Yes</t>
        </is>
      </c>
      <c r="G314" s="234" t="n">
        <v>127</v>
      </c>
      <c r="H314" s="225" t="n">
        <v>0.05</v>
      </c>
      <c r="I314" s="225" t="n">
        <v>0.7200000000000001</v>
      </c>
      <c r="J314" s="225" t="n">
        <v>0.68</v>
      </c>
      <c r="K314" s="226" t="n">
        <v>43435</v>
      </c>
      <c r="L314" s="22" t="inlineStr">
        <is>
          <t>Northstar</t>
        </is>
      </c>
      <c r="M314" s="22" t="inlineStr">
        <is>
          <t>Active</t>
        </is>
      </c>
      <c r="N314" s="22" t="inlineStr">
        <is>
          <t>Staff</t>
        </is>
      </c>
      <c r="O314" s="22" t="inlineStr">
        <is>
          <t>No</t>
        </is>
      </c>
      <c r="P314" s="22" t="inlineStr">
        <is>
          <t>HRIS / KS-DL-1.2</t>
        </is>
      </c>
    </row>
    <row r="315">
      <c r="A315" s="22" t="inlineStr">
        <is>
          <t>E0312</t>
        </is>
      </c>
      <c r="B315" s="22" t="inlineStr">
        <is>
          <t>Nashville</t>
        </is>
      </c>
      <c r="C315" s="22" t="inlineStr">
        <is>
          <t>Southeast</t>
        </is>
      </c>
      <c r="D315" s="22" t="inlineStr">
        <is>
          <t>Technical</t>
        </is>
      </c>
      <c r="E315" s="22" t="inlineStr">
        <is>
          <t>EHS Compliance</t>
        </is>
      </c>
      <c r="F315" s="22" t="inlineStr">
        <is>
          <t>Yes</t>
        </is>
      </c>
      <c r="G315" s="234" t="n">
        <v>144</v>
      </c>
      <c r="H315" s="225" t="n">
        <v>0.05</v>
      </c>
      <c r="I315" s="225" t="n">
        <v>0.79</v>
      </c>
      <c r="J315" s="225" t="n">
        <v>0.75</v>
      </c>
      <c r="K315" s="226" t="n">
        <v>43466</v>
      </c>
      <c r="L315" s="22" t="inlineStr">
        <is>
          <t>Delta</t>
        </is>
      </c>
      <c r="M315" s="22" t="inlineStr">
        <is>
          <t>Active</t>
        </is>
      </c>
      <c r="N315" s="22" t="inlineStr">
        <is>
          <t>Manager</t>
        </is>
      </c>
      <c r="O315" s="22" t="inlineStr">
        <is>
          <t>No</t>
        </is>
      </c>
      <c r="P315" s="22" t="inlineStr">
        <is>
          <t>HRIS / KS-DL-1.2</t>
        </is>
      </c>
    </row>
    <row r="316">
      <c r="A316" s="22" t="inlineStr">
        <is>
          <t>E0313</t>
        </is>
      </c>
      <c r="B316" s="22" t="inlineStr">
        <is>
          <t>Raleigh</t>
        </is>
      </c>
      <c r="C316" s="22" t="inlineStr">
        <is>
          <t>Midwest</t>
        </is>
      </c>
      <c r="D316" s="22" t="inlineStr">
        <is>
          <t>Technical</t>
        </is>
      </c>
      <c r="E316" s="22" t="inlineStr">
        <is>
          <t>Industrial Hygiene</t>
        </is>
      </c>
      <c r="F316" s="22" t="inlineStr">
        <is>
          <t>Yes</t>
        </is>
      </c>
      <c r="G316" s="234" t="n">
        <v>71</v>
      </c>
      <c r="H316" s="225" t="n">
        <v>0.05</v>
      </c>
      <c r="I316" s="225" t="n">
        <v>0.5600000000000001</v>
      </c>
      <c r="J316" s="225" t="n">
        <v>0.52</v>
      </c>
      <c r="K316" s="226" t="n">
        <v>43862</v>
      </c>
      <c r="L316" s="22" t="inlineStr">
        <is>
          <t>Meridian</t>
        </is>
      </c>
      <c r="M316" s="22" t="inlineStr">
        <is>
          <t>Active</t>
        </is>
      </c>
      <c r="N316" s="22" t="inlineStr">
        <is>
          <t>Staff</t>
        </is>
      </c>
      <c r="O316" s="22" t="inlineStr">
        <is>
          <t>No</t>
        </is>
      </c>
      <c r="P316" s="22" t="inlineStr">
        <is>
          <t>HRIS / KS-DL-1.2</t>
        </is>
      </c>
    </row>
    <row r="317">
      <c r="A317" s="22" t="inlineStr">
        <is>
          <t>E0314</t>
        </is>
      </c>
      <c r="B317" s="22" t="inlineStr">
        <is>
          <t>Charlotte</t>
        </is>
      </c>
      <c r="C317" s="22" t="inlineStr">
        <is>
          <t>Midwest</t>
        </is>
      </c>
      <c r="D317" s="22" t="inlineStr">
        <is>
          <t>Project Management</t>
        </is>
      </c>
      <c r="E317" s="22" t="inlineStr">
        <is>
          <t>Field Inspection</t>
        </is>
      </c>
      <c r="F317" s="22" t="inlineStr">
        <is>
          <t>Yes</t>
        </is>
      </c>
      <c r="G317" s="234" t="n">
        <v>88</v>
      </c>
      <c r="H317" s="225" t="n">
        <v>0.05</v>
      </c>
      <c r="I317" s="225" t="n">
        <v>0.63</v>
      </c>
      <c r="J317" s="225" t="n">
        <v>0.59</v>
      </c>
      <c r="K317" s="226" t="n">
        <v>44256</v>
      </c>
      <c r="L317" s="22" t="inlineStr">
        <is>
          <t>Summit</t>
        </is>
      </c>
      <c r="M317" s="22" t="inlineStr">
        <is>
          <t>Active</t>
        </is>
      </c>
      <c r="N317" s="22" t="inlineStr">
        <is>
          <t>Staff</t>
        </is>
      </c>
      <c r="O317" s="22" t="inlineStr">
        <is>
          <t>No</t>
        </is>
      </c>
      <c r="P317" s="22" t="inlineStr">
        <is>
          <t>HRIS / KS-DL-1.2</t>
        </is>
      </c>
    </row>
    <row r="318">
      <c r="A318" s="22" t="inlineStr">
        <is>
          <t>E0315</t>
        </is>
      </c>
      <c r="B318" s="22" t="inlineStr">
        <is>
          <t>Cincinnati</t>
        </is>
      </c>
      <c r="C318" s="22" t="inlineStr">
        <is>
          <t>Southeast</t>
        </is>
      </c>
      <c r="D318" s="22" t="inlineStr">
        <is>
          <t>Corporate</t>
        </is>
      </c>
      <c r="E318" s="22" t="inlineStr">
        <is>
          <t>Permitting &amp; Advisory</t>
        </is>
      </c>
      <c r="F318" s="22" t="inlineStr">
        <is>
          <t>No</t>
        </is>
      </c>
      <c r="G318" s="234" t="n">
        <v>95</v>
      </c>
      <c r="H318" s="225" t="n">
        <v>0.15</v>
      </c>
      <c r="I318" s="225" t="n">
        <v>0</v>
      </c>
      <c r="J318" s="225" t="n">
        <v>0</v>
      </c>
      <c r="K318" s="226" t="n">
        <v>44652</v>
      </c>
      <c r="L318" s="22" t="inlineStr">
        <is>
          <t>Legacy Alderstone</t>
        </is>
      </c>
      <c r="M318" s="22" t="inlineStr">
        <is>
          <t>Active</t>
        </is>
      </c>
      <c r="N318" s="22" t="inlineStr">
        <is>
          <t>Staff</t>
        </is>
      </c>
      <c r="O318" s="22" t="inlineStr">
        <is>
          <t>No</t>
        </is>
      </c>
      <c r="P318" s="22" t="inlineStr">
        <is>
          <t>HRIS / KS-DL-1.2</t>
        </is>
      </c>
    </row>
    <row r="319">
      <c r="A319" s="22" t="inlineStr">
        <is>
          <t>E0316</t>
        </is>
      </c>
      <c r="B319" s="22" t="inlineStr">
        <is>
          <t>Columbus</t>
        </is>
      </c>
      <c r="C319" s="22" t="inlineStr">
        <is>
          <t>Midwest</t>
        </is>
      </c>
      <c r="D319" s="22" t="inlineStr">
        <is>
          <t>Sales</t>
        </is>
      </c>
      <c r="E319" s="22" t="inlineStr">
        <is>
          <t>EHS Compliance</t>
        </is>
      </c>
      <c r="F319" s="22" t="inlineStr">
        <is>
          <t>No</t>
        </is>
      </c>
      <c r="G319" s="234" t="n">
        <v>108</v>
      </c>
      <c r="H319" s="225" t="n">
        <v>0.15</v>
      </c>
      <c r="I319" s="225" t="n">
        <v>0</v>
      </c>
      <c r="J319" s="225" t="n">
        <v>0</v>
      </c>
      <c r="K319" s="226" t="n">
        <v>45047</v>
      </c>
      <c r="L319" s="22" t="inlineStr">
        <is>
          <t>Northstar</t>
        </is>
      </c>
      <c r="M319" s="22" t="inlineStr">
        <is>
          <t>Active</t>
        </is>
      </c>
      <c r="N319" s="22" t="inlineStr">
        <is>
          <t>Staff</t>
        </is>
      </c>
      <c r="O319" s="22" t="inlineStr">
        <is>
          <t>No</t>
        </is>
      </c>
      <c r="P319" s="22" t="inlineStr">
        <is>
          <t>HRIS / KS-DL-1.2</t>
        </is>
      </c>
    </row>
    <row r="320">
      <c r="A320" s="22" t="inlineStr">
        <is>
          <t>E0317</t>
        </is>
      </c>
      <c r="B320" s="22" t="inlineStr">
        <is>
          <t>Knoxville</t>
        </is>
      </c>
      <c r="C320" s="22" t="inlineStr">
        <is>
          <t>Midwest</t>
        </is>
      </c>
      <c r="D320" s="22" t="inlineStr">
        <is>
          <t>Finance</t>
        </is>
      </c>
      <c r="E320" s="22" t="inlineStr">
        <is>
          <t>Industrial Hygiene</t>
        </is>
      </c>
      <c r="F320" s="22" t="inlineStr">
        <is>
          <t>No</t>
        </is>
      </c>
      <c r="G320" s="234" t="n">
        <v>121</v>
      </c>
      <c r="H320" s="225" t="n">
        <v>0.15</v>
      </c>
      <c r="I320" s="225" t="n">
        <v>0</v>
      </c>
      <c r="J320" s="225" t="n">
        <v>0</v>
      </c>
      <c r="K320" s="226" t="n">
        <v>45444</v>
      </c>
      <c r="L320" s="22" t="inlineStr">
        <is>
          <t>Delta</t>
        </is>
      </c>
      <c r="M320" s="22" t="inlineStr">
        <is>
          <t>Active</t>
        </is>
      </c>
      <c r="N320" s="22" t="inlineStr">
        <is>
          <t>Staff</t>
        </is>
      </c>
      <c r="O320" s="22" t="inlineStr">
        <is>
          <t>No</t>
        </is>
      </c>
      <c r="P320" s="22" t="inlineStr">
        <is>
          <t>HRIS / KS-DL-1.2</t>
        </is>
      </c>
    </row>
    <row r="321">
      <c r="A321" s="22" t="inlineStr">
        <is>
          <t>E0318</t>
        </is>
      </c>
      <c r="B321" s="22" t="inlineStr">
        <is>
          <t>Greenville</t>
        </is>
      </c>
      <c r="C321" s="22" t="inlineStr">
        <is>
          <t>Southeast</t>
        </is>
      </c>
      <c r="D321" s="22" t="inlineStr">
        <is>
          <t>HR</t>
        </is>
      </c>
      <c r="E321" s="22" t="inlineStr">
        <is>
          <t>Field Inspection</t>
        </is>
      </c>
      <c r="F321" s="22" t="inlineStr">
        <is>
          <t>No</t>
        </is>
      </c>
      <c r="G321" s="234" t="n">
        <v>134</v>
      </c>
      <c r="H321" s="225" t="n">
        <v>0.15</v>
      </c>
      <c r="I321" s="225" t="n">
        <v>0</v>
      </c>
      <c r="J321" s="225" t="n">
        <v>0</v>
      </c>
      <c r="K321" s="226" t="n">
        <v>45839</v>
      </c>
      <c r="L321" s="22" t="inlineStr">
        <is>
          <t>Meridian</t>
        </is>
      </c>
      <c r="M321" s="22" t="inlineStr">
        <is>
          <t>Active</t>
        </is>
      </c>
      <c r="N321" s="22" t="inlineStr">
        <is>
          <t>Staff</t>
        </is>
      </c>
      <c r="O321" s="22" t="inlineStr">
        <is>
          <t>No</t>
        </is>
      </c>
      <c r="P321" s="22" t="inlineStr">
        <is>
          <t>HRIS / KS-DL-1.2</t>
        </is>
      </c>
    </row>
    <row r="322">
      <c r="A322" s="22" t="inlineStr">
        <is>
          <t>E0319</t>
        </is>
      </c>
      <c r="B322" s="22" t="inlineStr">
        <is>
          <t>Milwaukee</t>
        </is>
      </c>
      <c r="C322" s="22" t="inlineStr">
        <is>
          <t>Midwest</t>
        </is>
      </c>
      <c r="D322" s="22" t="inlineStr">
        <is>
          <t>IT</t>
        </is>
      </c>
      <c r="E322" s="22" t="inlineStr">
        <is>
          <t>Permitting &amp; Advisory</t>
        </is>
      </c>
      <c r="F322" s="22" t="inlineStr">
        <is>
          <t>No</t>
        </is>
      </c>
      <c r="G322" s="234" t="n">
        <v>147</v>
      </c>
      <c r="H322" s="225" t="n">
        <v>0.15</v>
      </c>
      <c r="I322" s="225" t="n">
        <v>0</v>
      </c>
      <c r="J322" s="225" t="n">
        <v>0</v>
      </c>
      <c r="K322" s="226" t="n">
        <v>42217</v>
      </c>
      <c r="L322" s="22" t="inlineStr">
        <is>
          <t>Summit</t>
        </is>
      </c>
      <c r="M322" s="22" t="inlineStr">
        <is>
          <t>Active</t>
        </is>
      </c>
      <c r="N322" s="22" t="inlineStr">
        <is>
          <t>Staff</t>
        </is>
      </c>
      <c r="O322" s="22" t="inlineStr">
        <is>
          <t>Yes</t>
        </is>
      </c>
      <c r="P322" s="22" t="inlineStr">
        <is>
          <t>HRIS / KS-DL-1.2</t>
        </is>
      </c>
    </row>
    <row r="323">
      <c r="A323" s="22" t="inlineStr">
        <is>
          <t>E0320</t>
        </is>
      </c>
      <c r="B323" s="22" t="inlineStr">
        <is>
          <t>St. Louis</t>
        </is>
      </c>
      <c r="C323" s="22" t="inlineStr">
        <is>
          <t>Midwest</t>
        </is>
      </c>
      <c r="D323" s="22" t="inlineStr">
        <is>
          <t>Technical</t>
        </is>
      </c>
      <c r="E323" s="22" t="inlineStr">
        <is>
          <t>EHS Compliance</t>
        </is>
      </c>
      <c r="F323" s="22" t="inlineStr">
        <is>
          <t>Yes</t>
        </is>
      </c>
      <c r="G323" s="234" t="n">
        <v>100</v>
      </c>
      <c r="H323" s="225" t="n">
        <v>0.05</v>
      </c>
      <c r="I323" s="225" t="n">
        <v>0.75</v>
      </c>
      <c r="J323" s="225" t="n">
        <v>0.71</v>
      </c>
      <c r="K323" s="226" t="n">
        <v>42614</v>
      </c>
      <c r="L323" s="22" t="inlineStr">
        <is>
          <t>Legacy Alderstone</t>
        </is>
      </c>
      <c r="M323" s="22" t="inlineStr">
        <is>
          <t>Active</t>
        </is>
      </c>
      <c r="N323" s="22" t="inlineStr">
        <is>
          <t>Staff</t>
        </is>
      </c>
      <c r="O323" s="22" t="inlineStr">
        <is>
          <t>No</t>
        </is>
      </c>
      <c r="P323" s="22" t="inlineStr">
        <is>
          <t>HRIS / KS-DL-1.2</t>
        </is>
      </c>
    </row>
    <row r="324">
      <c r="A324" s="22" t="inlineStr">
        <is>
          <t>E0321</t>
        </is>
      </c>
      <c r="B324" s="22" t="inlineStr">
        <is>
          <t>Richmond</t>
        </is>
      </c>
      <c r="C324" s="22" t="inlineStr">
        <is>
          <t>Southeast</t>
        </is>
      </c>
      <c r="D324" s="22" t="inlineStr">
        <is>
          <t>Technical</t>
        </is>
      </c>
      <c r="E324" s="22" t="inlineStr">
        <is>
          <t>Industrial Hygiene</t>
        </is>
      </c>
      <c r="F324" s="22" t="inlineStr">
        <is>
          <t>Yes</t>
        </is>
      </c>
      <c r="G324" s="234" t="n">
        <v>117</v>
      </c>
      <c r="H324" s="225" t="n">
        <v>0.05</v>
      </c>
      <c r="I324" s="225" t="n">
        <v>0.8200000000000001</v>
      </c>
      <c r="J324" s="225" t="n">
        <v>0.78</v>
      </c>
      <c r="K324" s="226" t="n">
        <v>43009</v>
      </c>
      <c r="L324" s="22" t="inlineStr">
        <is>
          <t>Northstar</t>
        </is>
      </c>
      <c r="M324" s="22" t="inlineStr">
        <is>
          <t>Active</t>
        </is>
      </c>
      <c r="N324" s="22" t="inlineStr">
        <is>
          <t>Staff</t>
        </is>
      </c>
      <c r="O324" s="22" t="inlineStr">
        <is>
          <t>No</t>
        </is>
      </c>
      <c r="P324" s="22" t="inlineStr">
        <is>
          <t>HRIS / KS-DL-1.2</t>
        </is>
      </c>
    </row>
    <row r="325">
      <c r="A325" s="22" t="inlineStr">
        <is>
          <t>E0322</t>
        </is>
      </c>
      <c r="B325" s="22" t="inlineStr">
        <is>
          <t>Indianapolis</t>
        </is>
      </c>
      <c r="C325" s="22" t="inlineStr">
        <is>
          <t>Midwest</t>
        </is>
      </c>
      <c r="D325" s="22" t="inlineStr">
        <is>
          <t>Technical</t>
        </is>
      </c>
      <c r="E325" s="22" t="inlineStr">
        <is>
          <t>Field Inspection</t>
        </is>
      </c>
      <c r="F325" s="22" t="inlineStr">
        <is>
          <t>Yes</t>
        </is>
      </c>
      <c r="G325" s="234" t="n">
        <v>134</v>
      </c>
      <c r="H325" s="225" t="n">
        <v>0.05</v>
      </c>
      <c r="I325" s="225" t="n">
        <v>0.5900000000000001</v>
      </c>
      <c r="J325" s="225" t="n">
        <v>0.55</v>
      </c>
      <c r="K325" s="226" t="n">
        <v>43405</v>
      </c>
      <c r="L325" s="22" t="inlineStr">
        <is>
          <t>Delta</t>
        </is>
      </c>
      <c r="M325" s="22" t="inlineStr">
        <is>
          <t>Active</t>
        </is>
      </c>
      <c r="N325" s="22" t="inlineStr">
        <is>
          <t>Staff</t>
        </is>
      </c>
      <c r="O325" s="22" t="inlineStr">
        <is>
          <t>No</t>
        </is>
      </c>
      <c r="P325" s="22" t="inlineStr">
        <is>
          <t>HRIS / KS-DL-1.2</t>
        </is>
      </c>
    </row>
    <row r="326">
      <c r="A326" s="22" t="inlineStr">
        <is>
          <t>E0323</t>
        </is>
      </c>
      <c r="B326" s="22" t="inlineStr">
        <is>
          <t>Chicago</t>
        </is>
      </c>
      <c r="C326" s="22" t="inlineStr">
        <is>
          <t>Midwest</t>
        </is>
      </c>
      <c r="D326" s="22" t="inlineStr">
        <is>
          <t>Technical</t>
        </is>
      </c>
      <c r="E326" s="22" t="inlineStr">
        <is>
          <t>Permitting &amp; Advisory</t>
        </is>
      </c>
      <c r="F326" s="22" t="inlineStr">
        <is>
          <t>Yes</t>
        </is>
      </c>
      <c r="G326" s="234" t="n">
        <v>61</v>
      </c>
      <c r="H326" s="225" t="n">
        <v>0.05</v>
      </c>
      <c r="I326" s="225" t="n">
        <v>0.66</v>
      </c>
      <c r="J326" s="225" t="n">
        <v>0.62</v>
      </c>
      <c r="K326" s="226" t="n">
        <v>43800</v>
      </c>
      <c r="L326" s="22" t="inlineStr">
        <is>
          <t>Meridian</t>
        </is>
      </c>
      <c r="M326" s="22" t="inlineStr">
        <is>
          <t>Active</t>
        </is>
      </c>
      <c r="N326" s="22" t="inlineStr">
        <is>
          <t>Staff</t>
        </is>
      </c>
      <c r="O326" s="22" t="inlineStr">
        <is>
          <t>No</t>
        </is>
      </c>
      <c r="P326" s="22" t="inlineStr">
        <is>
          <t>HRIS / KS-DL-1.2</t>
        </is>
      </c>
    </row>
    <row r="327">
      <c r="A327" s="22" t="inlineStr">
        <is>
          <t>E0324</t>
        </is>
      </c>
      <c r="B327" s="22" t="inlineStr">
        <is>
          <t>Detroit</t>
        </is>
      </c>
      <c r="C327" s="22" t="inlineStr">
        <is>
          <t>Southeast</t>
        </is>
      </c>
      <c r="D327" s="22" t="inlineStr">
        <is>
          <t>Project Management</t>
        </is>
      </c>
      <c r="E327" s="22" t="inlineStr">
        <is>
          <t>EHS Compliance</t>
        </is>
      </c>
      <c r="F327" s="22" t="inlineStr">
        <is>
          <t>Yes</t>
        </is>
      </c>
      <c r="G327" s="234" t="n">
        <v>78</v>
      </c>
      <c r="H327" s="225" t="n">
        <v>0.05</v>
      </c>
      <c r="I327" s="225" t="n">
        <v>0.73</v>
      </c>
      <c r="J327" s="225" t="n">
        <v>0.6899999999999999</v>
      </c>
      <c r="K327" s="226" t="n">
        <v>43831</v>
      </c>
      <c r="L327" s="22" t="inlineStr">
        <is>
          <t>Summit</t>
        </is>
      </c>
      <c r="M327" s="22" t="inlineStr">
        <is>
          <t>Active</t>
        </is>
      </c>
      <c r="N327" s="22" t="inlineStr">
        <is>
          <t>Manager</t>
        </is>
      </c>
      <c r="O327" s="22" t="inlineStr">
        <is>
          <t>No</t>
        </is>
      </c>
      <c r="P327" s="22" t="inlineStr">
        <is>
          <t>HRIS / KS-DL-1.2</t>
        </is>
      </c>
    </row>
    <row r="328">
      <c r="A328" s="22" t="inlineStr">
        <is>
          <t>E0325</t>
        </is>
      </c>
      <c r="B328" s="22" t="inlineStr">
        <is>
          <t>Louisville</t>
        </is>
      </c>
      <c r="C328" s="22" t="inlineStr">
        <is>
          <t>Midwest</t>
        </is>
      </c>
      <c r="D328" s="22" t="inlineStr">
        <is>
          <t>Corporate</t>
        </is>
      </c>
      <c r="E328" s="22" t="inlineStr">
        <is>
          <t>Industrial Hygiene</t>
        </is>
      </c>
      <c r="F328" s="22" t="inlineStr">
        <is>
          <t>No</t>
        </is>
      </c>
      <c r="G328" s="234" t="n">
        <v>115</v>
      </c>
      <c r="H328" s="225" t="n">
        <v>0.15</v>
      </c>
      <c r="I328" s="225" t="n">
        <v>0</v>
      </c>
      <c r="J328" s="225" t="n">
        <v>0</v>
      </c>
      <c r="K328" s="226" t="n">
        <v>44228</v>
      </c>
      <c r="L328" s="22" t="inlineStr">
        <is>
          <t>Legacy Alderstone</t>
        </is>
      </c>
      <c r="M328" s="22" t="inlineStr">
        <is>
          <t>Active</t>
        </is>
      </c>
      <c r="N328" s="22" t="inlineStr">
        <is>
          <t>Staff</t>
        </is>
      </c>
      <c r="O328" s="22" t="inlineStr">
        <is>
          <t>No</t>
        </is>
      </c>
      <c r="P328" s="22" t="inlineStr">
        <is>
          <t>HRIS / KS-DL-1.2</t>
        </is>
      </c>
    </row>
    <row r="329">
      <c r="A329" s="22" t="inlineStr">
        <is>
          <t>E0326</t>
        </is>
      </c>
      <c r="B329" s="22" t="inlineStr">
        <is>
          <t>Nashville</t>
        </is>
      </c>
      <c r="C329" s="22" t="inlineStr">
        <is>
          <t>Midwest</t>
        </is>
      </c>
      <c r="D329" s="22" t="inlineStr">
        <is>
          <t>Sales</t>
        </is>
      </c>
      <c r="E329" s="22" t="inlineStr">
        <is>
          <t>Field Inspection</t>
        </is>
      </c>
      <c r="F329" s="22" t="inlineStr">
        <is>
          <t>No</t>
        </is>
      </c>
      <c r="G329" s="234" t="n">
        <v>128</v>
      </c>
      <c r="H329" s="225" t="n">
        <v>0.15</v>
      </c>
      <c r="I329" s="225" t="n">
        <v>0</v>
      </c>
      <c r="J329" s="225" t="n">
        <v>0</v>
      </c>
      <c r="K329" s="226" t="n">
        <v>44621</v>
      </c>
      <c r="L329" s="22" t="inlineStr">
        <is>
          <t>Northstar</t>
        </is>
      </c>
      <c r="M329" s="22" t="inlineStr">
        <is>
          <t>Active</t>
        </is>
      </c>
      <c r="N329" s="22" t="inlineStr">
        <is>
          <t>Staff</t>
        </is>
      </c>
      <c r="O329" s="22" t="inlineStr">
        <is>
          <t>No</t>
        </is>
      </c>
      <c r="P329" s="22" t="inlineStr">
        <is>
          <t>HRIS / KS-DL-1.2</t>
        </is>
      </c>
    </row>
    <row r="330">
      <c r="A330" s="22" t="inlineStr">
        <is>
          <t>E0327</t>
        </is>
      </c>
      <c r="B330" s="22" t="inlineStr">
        <is>
          <t>Raleigh</t>
        </is>
      </c>
      <c r="C330" s="22" t="inlineStr">
        <is>
          <t>Southeast</t>
        </is>
      </c>
      <c r="D330" s="22" t="inlineStr">
        <is>
          <t>Finance</t>
        </is>
      </c>
      <c r="E330" s="22" t="inlineStr">
        <is>
          <t>Permitting &amp; Advisory</t>
        </is>
      </c>
      <c r="F330" s="22" t="inlineStr">
        <is>
          <t>No</t>
        </is>
      </c>
      <c r="G330" s="234" t="n">
        <v>141</v>
      </c>
      <c r="H330" s="225" t="n">
        <v>0.15</v>
      </c>
      <c r="I330" s="225" t="n">
        <v>0</v>
      </c>
      <c r="J330" s="225" t="n">
        <v>0</v>
      </c>
      <c r="K330" s="226" t="n">
        <v>45017</v>
      </c>
      <c r="L330" s="22" t="inlineStr">
        <is>
          <t>Delta</t>
        </is>
      </c>
      <c r="M330" s="22" t="inlineStr">
        <is>
          <t>Active</t>
        </is>
      </c>
      <c r="N330" s="22" t="inlineStr">
        <is>
          <t>Staff</t>
        </is>
      </c>
      <c r="O330" s="22" t="inlineStr">
        <is>
          <t>No</t>
        </is>
      </c>
      <c r="P330" s="22" t="inlineStr">
        <is>
          <t>HRIS / KS-DL-1.2</t>
        </is>
      </c>
    </row>
    <row r="331">
      <c r="A331" s="22" t="inlineStr">
        <is>
          <t>E0328</t>
        </is>
      </c>
      <c r="B331" s="22" t="inlineStr">
        <is>
          <t>Charlotte</t>
        </is>
      </c>
      <c r="C331" s="22" t="inlineStr">
        <is>
          <t>Midwest</t>
        </is>
      </c>
      <c r="D331" s="22" t="inlineStr">
        <is>
          <t>HR</t>
        </is>
      </c>
      <c r="E331" s="22" t="inlineStr">
        <is>
          <t>EHS Compliance</t>
        </is>
      </c>
      <c r="F331" s="22" t="inlineStr">
        <is>
          <t>No</t>
        </is>
      </c>
      <c r="G331" s="234" t="n">
        <v>154</v>
      </c>
      <c r="H331" s="225" t="n">
        <v>0.15</v>
      </c>
      <c r="I331" s="225" t="n">
        <v>0</v>
      </c>
      <c r="J331" s="225" t="n">
        <v>0</v>
      </c>
      <c r="K331" s="226" t="n">
        <v>45413</v>
      </c>
      <c r="L331" s="22" t="inlineStr">
        <is>
          <t>Meridian</t>
        </is>
      </c>
      <c r="M331" s="22" t="inlineStr">
        <is>
          <t>Active</t>
        </is>
      </c>
      <c r="N331" s="22" t="inlineStr">
        <is>
          <t>Staff</t>
        </is>
      </c>
      <c r="O331" s="22" t="inlineStr">
        <is>
          <t>No</t>
        </is>
      </c>
      <c r="P331" s="22" t="inlineStr">
        <is>
          <t>HRIS / KS-DL-1.2</t>
        </is>
      </c>
    </row>
    <row r="332">
      <c r="A332" s="22" t="inlineStr">
        <is>
          <t>E0329</t>
        </is>
      </c>
      <c r="B332" s="22" t="inlineStr">
        <is>
          <t>Cincinnati</t>
        </is>
      </c>
      <c r="C332" s="22" t="inlineStr">
        <is>
          <t>Midwest</t>
        </is>
      </c>
      <c r="D332" s="22" t="inlineStr">
        <is>
          <t>IT</t>
        </is>
      </c>
      <c r="E332" s="22" t="inlineStr">
        <is>
          <t>Industrial Hygiene</t>
        </is>
      </c>
      <c r="F332" s="22" t="inlineStr">
        <is>
          <t>No</t>
        </is>
      </c>
      <c r="G332" s="234" t="n">
        <v>167</v>
      </c>
      <c r="H332" s="225" t="n">
        <v>0.15</v>
      </c>
      <c r="I332" s="225" t="n">
        <v>0</v>
      </c>
      <c r="J332" s="225" t="n">
        <v>0</v>
      </c>
      <c r="K332" s="226" t="n">
        <v>45809</v>
      </c>
      <c r="L332" s="22" t="inlineStr">
        <is>
          <t>Summit</t>
        </is>
      </c>
      <c r="M332" s="22" t="inlineStr">
        <is>
          <t>Active</t>
        </is>
      </c>
      <c r="N332" s="22" t="inlineStr">
        <is>
          <t>Staff</t>
        </is>
      </c>
      <c r="O332" s="22" t="inlineStr">
        <is>
          <t>No</t>
        </is>
      </c>
      <c r="P332" s="22" t="inlineStr">
        <is>
          <t>HRIS / KS-DL-1.2</t>
        </is>
      </c>
    </row>
    <row r="333">
      <c r="A333" s="22" t="inlineStr">
        <is>
          <t>E0330</t>
        </is>
      </c>
      <c r="B333" s="22" t="inlineStr">
        <is>
          <t>Columbus</t>
        </is>
      </c>
      <c r="C333" s="22" t="inlineStr">
        <is>
          <t>Southeast</t>
        </is>
      </c>
      <c r="D333" s="22" t="inlineStr">
        <is>
          <t>Technical</t>
        </is>
      </c>
      <c r="E333" s="22" t="inlineStr">
        <is>
          <t>Field Inspection</t>
        </is>
      </c>
      <c r="F333" s="22" t="inlineStr">
        <is>
          <t>Yes</t>
        </is>
      </c>
      <c r="G333" s="234" t="n">
        <v>90</v>
      </c>
      <c r="H333" s="225" t="n">
        <v>0.05</v>
      </c>
      <c r="I333" s="225" t="n">
        <v>0.55</v>
      </c>
      <c r="J333" s="225" t="n">
        <v>0.51</v>
      </c>
      <c r="K333" s="226" t="n">
        <v>42186</v>
      </c>
      <c r="L333" s="22" t="inlineStr">
        <is>
          <t>Legacy Alderstone</t>
        </is>
      </c>
      <c r="M333" s="22" t="inlineStr">
        <is>
          <t>Active</t>
        </is>
      </c>
      <c r="N333" s="22" t="inlineStr">
        <is>
          <t>Staff</t>
        </is>
      </c>
      <c r="O333" s="22" t="inlineStr">
        <is>
          <t>No</t>
        </is>
      </c>
      <c r="P333" s="22" t="inlineStr">
        <is>
          <t>HRIS / KS-DL-1.2</t>
        </is>
      </c>
    </row>
    <row r="334">
      <c r="A334" s="22" t="inlineStr">
        <is>
          <t>E0331</t>
        </is>
      </c>
      <c r="B334" s="22" t="inlineStr">
        <is>
          <t>Knoxville</t>
        </is>
      </c>
      <c r="C334" s="22" t="inlineStr">
        <is>
          <t>Midwest</t>
        </is>
      </c>
      <c r="D334" s="22" t="inlineStr">
        <is>
          <t>Technical</t>
        </is>
      </c>
      <c r="E334" s="22" t="inlineStr">
        <is>
          <t>Permitting &amp; Advisory</t>
        </is>
      </c>
      <c r="F334" s="22" t="inlineStr">
        <is>
          <t>Yes</t>
        </is>
      </c>
      <c r="G334" s="234" t="n">
        <v>107</v>
      </c>
      <c r="H334" s="225" t="n">
        <v>0.05</v>
      </c>
      <c r="I334" s="225" t="n">
        <v>0.6200000000000001</v>
      </c>
      <c r="J334" s="225" t="n">
        <v>0.5800000000000001</v>
      </c>
      <c r="K334" s="226" t="n">
        <v>42583</v>
      </c>
      <c r="L334" s="22" t="inlineStr">
        <is>
          <t>Northstar</t>
        </is>
      </c>
      <c r="M334" s="22" t="inlineStr">
        <is>
          <t>Active</t>
        </is>
      </c>
      <c r="N334" s="22" t="inlineStr">
        <is>
          <t>Staff</t>
        </is>
      </c>
      <c r="O334" s="22" t="inlineStr">
        <is>
          <t>No</t>
        </is>
      </c>
      <c r="P334" s="22" t="inlineStr">
        <is>
          <t>HRIS / KS-DL-1.2</t>
        </is>
      </c>
    </row>
    <row r="335">
      <c r="A335" s="22" t="inlineStr">
        <is>
          <t>E0332</t>
        </is>
      </c>
      <c r="B335" s="22" t="inlineStr">
        <is>
          <t>Greenville</t>
        </is>
      </c>
      <c r="C335" s="22" t="inlineStr">
        <is>
          <t>Midwest</t>
        </is>
      </c>
      <c r="D335" s="22" t="inlineStr">
        <is>
          <t>Technical</t>
        </is>
      </c>
      <c r="E335" s="22" t="inlineStr">
        <is>
          <t>EHS Compliance</t>
        </is>
      </c>
      <c r="F335" s="22" t="inlineStr">
        <is>
          <t>Yes</t>
        </is>
      </c>
      <c r="G335" s="234" t="n">
        <v>124</v>
      </c>
      <c r="H335" s="225" t="n">
        <v>0.05</v>
      </c>
      <c r="I335" s="225" t="n">
        <v>0.6900000000000001</v>
      </c>
      <c r="J335" s="225" t="n">
        <v>0.65</v>
      </c>
      <c r="K335" s="226" t="n">
        <v>42979</v>
      </c>
      <c r="L335" s="22" t="inlineStr">
        <is>
          <t>Delta</t>
        </is>
      </c>
      <c r="M335" s="22" t="inlineStr">
        <is>
          <t>Active</t>
        </is>
      </c>
      <c r="N335" s="22" t="inlineStr">
        <is>
          <t>Staff</t>
        </is>
      </c>
      <c r="O335" s="22" t="inlineStr">
        <is>
          <t>No</t>
        </is>
      </c>
      <c r="P335" s="22" t="inlineStr">
        <is>
          <t>HRIS / KS-DL-1.2</t>
        </is>
      </c>
    </row>
    <row r="336">
      <c r="A336" s="22" t="inlineStr">
        <is>
          <t>E0333</t>
        </is>
      </c>
      <c r="B336" s="22" t="inlineStr">
        <is>
          <t>Milwaukee</t>
        </is>
      </c>
      <c r="C336" s="22" t="inlineStr">
        <is>
          <t>Southeast</t>
        </is>
      </c>
      <c r="D336" s="22" t="inlineStr">
        <is>
          <t>Technical</t>
        </is>
      </c>
      <c r="E336" s="22" t="inlineStr">
        <is>
          <t>Industrial Hygiene</t>
        </is>
      </c>
      <c r="F336" s="22" t="inlineStr">
        <is>
          <t>Yes</t>
        </is>
      </c>
      <c r="G336" s="234" t="n">
        <v>141</v>
      </c>
      <c r="H336" s="225" t="n">
        <v>0.05</v>
      </c>
      <c r="I336" s="225" t="n">
        <v>0.76</v>
      </c>
      <c r="J336" s="225" t="n">
        <v>0.72</v>
      </c>
      <c r="K336" s="226" t="n">
        <v>43374</v>
      </c>
      <c r="L336" s="22" t="inlineStr">
        <is>
          <t>Meridian</t>
        </is>
      </c>
      <c r="M336" s="22" t="inlineStr">
        <is>
          <t>Active</t>
        </is>
      </c>
      <c r="N336" s="22" t="inlineStr">
        <is>
          <t>Staff</t>
        </is>
      </c>
      <c r="O336" s="22" t="inlineStr">
        <is>
          <t>No</t>
        </is>
      </c>
      <c r="P336" s="22" t="inlineStr">
        <is>
          <t>HRIS / KS-DL-1.2</t>
        </is>
      </c>
    </row>
    <row r="337">
      <c r="A337" s="22" t="inlineStr">
        <is>
          <t>E0334</t>
        </is>
      </c>
      <c r="B337" s="22" t="inlineStr">
        <is>
          <t>St. Louis</t>
        </is>
      </c>
      <c r="C337" s="22" t="inlineStr">
        <is>
          <t>Midwest</t>
        </is>
      </c>
      <c r="D337" s="22" t="inlineStr">
        <is>
          <t>Project Management</t>
        </is>
      </c>
      <c r="E337" s="22" t="inlineStr">
        <is>
          <t>Field Inspection</t>
        </is>
      </c>
      <c r="F337" s="22" t="inlineStr">
        <is>
          <t>Yes</t>
        </is>
      </c>
      <c r="G337" s="234" t="n">
        <v>68</v>
      </c>
      <c r="H337" s="225" t="n">
        <v>0.05</v>
      </c>
      <c r="I337" s="225" t="n">
        <v>0.8300000000000001</v>
      </c>
      <c r="J337" s="225" t="n">
        <v>0.79</v>
      </c>
      <c r="K337" s="226" t="n">
        <v>43770</v>
      </c>
      <c r="L337" s="22" t="inlineStr">
        <is>
          <t>Summit</t>
        </is>
      </c>
      <c r="M337" s="22" t="inlineStr">
        <is>
          <t>Active</t>
        </is>
      </c>
      <c r="N337" s="22" t="inlineStr">
        <is>
          <t>Staff</t>
        </is>
      </c>
      <c r="O337" s="22" t="inlineStr">
        <is>
          <t>No</t>
        </is>
      </c>
      <c r="P337" s="22" t="inlineStr">
        <is>
          <t>HRIS / KS-DL-1.2</t>
        </is>
      </c>
    </row>
    <row r="338">
      <c r="A338" s="22" t="inlineStr">
        <is>
          <t>E0335</t>
        </is>
      </c>
      <c r="B338" s="22" t="inlineStr">
        <is>
          <t>Richmond</t>
        </is>
      </c>
      <c r="C338" s="22" t="inlineStr">
        <is>
          <t>Midwest</t>
        </is>
      </c>
      <c r="D338" s="22" t="inlineStr">
        <is>
          <t>Corporate</t>
        </is>
      </c>
      <c r="E338" s="22" t="inlineStr">
        <is>
          <t>Permitting &amp; Advisory</t>
        </is>
      </c>
      <c r="F338" s="22" t="inlineStr">
        <is>
          <t>No</t>
        </is>
      </c>
      <c r="G338" s="234" t="n">
        <v>135</v>
      </c>
      <c r="H338" s="225" t="n">
        <v>0.15</v>
      </c>
      <c r="I338" s="225" t="n">
        <v>0</v>
      </c>
      <c r="J338" s="225" t="n">
        <v>0</v>
      </c>
      <c r="K338" s="226" t="n">
        <v>44166</v>
      </c>
      <c r="L338" s="22" t="inlineStr">
        <is>
          <t>Legacy Alderstone</t>
        </is>
      </c>
      <c r="M338" s="22" t="inlineStr">
        <is>
          <t>Active</t>
        </is>
      </c>
      <c r="N338" s="22" t="inlineStr">
        <is>
          <t>Staff</t>
        </is>
      </c>
      <c r="O338" s="22" t="inlineStr">
        <is>
          <t>No</t>
        </is>
      </c>
      <c r="P338" s="22" t="inlineStr">
        <is>
          <t>HRIS / KS-DL-1.2</t>
        </is>
      </c>
    </row>
    <row r="339">
      <c r="A339" s="22" t="inlineStr">
        <is>
          <t>E0336</t>
        </is>
      </c>
      <c r="B339" s="22" t="inlineStr">
        <is>
          <t>Indianapolis</t>
        </is>
      </c>
      <c r="C339" s="22" t="inlineStr">
        <is>
          <t>Southeast</t>
        </is>
      </c>
      <c r="D339" s="22" t="inlineStr">
        <is>
          <t>Sales</t>
        </is>
      </c>
      <c r="E339" s="22" t="inlineStr">
        <is>
          <t>EHS Compliance</t>
        </is>
      </c>
      <c r="F339" s="22" t="inlineStr">
        <is>
          <t>No</t>
        </is>
      </c>
      <c r="G339" s="234" t="n">
        <v>148</v>
      </c>
      <c r="H339" s="225" t="n">
        <v>0.15</v>
      </c>
      <c r="I339" s="225" t="n">
        <v>0</v>
      </c>
      <c r="J339" s="225" t="n">
        <v>0</v>
      </c>
      <c r="K339" s="226" t="n">
        <v>44197</v>
      </c>
      <c r="L339" s="22" t="inlineStr">
        <is>
          <t>Northstar</t>
        </is>
      </c>
      <c r="M339" s="22" t="inlineStr">
        <is>
          <t>Active</t>
        </is>
      </c>
      <c r="N339" s="22" t="inlineStr">
        <is>
          <t>Manager</t>
        </is>
      </c>
      <c r="O339" s="22" t="inlineStr">
        <is>
          <t>No</t>
        </is>
      </c>
      <c r="P339" s="22" t="inlineStr">
        <is>
          <t>HRIS / KS-DL-1.2</t>
        </is>
      </c>
    </row>
    <row r="340">
      <c r="A340" s="22" t="inlineStr">
        <is>
          <t>E0337</t>
        </is>
      </c>
      <c r="B340" s="22" t="inlineStr">
        <is>
          <t>Chicago</t>
        </is>
      </c>
      <c r="C340" s="22" t="inlineStr">
        <is>
          <t>Midwest</t>
        </is>
      </c>
      <c r="D340" s="22" t="inlineStr">
        <is>
          <t>Finance</t>
        </is>
      </c>
      <c r="E340" s="22" t="inlineStr">
        <is>
          <t>Industrial Hygiene</t>
        </is>
      </c>
      <c r="F340" s="22" t="inlineStr">
        <is>
          <t>No</t>
        </is>
      </c>
      <c r="G340" s="234" t="n">
        <v>161</v>
      </c>
      <c r="H340" s="225" t="n">
        <v>0.15</v>
      </c>
      <c r="I340" s="225" t="n">
        <v>0</v>
      </c>
      <c r="J340" s="225" t="n">
        <v>0</v>
      </c>
      <c r="K340" s="226" t="n">
        <v>44593</v>
      </c>
      <c r="L340" s="22" t="inlineStr">
        <is>
          <t>Delta</t>
        </is>
      </c>
      <c r="M340" s="22" t="inlineStr">
        <is>
          <t>Active</t>
        </is>
      </c>
      <c r="N340" s="22" t="inlineStr">
        <is>
          <t>Staff</t>
        </is>
      </c>
      <c r="O340" s="22" t="inlineStr">
        <is>
          <t>No</t>
        </is>
      </c>
      <c r="P340" s="22" t="inlineStr">
        <is>
          <t>HRIS / KS-DL-1.2</t>
        </is>
      </c>
    </row>
    <row r="341">
      <c r="A341" s="22" t="inlineStr">
        <is>
          <t>E0338</t>
        </is>
      </c>
      <c r="B341" s="22" t="inlineStr">
        <is>
          <t>Detroit</t>
        </is>
      </c>
      <c r="C341" s="22" t="inlineStr">
        <is>
          <t>Midwest</t>
        </is>
      </c>
      <c r="D341" s="22" t="inlineStr">
        <is>
          <t>HR</t>
        </is>
      </c>
      <c r="E341" s="22" t="inlineStr">
        <is>
          <t>Field Inspection</t>
        </is>
      </c>
      <c r="F341" s="22" t="inlineStr">
        <is>
          <t>No</t>
        </is>
      </c>
      <c r="G341" s="234" t="n">
        <v>174</v>
      </c>
      <c r="H341" s="225" t="n">
        <v>0.15</v>
      </c>
      <c r="I341" s="225" t="n">
        <v>0</v>
      </c>
      <c r="J341" s="225" t="n">
        <v>0</v>
      </c>
      <c r="K341" s="226" t="n">
        <v>44986</v>
      </c>
      <c r="L341" s="22" t="inlineStr">
        <is>
          <t>Meridian</t>
        </is>
      </c>
      <c r="M341" s="22" t="inlineStr">
        <is>
          <t>Active</t>
        </is>
      </c>
      <c r="N341" s="22" t="inlineStr">
        <is>
          <t>Staff</t>
        </is>
      </c>
      <c r="O341" s="22" t="inlineStr">
        <is>
          <t>No</t>
        </is>
      </c>
      <c r="P341" s="22" t="inlineStr">
        <is>
          <t>HRIS / KS-DL-1.2</t>
        </is>
      </c>
    </row>
    <row r="342">
      <c r="A342" s="22" t="inlineStr">
        <is>
          <t>E0339</t>
        </is>
      </c>
      <c r="B342" s="22" t="inlineStr">
        <is>
          <t>Louisville</t>
        </is>
      </c>
      <c r="C342" s="22" t="inlineStr">
        <is>
          <t>Southeast</t>
        </is>
      </c>
      <c r="D342" s="22" t="inlineStr">
        <is>
          <t>IT</t>
        </is>
      </c>
      <c r="E342" s="22" t="inlineStr">
        <is>
          <t>Permitting &amp; Advisory</t>
        </is>
      </c>
      <c r="F342" s="22" t="inlineStr">
        <is>
          <t>No</t>
        </is>
      </c>
      <c r="G342" s="234" t="n">
        <v>77</v>
      </c>
      <c r="H342" s="225" t="n">
        <v>0.15</v>
      </c>
      <c r="I342" s="225" t="n">
        <v>0</v>
      </c>
      <c r="J342" s="225" t="n">
        <v>0</v>
      </c>
      <c r="K342" s="226" t="n">
        <v>45383</v>
      </c>
      <c r="L342" s="22" t="inlineStr">
        <is>
          <t>Summit</t>
        </is>
      </c>
      <c r="M342" s="22" t="inlineStr">
        <is>
          <t>Active</t>
        </is>
      </c>
      <c r="N342" s="22" t="inlineStr">
        <is>
          <t>Staff</t>
        </is>
      </c>
      <c r="O342" s="22" t="inlineStr">
        <is>
          <t>No</t>
        </is>
      </c>
      <c r="P342" s="22" t="inlineStr">
        <is>
          <t>HRIS / KS-DL-1.2</t>
        </is>
      </c>
    </row>
    <row r="343">
      <c r="A343" s="22" t="inlineStr">
        <is>
          <t>E0340</t>
        </is>
      </c>
      <c r="B343" s="22" t="inlineStr">
        <is>
          <t>Nashville</t>
        </is>
      </c>
      <c r="C343" s="22" t="inlineStr">
        <is>
          <t>Midwest</t>
        </is>
      </c>
      <c r="D343" s="22" t="inlineStr">
        <is>
          <t>Technical</t>
        </is>
      </c>
      <c r="E343" s="22" t="inlineStr">
        <is>
          <t>EHS Compliance</t>
        </is>
      </c>
      <c r="F343" s="22" t="inlineStr">
        <is>
          <t>Yes</t>
        </is>
      </c>
      <c r="G343" s="234" t="n">
        <v>80</v>
      </c>
      <c r="H343" s="225" t="n">
        <v>0.05</v>
      </c>
      <c r="I343" s="225" t="n">
        <v>0.65</v>
      </c>
      <c r="J343" s="225" t="n">
        <v>0.61</v>
      </c>
      <c r="K343" s="226" t="n">
        <v>45778</v>
      </c>
      <c r="L343" s="22" t="inlineStr">
        <is>
          <t>Legacy Alderstone</t>
        </is>
      </c>
      <c r="M343" s="22" t="inlineStr">
        <is>
          <t>Active</t>
        </is>
      </c>
      <c r="N343" s="22" t="inlineStr">
        <is>
          <t>Staff</t>
        </is>
      </c>
      <c r="O343" s="22" t="inlineStr">
        <is>
          <t>No</t>
        </is>
      </c>
      <c r="P343" s="22" t="inlineStr">
        <is>
          <t>HRIS / KS-DL-1.2</t>
        </is>
      </c>
    </row>
    <row r="344">
      <c r="A344" s="22" t="inlineStr">
        <is>
          <t>E0341</t>
        </is>
      </c>
      <c r="B344" s="22" t="inlineStr">
        <is>
          <t>Raleigh</t>
        </is>
      </c>
      <c r="C344" s="22" t="inlineStr">
        <is>
          <t>Midwest</t>
        </is>
      </c>
      <c r="D344" s="22" t="inlineStr">
        <is>
          <t>Technical</t>
        </is>
      </c>
      <c r="E344" s="22" t="inlineStr">
        <is>
          <t>Industrial Hygiene</t>
        </is>
      </c>
      <c r="F344" s="22" t="inlineStr">
        <is>
          <t>Yes</t>
        </is>
      </c>
      <c r="G344" s="234" t="n">
        <v>97</v>
      </c>
      <c r="H344" s="225" t="n">
        <v>0.05</v>
      </c>
      <c r="I344" s="225" t="n">
        <v>0.7200000000000001</v>
      </c>
      <c r="J344" s="225" t="n">
        <v>0.68</v>
      </c>
      <c r="K344" s="226" t="n">
        <v>42156</v>
      </c>
      <c r="L344" s="22" t="inlineStr">
        <is>
          <t>Northstar</t>
        </is>
      </c>
      <c r="M344" s="22" t="inlineStr">
        <is>
          <t>Active</t>
        </is>
      </c>
      <c r="N344" s="22" t="inlineStr">
        <is>
          <t>Staff</t>
        </is>
      </c>
      <c r="O344" s="22" t="inlineStr">
        <is>
          <t>No</t>
        </is>
      </c>
      <c r="P344" s="22" t="inlineStr">
        <is>
          <t>HRIS / KS-DL-1.2</t>
        </is>
      </c>
    </row>
    <row r="345">
      <c r="A345" s="22" t="inlineStr">
        <is>
          <t>E0342</t>
        </is>
      </c>
      <c r="B345" s="22" t="inlineStr">
        <is>
          <t>Charlotte</t>
        </is>
      </c>
      <c r="C345" s="22" t="inlineStr">
        <is>
          <t>Southeast</t>
        </is>
      </c>
      <c r="D345" s="22" t="inlineStr">
        <is>
          <t>Technical</t>
        </is>
      </c>
      <c r="E345" s="22" t="inlineStr">
        <is>
          <t>Field Inspection</t>
        </is>
      </c>
      <c r="F345" s="22" t="inlineStr">
        <is>
          <t>Yes</t>
        </is>
      </c>
      <c r="G345" s="234" t="n">
        <v>114</v>
      </c>
      <c r="H345" s="225" t="n">
        <v>0.05</v>
      </c>
      <c r="I345" s="225" t="n">
        <v>0.79</v>
      </c>
      <c r="J345" s="225" t="n">
        <v>0.75</v>
      </c>
      <c r="K345" s="226" t="n">
        <v>42552</v>
      </c>
      <c r="L345" s="22" t="inlineStr">
        <is>
          <t>Delta</t>
        </is>
      </c>
      <c r="M345" s="22" t="inlineStr">
        <is>
          <t>Active</t>
        </is>
      </c>
      <c r="N345" s="22" t="inlineStr">
        <is>
          <t>Staff</t>
        </is>
      </c>
      <c r="O345" s="22" t="inlineStr">
        <is>
          <t>No</t>
        </is>
      </c>
      <c r="P345" s="22" t="inlineStr">
        <is>
          <t>HRIS / KS-DL-1.2</t>
        </is>
      </c>
    </row>
    <row r="346">
      <c r="A346" s="22" t="inlineStr">
        <is>
          <t>E0343</t>
        </is>
      </c>
      <c r="B346" s="22" t="inlineStr">
        <is>
          <t>Cincinnati</t>
        </is>
      </c>
      <c r="C346" s="22" t="inlineStr">
        <is>
          <t>Midwest</t>
        </is>
      </c>
      <c r="D346" s="22" t="inlineStr">
        <is>
          <t>Technical</t>
        </is>
      </c>
      <c r="E346" s="22" t="inlineStr">
        <is>
          <t>Permitting &amp; Advisory</t>
        </is>
      </c>
      <c r="F346" s="22" t="inlineStr">
        <is>
          <t>Yes</t>
        </is>
      </c>
      <c r="G346" s="234" t="n">
        <v>131</v>
      </c>
      <c r="H346" s="225" t="n">
        <v>0.05</v>
      </c>
      <c r="I346" s="225" t="n">
        <v>0.5600000000000001</v>
      </c>
      <c r="J346" s="225" t="n">
        <v>0.52</v>
      </c>
      <c r="K346" s="226" t="n">
        <v>42948</v>
      </c>
      <c r="L346" s="22" t="inlineStr">
        <is>
          <t>Meridian</t>
        </is>
      </c>
      <c r="M346" s="22" t="inlineStr">
        <is>
          <t>Active</t>
        </is>
      </c>
      <c r="N346" s="22" t="inlineStr">
        <is>
          <t>Staff</t>
        </is>
      </c>
      <c r="O346" s="22" t="inlineStr">
        <is>
          <t>No</t>
        </is>
      </c>
      <c r="P346" s="22" t="inlineStr">
        <is>
          <t>HRIS / KS-DL-1.2</t>
        </is>
      </c>
    </row>
    <row r="347">
      <c r="A347" s="22" t="inlineStr">
        <is>
          <t>E0344</t>
        </is>
      </c>
      <c r="B347" s="22" t="inlineStr">
        <is>
          <t>Columbus</t>
        </is>
      </c>
      <c r="C347" s="22" t="inlineStr">
        <is>
          <t>Midwest</t>
        </is>
      </c>
      <c r="D347" s="22" t="inlineStr">
        <is>
          <t>Project Management</t>
        </is>
      </c>
      <c r="E347" s="22" t="inlineStr">
        <is>
          <t>EHS Compliance</t>
        </is>
      </c>
      <c r="F347" s="22" t="inlineStr">
        <is>
          <t>Yes</t>
        </is>
      </c>
      <c r="G347" s="234" t="n">
        <v>148</v>
      </c>
      <c r="H347" s="225" t="n">
        <v>0.05</v>
      </c>
      <c r="I347" s="225" t="n">
        <v>0.63</v>
      </c>
      <c r="J347" s="225" t="n">
        <v>0.59</v>
      </c>
      <c r="K347" s="226" t="n">
        <v>43344</v>
      </c>
      <c r="L347" s="22" t="inlineStr">
        <is>
          <t>Summit</t>
        </is>
      </c>
      <c r="M347" s="22" t="inlineStr">
        <is>
          <t>Active</t>
        </is>
      </c>
      <c r="N347" s="22" t="inlineStr">
        <is>
          <t>Staff</t>
        </is>
      </c>
      <c r="O347" s="22" t="inlineStr">
        <is>
          <t>No</t>
        </is>
      </c>
      <c r="P347" s="22" t="inlineStr">
        <is>
          <t>HRIS / KS-DL-1.2</t>
        </is>
      </c>
    </row>
    <row r="348">
      <c r="A348" s="22" t="inlineStr">
        <is>
          <t>E0345</t>
        </is>
      </c>
      <c r="B348" s="22" t="inlineStr">
        <is>
          <t>Knoxville</t>
        </is>
      </c>
      <c r="C348" s="22" t="inlineStr">
        <is>
          <t>Southeast</t>
        </is>
      </c>
      <c r="D348" s="22" t="inlineStr">
        <is>
          <t>Corporate</t>
        </is>
      </c>
      <c r="E348" s="22" t="inlineStr">
        <is>
          <t>Industrial Hygiene</t>
        </is>
      </c>
      <c r="F348" s="22" t="inlineStr">
        <is>
          <t>No</t>
        </is>
      </c>
      <c r="G348" s="234" t="n">
        <v>155</v>
      </c>
      <c r="H348" s="225" t="n">
        <v>0.15</v>
      </c>
      <c r="I348" s="225" t="n">
        <v>0</v>
      </c>
      <c r="J348" s="225" t="n">
        <v>0</v>
      </c>
      <c r="K348" s="226" t="n">
        <v>43739</v>
      </c>
      <c r="L348" s="22" t="inlineStr">
        <is>
          <t>Legacy Alderstone</t>
        </is>
      </c>
      <c r="M348" s="22" t="inlineStr">
        <is>
          <t>Active</t>
        </is>
      </c>
      <c r="N348" s="22" t="inlineStr">
        <is>
          <t>Staff</t>
        </is>
      </c>
      <c r="O348" s="22" t="inlineStr">
        <is>
          <t>No</t>
        </is>
      </c>
      <c r="P348" s="22" t="inlineStr">
        <is>
          <t>HRIS / KS-DL-1.2</t>
        </is>
      </c>
    </row>
    <row r="349">
      <c r="A349" s="22" t="inlineStr">
        <is>
          <t>E0346</t>
        </is>
      </c>
      <c r="B349" s="22" t="inlineStr">
        <is>
          <t>Greenville</t>
        </is>
      </c>
      <c r="C349" s="22" t="inlineStr">
        <is>
          <t>Midwest</t>
        </is>
      </c>
      <c r="D349" s="22" t="inlineStr">
        <is>
          <t>Sales</t>
        </is>
      </c>
      <c r="E349" s="22" t="inlineStr">
        <is>
          <t>Field Inspection</t>
        </is>
      </c>
      <c r="F349" s="22" t="inlineStr">
        <is>
          <t>No</t>
        </is>
      </c>
      <c r="G349" s="234" t="n">
        <v>168</v>
      </c>
      <c r="H349" s="225" t="n">
        <v>0.15</v>
      </c>
      <c r="I349" s="225" t="n">
        <v>0</v>
      </c>
      <c r="J349" s="225" t="n">
        <v>0</v>
      </c>
      <c r="K349" s="226" t="n">
        <v>44136</v>
      </c>
      <c r="L349" s="22" t="inlineStr">
        <is>
          <t>Northstar</t>
        </is>
      </c>
      <c r="M349" s="22" t="inlineStr">
        <is>
          <t>Active</t>
        </is>
      </c>
      <c r="N349" s="22" t="inlineStr">
        <is>
          <t>Staff</t>
        </is>
      </c>
      <c r="O349" s="22" t="inlineStr">
        <is>
          <t>No</t>
        </is>
      </c>
      <c r="P349" s="22" t="inlineStr">
        <is>
          <t>HRIS / KS-DL-1.2</t>
        </is>
      </c>
    </row>
    <row r="350">
      <c r="A350" s="22" t="inlineStr">
        <is>
          <t>E0347</t>
        </is>
      </c>
      <c r="B350" s="22" t="inlineStr">
        <is>
          <t>Milwaukee</t>
        </is>
      </c>
      <c r="C350" s="22" t="inlineStr">
        <is>
          <t>Midwest</t>
        </is>
      </c>
      <c r="D350" s="22" t="inlineStr">
        <is>
          <t>Finance</t>
        </is>
      </c>
      <c r="E350" s="22" t="inlineStr">
        <is>
          <t>Permitting &amp; Advisory</t>
        </is>
      </c>
      <c r="F350" s="22" t="inlineStr">
        <is>
          <t>No</t>
        </is>
      </c>
      <c r="G350" s="234" t="n">
        <v>71</v>
      </c>
      <c r="H350" s="225" t="n">
        <v>0.15</v>
      </c>
      <c r="I350" s="225" t="n">
        <v>0</v>
      </c>
      <c r="J350" s="225" t="n">
        <v>0</v>
      </c>
      <c r="K350" s="226" t="n">
        <v>44531</v>
      </c>
      <c r="L350" s="22" t="inlineStr">
        <is>
          <t>Delta</t>
        </is>
      </c>
      <c r="M350" s="22" t="inlineStr">
        <is>
          <t>Active</t>
        </is>
      </c>
      <c r="N350" s="22" t="inlineStr">
        <is>
          <t>Staff</t>
        </is>
      </c>
      <c r="O350" s="22" t="inlineStr">
        <is>
          <t>No</t>
        </is>
      </c>
      <c r="P350" s="22" t="inlineStr">
        <is>
          <t>HRIS / KS-DL-1.2</t>
        </is>
      </c>
    </row>
    <row r="351">
      <c r="A351" s="22" t="inlineStr">
        <is>
          <t>E0348</t>
        </is>
      </c>
      <c r="B351" s="22" t="inlineStr">
        <is>
          <t>St. Louis</t>
        </is>
      </c>
      <c r="C351" s="22" t="inlineStr">
        <is>
          <t>Southeast</t>
        </is>
      </c>
      <c r="D351" s="22" t="inlineStr">
        <is>
          <t>HR</t>
        </is>
      </c>
      <c r="E351" s="22" t="inlineStr">
        <is>
          <t>EHS Compliance</t>
        </is>
      </c>
      <c r="F351" s="22" t="inlineStr">
        <is>
          <t>No</t>
        </is>
      </c>
      <c r="G351" s="234" t="n">
        <v>84</v>
      </c>
      <c r="H351" s="225" t="n">
        <v>0.15</v>
      </c>
      <c r="I351" s="225" t="n">
        <v>0</v>
      </c>
      <c r="J351" s="225" t="n">
        <v>0</v>
      </c>
      <c r="K351" s="226" t="n">
        <v>44562</v>
      </c>
      <c r="L351" s="22" t="inlineStr">
        <is>
          <t>Meridian</t>
        </is>
      </c>
      <c r="M351" s="22" t="inlineStr">
        <is>
          <t>Active</t>
        </is>
      </c>
      <c r="N351" s="22" t="inlineStr">
        <is>
          <t>Manager</t>
        </is>
      </c>
      <c r="O351" s="22" t="inlineStr">
        <is>
          <t>Yes</t>
        </is>
      </c>
      <c r="P351" s="22" t="inlineStr">
        <is>
          <t>HRIS / KS-DL-1.2</t>
        </is>
      </c>
    </row>
    <row r="352">
      <c r="A352" s="22" t="inlineStr">
        <is>
          <t>E0349</t>
        </is>
      </c>
      <c r="B352" s="22" t="inlineStr">
        <is>
          <t>Richmond</t>
        </is>
      </c>
      <c r="C352" s="22" t="inlineStr">
        <is>
          <t>Midwest</t>
        </is>
      </c>
      <c r="D352" s="22" t="inlineStr">
        <is>
          <t>IT</t>
        </is>
      </c>
      <c r="E352" s="22" t="inlineStr">
        <is>
          <t>Industrial Hygiene</t>
        </is>
      </c>
      <c r="F352" s="22" t="inlineStr">
        <is>
          <t>No</t>
        </is>
      </c>
      <c r="G352" s="234" t="n">
        <v>97</v>
      </c>
      <c r="H352" s="225" t="n">
        <v>0.15</v>
      </c>
      <c r="I352" s="225" t="n">
        <v>0</v>
      </c>
      <c r="J352" s="225" t="n">
        <v>0</v>
      </c>
      <c r="K352" s="226" t="n">
        <v>44958</v>
      </c>
      <c r="L352" s="22" t="inlineStr">
        <is>
          <t>Summit</t>
        </is>
      </c>
      <c r="M352" s="22" t="inlineStr">
        <is>
          <t>Active</t>
        </is>
      </c>
      <c r="N352" s="22" t="inlineStr">
        <is>
          <t>Staff</t>
        </is>
      </c>
      <c r="O352" s="22" t="inlineStr">
        <is>
          <t>No</t>
        </is>
      </c>
      <c r="P352" s="22" t="inlineStr">
        <is>
          <t>HRIS / KS-DL-1.2</t>
        </is>
      </c>
    </row>
    <row r="353">
      <c r="A353" s="22" t="inlineStr">
        <is>
          <t>E0350</t>
        </is>
      </c>
      <c r="B353" s="22" t="inlineStr">
        <is>
          <t>Indianapolis</t>
        </is>
      </c>
      <c r="C353" s="22" t="inlineStr">
        <is>
          <t>Midwest</t>
        </is>
      </c>
      <c r="D353" s="22" t="inlineStr">
        <is>
          <t>Technical</t>
        </is>
      </c>
      <c r="E353" s="22" t="inlineStr">
        <is>
          <t>Field Inspection</t>
        </is>
      </c>
      <c r="F353" s="22" t="inlineStr">
        <is>
          <t>Yes</t>
        </is>
      </c>
      <c r="G353" s="234" t="n">
        <v>70</v>
      </c>
      <c r="H353" s="225" t="n">
        <v>0.05</v>
      </c>
      <c r="I353" s="225" t="n">
        <v>0.75</v>
      </c>
      <c r="J353" s="225" t="n">
        <v>0.71</v>
      </c>
      <c r="K353" s="226" t="n">
        <v>45352</v>
      </c>
      <c r="L353" s="22" t="inlineStr">
        <is>
          <t>Legacy Alderstone</t>
        </is>
      </c>
      <c r="M353" s="22" t="inlineStr">
        <is>
          <t>Active</t>
        </is>
      </c>
      <c r="N353" s="22" t="inlineStr">
        <is>
          <t>Staff</t>
        </is>
      </c>
      <c r="O353" s="22" t="inlineStr">
        <is>
          <t>No</t>
        </is>
      </c>
      <c r="P353" s="22" t="inlineStr">
        <is>
          <t>HRIS / KS-DL-1.2</t>
        </is>
      </c>
    </row>
    <row r="354">
      <c r="A354" s="22" t="inlineStr">
        <is>
          <t>E0351</t>
        </is>
      </c>
      <c r="B354" s="22" t="inlineStr">
        <is>
          <t>Chicago</t>
        </is>
      </c>
      <c r="C354" s="22" t="inlineStr">
        <is>
          <t>Southeast</t>
        </is>
      </c>
      <c r="D354" s="22" t="inlineStr">
        <is>
          <t>Technical</t>
        </is>
      </c>
      <c r="E354" s="22" t="inlineStr">
        <is>
          <t>Permitting &amp; Advisory</t>
        </is>
      </c>
      <c r="F354" s="22" t="inlineStr">
        <is>
          <t>Yes</t>
        </is>
      </c>
      <c r="G354" s="234" t="n">
        <v>87</v>
      </c>
      <c r="H354" s="225" t="n">
        <v>0.05</v>
      </c>
      <c r="I354" s="225" t="n">
        <v>0.8200000000000001</v>
      </c>
      <c r="J354" s="225" t="n">
        <v>0.78</v>
      </c>
      <c r="K354" s="226" t="n">
        <v>45748</v>
      </c>
      <c r="L354" s="22" t="inlineStr">
        <is>
          <t>Northstar</t>
        </is>
      </c>
      <c r="M354" s="22" t="inlineStr">
        <is>
          <t>Active</t>
        </is>
      </c>
      <c r="N354" s="22" t="inlineStr">
        <is>
          <t>Staff</t>
        </is>
      </c>
      <c r="O354" s="22" t="inlineStr">
        <is>
          <t>No</t>
        </is>
      </c>
      <c r="P354" s="22" t="inlineStr">
        <is>
          <t>HRIS / KS-DL-1.2</t>
        </is>
      </c>
    </row>
    <row r="355">
      <c r="A355" s="22" t="inlineStr">
        <is>
          <t>E0352</t>
        </is>
      </c>
      <c r="B355" s="22" t="inlineStr">
        <is>
          <t>Detroit</t>
        </is>
      </c>
      <c r="C355" s="22" t="inlineStr">
        <is>
          <t>Midwest</t>
        </is>
      </c>
      <c r="D355" s="22" t="inlineStr">
        <is>
          <t>Technical</t>
        </is>
      </c>
      <c r="E355" s="22" t="inlineStr">
        <is>
          <t>EHS Compliance</t>
        </is>
      </c>
      <c r="F355" s="22" t="inlineStr">
        <is>
          <t>Yes</t>
        </is>
      </c>
      <c r="G355" s="234" t="n">
        <v>104</v>
      </c>
      <c r="H355" s="225" t="n">
        <v>0.05</v>
      </c>
      <c r="I355" s="225" t="n">
        <v>0.5900000000000001</v>
      </c>
      <c r="J355" s="225" t="n">
        <v>0.55</v>
      </c>
      <c r="K355" s="226" t="n">
        <v>42125</v>
      </c>
      <c r="L355" s="22" t="inlineStr">
        <is>
          <t>Delta</t>
        </is>
      </c>
      <c r="M355" s="22" t="inlineStr">
        <is>
          <t>Active</t>
        </is>
      </c>
      <c r="N355" s="22" t="inlineStr">
        <is>
          <t>Staff</t>
        </is>
      </c>
      <c r="O355" s="22" t="inlineStr">
        <is>
          <t>No</t>
        </is>
      </c>
      <c r="P355" s="22" t="inlineStr">
        <is>
          <t>HRIS / KS-DL-1.2</t>
        </is>
      </c>
    </row>
    <row r="356">
      <c r="A356" s="22" t="inlineStr">
        <is>
          <t>E0353</t>
        </is>
      </c>
      <c r="B356" s="22" t="inlineStr">
        <is>
          <t>Louisville</t>
        </is>
      </c>
      <c r="C356" s="22" t="inlineStr">
        <is>
          <t>Midwest</t>
        </is>
      </c>
      <c r="D356" s="22" t="inlineStr">
        <is>
          <t>Technical</t>
        </is>
      </c>
      <c r="E356" s="22" t="inlineStr">
        <is>
          <t>Industrial Hygiene</t>
        </is>
      </c>
      <c r="F356" s="22" t="inlineStr">
        <is>
          <t>Yes</t>
        </is>
      </c>
      <c r="G356" s="234" t="n">
        <v>121</v>
      </c>
      <c r="H356" s="225" t="n">
        <v>0.05</v>
      </c>
      <c r="I356" s="225" t="n">
        <v>0.66</v>
      </c>
      <c r="J356" s="225" t="n">
        <v>0.62</v>
      </c>
      <c r="K356" s="226" t="n">
        <v>42522</v>
      </c>
      <c r="L356" s="22" t="inlineStr">
        <is>
          <t>Meridian</t>
        </is>
      </c>
      <c r="M356" s="22" t="inlineStr">
        <is>
          <t>Active</t>
        </is>
      </c>
      <c r="N356" s="22" t="inlineStr">
        <is>
          <t>Staff</t>
        </is>
      </c>
      <c r="O356" s="22" t="inlineStr">
        <is>
          <t>No</t>
        </is>
      </c>
      <c r="P356" s="22" t="inlineStr">
        <is>
          <t>HRIS / KS-DL-1.2</t>
        </is>
      </c>
    </row>
    <row r="357">
      <c r="A357" s="22" t="inlineStr">
        <is>
          <t>E0354</t>
        </is>
      </c>
      <c r="B357" s="22" t="inlineStr">
        <is>
          <t>Nashville</t>
        </is>
      </c>
      <c r="C357" s="22" t="inlineStr">
        <is>
          <t>Southeast</t>
        </is>
      </c>
      <c r="D357" s="22" t="inlineStr">
        <is>
          <t>Project Management</t>
        </is>
      </c>
      <c r="E357" s="22" t="inlineStr">
        <is>
          <t>Field Inspection</t>
        </is>
      </c>
      <c r="F357" s="22" t="inlineStr">
        <is>
          <t>Yes</t>
        </is>
      </c>
      <c r="G357" s="234" t="n">
        <v>138</v>
      </c>
      <c r="H357" s="225" t="n">
        <v>0.05</v>
      </c>
      <c r="I357" s="225" t="n">
        <v>0.73</v>
      </c>
      <c r="J357" s="225" t="n">
        <v>0.6899999999999999</v>
      </c>
      <c r="K357" s="226" t="n">
        <v>42917</v>
      </c>
      <c r="L357" s="22" t="inlineStr">
        <is>
          <t>Summit</t>
        </is>
      </c>
      <c r="M357" s="22" t="inlineStr">
        <is>
          <t>Active</t>
        </is>
      </c>
      <c r="N357" s="22" t="inlineStr">
        <is>
          <t>Staff</t>
        </is>
      </c>
      <c r="O357" s="22" t="inlineStr">
        <is>
          <t>No</t>
        </is>
      </c>
      <c r="P357" s="22" t="inlineStr">
        <is>
          <t>HRIS / KS-DL-1.2</t>
        </is>
      </c>
    </row>
    <row r="358">
      <c r="A358" s="22" t="inlineStr">
        <is>
          <t>E0355</t>
        </is>
      </c>
      <c r="B358" s="22" t="inlineStr">
        <is>
          <t>Raleigh</t>
        </is>
      </c>
      <c r="C358" s="22" t="inlineStr">
        <is>
          <t>Midwest</t>
        </is>
      </c>
      <c r="D358" s="22" t="inlineStr">
        <is>
          <t>Corporate</t>
        </is>
      </c>
      <c r="E358" s="22" t="inlineStr">
        <is>
          <t>Permitting &amp; Advisory</t>
        </is>
      </c>
      <c r="F358" s="22" t="inlineStr">
        <is>
          <t>No</t>
        </is>
      </c>
      <c r="G358" s="234" t="n">
        <v>175</v>
      </c>
      <c r="H358" s="225" t="n">
        <v>0.15</v>
      </c>
      <c r="I358" s="225" t="n">
        <v>0</v>
      </c>
      <c r="J358" s="225" t="n">
        <v>0</v>
      </c>
      <c r="K358" s="226" t="n">
        <v>43313</v>
      </c>
      <c r="L358" s="22" t="inlineStr">
        <is>
          <t>Legacy Alderstone</t>
        </is>
      </c>
      <c r="M358" s="22" t="inlineStr">
        <is>
          <t>Active</t>
        </is>
      </c>
      <c r="N358" s="22" t="inlineStr">
        <is>
          <t>Staff</t>
        </is>
      </c>
      <c r="O358" s="22" t="inlineStr">
        <is>
          <t>No</t>
        </is>
      </c>
      <c r="P358" s="22" t="inlineStr">
        <is>
          <t>HRIS / KS-DL-1.2</t>
        </is>
      </c>
    </row>
    <row r="359">
      <c r="A359" s="22" t="inlineStr">
        <is>
          <t>E0356</t>
        </is>
      </c>
      <c r="B359" s="22" t="inlineStr">
        <is>
          <t>Charlotte</t>
        </is>
      </c>
      <c r="C359" s="22" t="inlineStr">
        <is>
          <t>Midwest</t>
        </is>
      </c>
      <c r="D359" s="22" t="inlineStr">
        <is>
          <t>Sales</t>
        </is>
      </c>
      <c r="E359" s="22" t="inlineStr">
        <is>
          <t>EHS Compliance</t>
        </is>
      </c>
      <c r="F359" s="22" t="inlineStr">
        <is>
          <t>No</t>
        </is>
      </c>
      <c r="G359" s="234" t="n">
        <v>78</v>
      </c>
      <c r="H359" s="225" t="n">
        <v>0.15</v>
      </c>
      <c r="I359" s="225" t="n">
        <v>0</v>
      </c>
      <c r="J359" s="225" t="n">
        <v>0</v>
      </c>
      <c r="K359" s="226" t="n">
        <v>43709</v>
      </c>
      <c r="L359" s="22" t="inlineStr">
        <is>
          <t>Northstar</t>
        </is>
      </c>
      <c r="M359" s="22" t="inlineStr">
        <is>
          <t>Active</t>
        </is>
      </c>
      <c r="N359" s="22" t="inlineStr">
        <is>
          <t>Staff</t>
        </is>
      </c>
      <c r="O359" s="22" t="inlineStr">
        <is>
          <t>No</t>
        </is>
      </c>
      <c r="P359" s="22" t="inlineStr">
        <is>
          <t>HRIS / KS-DL-1.2</t>
        </is>
      </c>
    </row>
    <row r="360">
      <c r="A360" s="22" t="inlineStr">
        <is>
          <t>E0357</t>
        </is>
      </c>
      <c r="B360" s="22" t="inlineStr">
        <is>
          <t>Cincinnati</t>
        </is>
      </c>
      <c r="C360" s="22" t="inlineStr">
        <is>
          <t>Southeast</t>
        </is>
      </c>
      <c r="D360" s="22" t="inlineStr">
        <is>
          <t>Finance</t>
        </is>
      </c>
      <c r="E360" s="22" t="inlineStr">
        <is>
          <t>Industrial Hygiene</t>
        </is>
      </c>
      <c r="F360" s="22" t="inlineStr">
        <is>
          <t>No</t>
        </is>
      </c>
      <c r="G360" s="234" t="n">
        <v>91</v>
      </c>
      <c r="H360" s="225" t="n">
        <v>0.15</v>
      </c>
      <c r="I360" s="225" t="n">
        <v>0</v>
      </c>
      <c r="J360" s="225" t="n">
        <v>0</v>
      </c>
      <c r="K360" s="226" t="n">
        <v>44105</v>
      </c>
      <c r="L360" s="22" t="inlineStr">
        <is>
          <t>Delta</t>
        </is>
      </c>
      <c r="M360" s="22" t="inlineStr">
        <is>
          <t>Active</t>
        </is>
      </c>
      <c r="N360" s="22" t="inlineStr">
        <is>
          <t>Staff</t>
        </is>
      </c>
      <c r="O360" s="22" t="inlineStr">
        <is>
          <t>No</t>
        </is>
      </c>
      <c r="P360" s="22" t="inlineStr">
        <is>
          <t>HRIS / KS-DL-1.2</t>
        </is>
      </c>
    </row>
    <row r="361">
      <c r="A361" s="22" t="inlineStr">
        <is>
          <t>E0358</t>
        </is>
      </c>
      <c r="B361" s="22" t="inlineStr">
        <is>
          <t>Columbus</t>
        </is>
      </c>
      <c r="C361" s="22" t="inlineStr">
        <is>
          <t>Midwest</t>
        </is>
      </c>
      <c r="D361" s="22" t="inlineStr">
        <is>
          <t>HR</t>
        </is>
      </c>
      <c r="E361" s="22" t="inlineStr">
        <is>
          <t>Field Inspection</t>
        </is>
      </c>
      <c r="F361" s="22" t="inlineStr">
        <is>
          <t>No</t>
        </is>
      </c>
      <c r="G361" s="234" t="n">
        <v>104</v>
      </c>
      <c r="H361" s="225" t="n">
        <v>0.15</v>
      </c>
      <c r="I361" s="225" t="n">
        <v>0</v>
      </c>
      <c r="J361" s="225" t="n">
        <v>0</v>
      </c>
      <c r="K361" s="226" t="n">
        <v>44501</v>
      </c>
      <c r="L361" s="22" t="inlineStr">
        <is>
          <t>Meridian</t>
        </is>
      </c>
      <c r="M361" s="22" t="inlineStr">
        <is>
          <t>Active</t>
        </is>
      </c>
      <c r="N361" s="22" t="inlineStr">
        <is>
          <t>Staff</t>
        </is>
      </c>
      <c r="O361" s="22" t="inlineStr">
        <is>
          <t>No</t>
        </is>
      </c>
      <c r="P361" s="22" t="inlineStr">
        <is>
          <t>HRIS / KS-DL-1.2</t>
        </is>
      </c>
    </row>
    <row r="362">
      <c r="A362" s="22" t="inlineStr">
        <is>
          <t>E0359</t>
        </is>
      </c>
      <c r="B362" s="22" t="inlineStr">
        <is>
          <t>Knoxville</t>
        </is>
      </c>
      <c r="C362" s="22" t="inlineStr">
        <is>
          <t>Midwest</t>
        </is>
      </c>
      <c r="D362" s="22" t="inlineStr">
        <is>
          <t>IT</t>
        </is>
      </c>
      <c r="E362" s="22" t="inlineStr">
        <is>
          <t>Permitting &amp; Advisory</t>
        </is>
      </c>
      <c r="F362" s="22" t="inlineStr">
        <is>
          <t>No</t>
        </is>
      </c>
      <c r="G362" s="234" t="n">
        <v>117</v>
      </c>
      <c r="H362" s="225" t="n">
        <v>0.15</v>
      </c>
      <c r="I362" s="225" t="n">
        <v>0</v>
      </c>
      <c r="J362" s="225" t="n">
        <v>0</v>
      </c>
      <c r="K362" s="226" t="n">
        <v>44896</v>
      </c>
      <c r="L362" s="22" t="inlineStr">
        <is>
          <t>Summit</t>
        </is>
      </c>
      <c r="M362" s="22" t="inlineStr">
        <is>
          <t>Active</t>
        </is>
      </c>
      <c r="N362" s="22" t="inlineStr">
        <is>
          <t>Staff</t>
        </is>
      </c>
      <c r="O362" s="22" t="inlineStr">
        <is>
          <t>No</t>
        </is>
      </c>
      <c r="P362" s="22" t="inlineStr">
        <is>
          <t>HRIS / KS-DL-1.2</t>
        </is>
      </c>
    </row>
    <row r="363">
      <c r="A363" s="22" t="inlineStr">
        <is>
          <t>E0360</t>
        </is>
      </c>
      <c r="B363" s="22" t="inlineStr">
        <is>
          <t>Greenville</t>
        </is>
      </c>
      <c r="C363" s="22" t="inlineStr">
        <is>
          <t>Southeast</t>
        </is>
      </c>
      <c r="D363" s="22" t="inlineStr">
        <is>
          <t>Technical</t>
        </is>
      </c>
      <c r="E363" s="22" t="inlineStr">
        <is>
          <t>EHS Compliance</t>
        </is>
      </c>
      <c r="F363" s="22" t="inlineStr">
        <is>
          <t>Yes</t>
        </is>
      </c>
      <c r="G363" s="234" t="n">
        <v>60</v>
      </c>
      <c r="H363" s="225" t="n">
        <v>0.05</v>
      </c>
      <c r="I363" s="225" t="n">
        <v>0.55</v>
      </c>
      <c r="J363" s="225" t="n">
        <v>0.51</v>
      </c>
      <c r="K363" s="226" t="n">
        <v>44927</v>
      </c>
      <c r="L363" s="22" t="inlineStr">
        <is>
          <t>Legacy Alderstone</t>
        </is>
      </c>
      <c r="M363" s="22" t="inlineStr">
        <is>
          <t>Active</t>
        </is>
      </c>
      <c r="N363" s="22" t="inlineStr">
        <is>
          <t>Manager</t>
        </is>
      </c>
      <c r="O363" s="22" t="inlineStr">
        <is>
          <t>No</t>
        </is>
      </c>
      <c r="P363" s="22" t="inlineStr">
        <is>
          <t>HRIS / KS-DL-1.2</t>
        </is>
      </c>
    </row>
    <row r="364">
      <c r="A364" s="22" t="inlineStr">
        <is>
          <t>E0361</t>
        </is>
      </c>
      <c r="B364" s="22" t="inlineStr">
        <is>
          <t>Milwaukee</t>
        </is>
      </c>
      <c r="C364" s="22" t="inlineStr">
        <is>
          <t>Midwest</t>
        </is>
      </c>
      <c r="D364" s="22" t="inlineStr">
        <is>
          <t>Technical</t>
        </is>
      </c>
      <c r="E364" s="22" t="inlineStr">
        <is>
          <t>Industrial Hygiene</t>
        </is>
      </c>
      <c r="F364" s="22" t="inlineStr">
        <is>
          <t>Yes</t>
        </is>
      </c>
      <c r="G364" s="234" t="n">
        <v>77</v>
      </c>
      <c r="H364" s="225" t="n">
        <v>0.05</v>
      </c>
      <c r="I364" s="225" t="n">
        <v>0.6200000000000001</v>
      </c>
      <c r="J364" s="225" t="n">
        <v>0.5800000000000001</v>
      </c>
      <c r="K364" s="226" t="n">
        <v>45323</v>
      </c>
      <c r="L364" s="22" t="inlineStr">
        <is>
          <t>Northstar</t>
        </is>
      </c>
      <c r="M364" s="22" t="inlineStr">
        <is>
          <t>Active</t>
        </is>
      </c>
      <c r="N364" s="22" t="inlineStr">
        <is>
          <t>Staff</t>
        </is>
      </c>
      <c r="O364" s="22" t="inlineStr">
        <is>
          <t>No</t>
        </is>
      </c>
      <c r="P364" s="22" t="inlineStr">
        <is>
          <t>HRIS / KS-DL-1.2</t>
        </is>
      </c>
    </row>
    <row r="365">
      <c r="A365" s="22" t="inlineStr">
        <is>
          <t>E0362</t>
        </is>
      </c>
      <c r="B365" s="22" t="inlineStr">
        <is>
          <t>St. Louis</t>
        </is>
      </c>
      <c r="C365" s="22" t="inlineStr">
        <is>
          <t>Midwest</t>
        </is>
      </c>
      <c r="D365" s="22" t="inlineStr">
        <is>
          <t>Technical</t>
        </is>
      </c>
      <c r="E365" s="22" t="inlineStr">
        <is>
          <t>Field Inspection</t>
        </is>
      </c>
      <c r="F365" s="22" t="inlineStr">
        <is>
          <t>Yes</t>
        </is>
      </c>
      <c r="G365" s="234" t="n">
        <v>94</v>
      </c>
      <c r="H365" s="225" t="n">
        <v>0.05</v>
      </c>
      <c r="I365" s="225" t="n">
        <v>0.6900000000000001</v>
      </c>
      <c r="J365" s="225" t="n">
        <v>0.65</v>
      </c>
      <c r="K365" s="226" t="n">
        <v>45717</v>
      </c>
      <c r="L365" s="22" t="inlineStr">
        <is>
          <t>Delta</t>
        </is>
      </c>
      <c r="M365" s="22" t="inlineStr">
        <is>
          <t>Active</t>
        </is>
      </c>
      <c r="N365" s="22" t="inlineStr">
        <is>
          <t>Staff</t>
        </is>
      </c>
      <c r="O365" s="22" t="inlineStr">
        <is>
          <t>No</t>
        </is>
      </c>
      <c r="P365" s="22" t="inlineStr">
        <is>
          <t>HRIS / KS-DL-1.2</t>
        </is>
      </c>
    </row>
    <row r="366">
      <c r="A366" s="22" t="inlineStr">
        <is>
          <t>E0363</t>
        </is>
      </c>
      <c r="B366" s="22" t="inlineStr">
        <is>
          <t>Richmond</t>
        </is>
      </c>
      <c r="C366" s="22" t="inlineStr">
        <is>
          <t>Southeast</t>
        </is>
      </c>
      <c r="D366" s="22" t="inlineStr">
        <is>
          <t>Technical</t>
        </is>
      </c>
      <c r="E366" s="22" t="inlineStr">
        <is>
          <t>Permitting &amp; Advisory</t>
        </is>
      </c>
      <c r="F366" s="22" t="inlineStr">
        <is>
          <t>Yes</t>
        </is>
      </c>
      <c r="G366" s="234" t="n">
        <v>111</v>
      </c>
      <c r="H366" s="225" t="n">
        <v>0.05</v>
      </c>
      <c r="I366" s="225" t="n">
        <v>0.76</v>
      </c>
      <c r="J366" s="225" t="n">
        <v>0.72</v>
      </c>
      <c r="K366" s="226" t="n">
        <v>42095</v>
      </c>
      <c r="L366" s="22" t="inlineStr">
        <is>
          <t>Meridian</t>
        </is>
      </c>
      <c r="M366" s="22" t="inlineStr">
        <is>
          <t>Active</t>
        </is>
      </c>
      <c r="N366" s="22" t="inlineStr">
        <is>
          <t>Staff</t>
        </is>
      </c>
      <c r="O366" s="22" t="inlineStr">
        <is>
          <t>No</t>
        </is>
      </c>
      <c r="P366" s="22" t="inlineStr">
        <is>
          <t>HRIS / KS-DL-1.2</t>
        </is>
      </c>
    </row>
    <row r="367">
      <c r="A367" s="22" t="inlineStr">
        <is>
          <t>E0364</t>
        </is>
      </c>
      <c r="B367" s="22" t="inlineStr">
        <is>
          <t>Indianapolis</t>
        </is>
      </c>
      <c r="C367" s="22" t="inlineStr">
        <is>
          <t>Midwest</t>
        </is>
      </c>
      <c r="D367" s="22" t="inlineStr">
        <is>
          <t>Project Management</t>
        </is>
      </c>
      <c r="E367" s="22" t="inlineStr">
        <is>
          <t>EHS Compliance</t>
        </is>
      </c>
      <c r="F367" s="22" t="inlineStr">
        <is>
          <t>Yes</t>
        </is>
      </c>
      <c r="G367" s="234" t="n">
        <v>128</v>
      </c>
      <c r="H367" s="225" t="n">
        <v>0.05</v>
      </c>
      <c r="I367" s="225" t="n">
        <v>0.8300000000000001</v>
      </c>
      <c r="J367" s="225" t="n">
        <v>0.79</v>
      </c>
      <c r="K367" s="226" t="n">
        <v>42491</v>
      </c>
      <c r="L367" s="22" t="inlineStr">
        <is>
          <t>Summit</t>
        </is>
      </c>
      <c r="M367" s="22" t="inlineStr">
        <is>
          <t>Active</t>
        </is>
      </c>
      <c r="N367" s="22" t="inlineStr">
        <is>
          <t>Staff</t>
        </is>
      </c>
      <c r="O367" s="22" t="inlineStr">
        <is>
          <t>No</t>
        </is>
      </c>
      <c r="P367" s="22" t="inlineStr">
        <is>
          <t>HRIS / KS-DL-1.2</t>
        </is>
      </c>
    </row>
    <row r="368">
      <c r="A368" s="22" t="inlineStr">
        <is>
          <t>E0365</t>
        </is>
      </c>
      <c r="B368" s="22" t="inlineStr">
        <is>
          <t>Chicago</t>
        </is>
      </c>
      <c r="C368" s="22" t="inlineStr">
        <is>
          <t>Midwest</t>
        </is>
      </c>
      <c r="D368" s="22" t="inlineStr">
        <is>
          <t>Corporate</t>
        </is>
      </c>
      <c r="E368" s="22" t="inlineStr">
        <is>
          <t>Industrial Hygiene</t>
        </is>
      </c>
      <c r="F368" s="22" t="inlineStr">
        <is>
          <t>No</t>
        </is>
      </c>
      <c r="G368" s="234" t="n">
        <v>85</v>
      </c>
      <c r="H368" s="225" t="n">
        <v>0.15</v>
      </c>
      <c r="I368" s="225" t="n">
        <v>0</v>
      </c>
      <c r="J368" s="225" t="n">
        <v>0</v>
      </c>
      <c r="K368" s="226" t="n">
        <v>42887</v>
      </c>
      <c r="L368" s="22" t="inlineStr">
        <is>
          <t>Legacy Alderstone</t>
        </is>
      </c>
      <c r="M368" s="22" t="inlineStr">
        <is>
          <t>Active</t>
        </is>
      </c>
      <c r="N368" s="22" t="inlineStr">
        <is>
          <t>Staff</t>
        </is>
      </c>
      <c r="O368" s="22" t="inlineStr">
        <is>
          <t>No</t>
        </is>
      </c>
      <c r="P368" s="22" t="inlineStr">
        <is>
          <t>HRIS / KS-DL-1.2</t>
        </is>
      </c>
    </row>
    <row r="369">
      <c r="A369" s="22" t="inlineStr">
        <is>
          <t>E0366</t>
        </is>
      </c>
      <c r="B369" s="22" t="inlineStr">
        <is>
          <t>Detroit</t>
        </is>
      </c>
      <c r="C369" s="22" t="inlineStr">
        <is>
          <t>Southeast</t>
        </is>
      </c>
      <c r="D369" s="22" t="inlineStr">
        <is>
          <t>Sales</t>
        </is>
      </c>
      <c r="E369" s="22" t="inlineStr">
        <is>
          <t>Field Inspection</t>
        </is>
      </c>
      <c r="F369" s="22" t="inlineStr">
        <is>
          <t>No</t>
        </is>
      </c>
      <c r="G369" s="234" t="n">
        <v>98</v>
      </c>
      <c r="H369" s="225" t="n">
        <v>0.15</v>
      </c>
      <c r="I369" s="225" t="n">
        <v>0</v>
      </c>
      <c r="J369" s="225" t="n">
        <v>0</v>
      </c>
      <c r="K369" s="226" t="n">
        <v>43282</v>
      </c>
      <c r="L369" s="22" t="inlineStr">
        <is>
          <t>Northstar</t>
        </is>
      </c>
      <c r="M369" s="22" t="inlineStr">
        <is>
          <t>Active</t>
        </is>
      </c>
      <c r="N369" s="22" t="inlineStr">
        <is>
          <t>Staff</t>
        </is>
      </c>
      <c r="O369" s="22" t="inlineStr">
        <is>
          <t>No</t>
        </is>
      </c>
      <c r="P369" s="22" t="inlineStr">
        <is>
          <t>HRIS / KS-DL-1.2</t>
        </is>
      </c>
    </row>
    <row r="370">
      <c r="A370" s="22" t="inlineStr">
        <is>
          <t>E0367</t>
        </is>
      </c>
      <c r="B370" s="22" t="inlineStr">
        <is>
          <t>Louisville</t>
        </is>
      </c>
      <c r="C370" s="22" t="inlineStr">
        <is>
          <t>Midwest</t>
        </is>
      </c>
      <c r="D370" s="22" t="inlineStr">
        <is>
          <t>Finance</t>
        </is>
      </c>
      <c r="E370" s="22" t="inlineStr">
        <is>
          <t>Permitting &amp; Advisory</t>
        </is>
      </c>
      <c r="F370" s="22" t="inlineStr">
        <is>
          <t>No</t>
        </is>
      </c>
      <c r="G370" s="234" t="n">
        <v>111</v>
      </c>
      <c r="H370" s="225" t="n">
        <v>0.15</v>
      </c>
      <c r="I370" s="225" t="n">
        <v>0</v>
      </c>
      <c r="J370" s="225" t="n">
        <v>0</v>
      </c>
      <c r="K370" s="226" t="n">
        <v>43678</v>
      </c>
      <c r="L370" s="22" t="inlineStr">
        <is>
          <t>Delta</t>
        </is>
      </c>
      <c r="M370" s="22" t="inlineStr">
        <is>
          <t>Active</t>
        </is>
      </c>
      <c r="N370" s="22" t="inlineStr">
        <is>
          <t>Staff</t>
        </is>
      </c>
      <c r="O370" s="22" t="inlineStr">
        <is>
          <t>No</t>
        </is>
      </c>
      <c r="P370" s="22" t="inlineStr">
        <is>
          <t>HRIS / KS-DL-1.2</t>
        </is>
      </c>
    </row>
    <row r="371">
      <c r="A371" s="22" t="inlineStr">
        <is>
          <t>E0368</t>
        </is>
      </c>
      <c r="B371" s="22" t="inlineStr">
        <is>
          <t>Nashville</t>
        </is>
      </c>
      <c r="C371" s="22" t="inlineStr">
        <is>
          <t>Midwest</t>
        </is>
      </c>
      <c r="D371" s="22" t="inlineStr">
        <is>
          <t>HR</t>
        </is>
      </c>
      <c r="E371" s="22" t="inlineStr">
        <is>
          <t>EHS Compliance</t>
        </is>
      </c>
      <c r="F371" s="22" t="inlineStr">
        <is>
          <t>No</t>
        </is>
      </c>
      <c r="G371" s="234" t="n">
        <v>124</v>
      </c>
      <c r="H371" s="225" t="n">
        <v>0.15</v>
      </c>
      <c r="I371" s="225" t="n">
        <v>0</v>
      </c>
      <c r="J371" s="225" t="n">
        <v>0</v>
      </c>
      <c r="K371" s="226" t="n">
        <v>44075</v>
      </c>
      <c r="L371" s="22" t="inlineStr">
        <is>
          <t>Meridian</t>
        </is>
      </c>
      <c r="M371" s="22" t="inlineStr">
        <is>
          <t>Active</t>
        </is>
      </c>
      <c r="N371" s="22" t="inlineStr">
        <is>
          <t>Staff</t>
        </is>
      </c>
      <c r="O371" s="22" t="inlineStr">
        <is>
          <t>No</t>
        </is>
      </c>
      <c r="P371" s="22" t="inlineStr">
        <is>
          <t>HRIS / KS-DL-1.2</t>
        </is>
      </c>
    </row>
    <row r="372">
      <c r="A372" s="22" t="inlineStr">
        <is>
          <t>E0369</t>
        </is>
      </c>
      <c r="B372" s="22" t="inlineStr">
        <is>
          <t>Raleigh</t>
        </is>
      </c>
      <c r="C372" s="22" t="inlineStr">
        <is>
          <t>Southeast</t>
        </is>
      </c>
      <c r="D372" s="22" t="inlineStr">
        <is>
          <t>IT</t>
        </is>
      </c>
      <c r="E372" s="22" t="inlineStr">
        <is>
          <t>Industrial Hygiene</t>
        </is>
      </c>
      <c r="F372" s="22" t="inlineStr">
        <is>
          <t>No</t>
        </is>
      </c>
      <c r="G372" s="234" t="n">
        <v>137</v>
      </c>
      <c r="H372" s="225" t="n">
        <v>0.15</v>
      </c>
      <c r="I372" s="225" t="n">
        <v>0</v>
      </c>
      <c r="J372" s="225" t="n">
        <v>0</v>
      </c>
      <c r="K372" s="226" t="n">
        <v>44470</v>
      </c>
      <c r="L372" s="22" t="inlineStr">
        <is>
          <t>Summit</t>
        </is>
      </c>
      <c r="M372" s="22" t="inlineStr">
        <is>
          <t>Active</t>
        </is>
      </c>
      <c r="N372" s="22" t="inlineStr">
        <is>
          <t>Staff</t>
        </is>
      </c>
      <c r="O372" s="22" t="inlineStr">
        <is>
          <t>No</t>
        </is>
      </c>
      <c r="P372" s="22" t="inlineStr">
        <is>
          <t>HRIS / KS-DL-1.2</t>
        </is>
      </c>
    </row>
    <row r="373">
      <c r="A373" s="22" t="inlineStr">
        <is>
          <t>E0370</t>
        </is>
      </c>
      <c r="B373" s="22" t="inlineStr">
        <is>
          <t>Charlotte</t>
        </is>
      </c>
      <c r="C373" s="22" t="inlineStr">
        <is>
          <t>Midwest</t>
        </is>
      </c>
      <c r="D373" s="22" t="inlineStr">
        <is>
          <t>Technical</t>
        </is>
      </c>
      <c r="E373" s="22" t="inlineStr">
        <is>
          <t>Field Inspection</t>
        </is>
      </c>
      <c r="F373" s="22" t="inlineStr">
        <is>
          <t>Yes</t>
        </is>
      </c>
      <c r="G373" s="234" t="n">
        <v>140</v>
      </c>
      <c r="H373" s="225" t="n">
        <v>0.05</v>
      </c>
      <c r="I373" s="225" t="n">
        <v>0.65</v>
      </c>
      <c r="J373" s="225" t="n">
        <v>0.61</v>
      </c>
      <c r="K373" s="226" t="n">
        <v>44866</v>
      </c>
      <c r="L373" s="22" t="inlineStr">
        <is>
          <t>Legacy Alderstone</t>
        </is>
      </c>
      <c r="M373" s="22" t="inlineStr">
        <is>
          <t>Active</t>
        </is>
      </c>
      <c r="N373" s="22" t="inlineStr">
        <is>
          <t>Staff</t>
        </is>
      </c>
      <c r="O373" s="22" t="inlineStr">
        <is>
          <t>No</t>
        </is>
      </c>
      <c r="P373" s="22" t="inlineStr">
        <is>
          <t>HRIS / KS-DL-1.2</t>
        </is>
      </c>
    </row>
    <row r="374">
      <c r="A374" s="22" t="inlineStr">
        <is>
          <t>E0371</t>
        </is>
      </c>
      <c r="B374" s="22" t="inlineStr">
        <is>
          <t>Cincinnati</t>
        </is>
      </c>
      <c r="C374" s="22" t="inlineStr">
        <is>
          <t>Midwest</t>
        </is>
      </c>
      <c r="D374" s="22" t="inlineStr">
        <is>
          <t>Technical</t>
        </is>
      </c>
      <c r="E374" s="22" t="inlineStr">
        <is>
          <t>Permitting &amp; Advisory</t>
        </is>
      </c>
      <c r="F374" s="22" t="inlineStr">
        <is>
          <t>Yes</t>
        </is>
      </c>
      <c r="G374" s="234" t="n">
        <v>67</v>
      </c>
      <c r="H374" s="225" t="n">
        <v>0.05</v>
      </c>
      <c r="I374" s="225" t="n">
        <v>0.7200000000000001</v>
      </c>
      <c r="J374" s="225" t="n">
        <v>0.68</v>
      </c>
      <c r="K374" s="226" t="n">
        <v>45261</v>
      </c>
      <c r="L374" s="22" t="inlineStr">
        <is>
          <t>Northstar</t>
        </is>
      </c>
      <c r="M374" s="22" t="inlineStr">
        <is>
          <t>Active</t>
        </is>
      </c>
      <c r="N374" s="22" t="inlineStr">
        <is>
          <t>Staff</t>
        </is>
      </c>
      <c r="O374" s="22" t="inlineStr">
        <is>
          <t>No</t>
        </is>
      </c>
      <c r="P374" s="22" t="inlineStr">
        <is>
          <t>HRIS / KS-DL-1.2</t>
        </is>
      </c>
    </row>
    <row r="375">
      <c r="A375" s="22" t="inlineStr">
        <is>
          <t>E0372</t>
        </is>
      </c>
      <c r="B375" s="22" t="inlineStr">
        <is>
          <t>Columbus</t>
        </is>
      </c>
      <c r="C375" s="22" t="inlineStr">
        <is>
          <t>Southeast</t>
        </is>
      </c>
      <c r="D375" s="22" t="inlineStr">
        <is>
          <t>Technical</t>
        </is>
      </c>
      <c r="E375" s="22" t="inlineStr">
        <is>
          <t>EHS Compliance</t>
        </is>
      </c>
      <c r="F375" s="22" t="inlineStr">
        <is>
          <t>Yes</t>
        </is>
      </c>
      <c r="G375" s="234" t="n">
        <v>84</v>
      </c>
      <c r="H375" s="225" t="n">
        <v>0.05</v>
      </c>
      <c r="I375" s="225" t="n">
        <v>0.79</v>
      </c>
      <c r="J375" s="225" t="n">
        <v>0.75</v>
      </c>
      <c r="K375" s="226" t="n">
        <v>45292</v>
      </c>
      <c r="L375" s="22" t="inlineStr">
        <is>
          <t>Delta</t>
        </is>
      </c>
      <c r="M375" s="22" t="inlineStr">
        <is>
          <t>Active</t>
        </is>
      </c>
      <c r="N375" s="22" t="inlineStr">
        <is>
          <t>Manager</t>
        </is>
      </c>
      <c r="O375" s="22" t="inlineStr">
        <is>
          <t>No</t>
        </is>
      </c>
      <c r="P375" s="22" t="inlineStr">
        <is>
          <t>HRIS / KS-DL-1.2</t>
        </is>
      </c>
    </row>
    <row r="376">
      <c r="A376" s="22" t="inlineStr">
        <is>
          <t>E0373</t>
        </is>
      </c>
      <c r="B376" s="22" t="inlineStr">
        <is>
          <t>Knoxville</t>
        </is>
      </c>
      <c r="C376" s="22" t="inlineStr">
        <is>
          <t>Midwest</t>
        </is>
      </c>
      <c r="D376" s="22" t="inlineStr">
        <is>
          <t>Technical</t>
        </is>
      </c>
      <c r="E376" s="22" t="inlineStr">
        <is>
          <t>Industrial Hygiene</t>
        </is>
      </c>
      <c r="F376" s="22" t="inlineStr">
        <is>
          <t>Yes</t>
        </is>
      </c>
      <c r="G376" s="234" t="n">
        <v>101</v>
      </c>
      <c r="H376" s="225" t="n">
        <v>0.05</v>
      </c>
      <c r="I376" s="225" t="n">
        <v>0.5600000000000001</v>
      </c>
      <c r="J376" s="225" t="n">
        <v>0.52</v>
      </c>
      <c r="K376" s="226" t="n">
        <v>45689</v>
      </c>
      <c r="L376" s="22" t="inlineStr">
        <is>
          <t>Meridian</t>
        </is>
      </c>
      <c r="M376" s="22" t="inlineStr">
        <is>
          <t>Active</t>
        </is>
      </c>
      <c r="N376" s="22" t="inlineStr">
        <is>
          <t>Staff</t>
        </is>
      </c>
      <c r="O376" s="22" t="inlineStr">
        <is>
          <t>No</t>
        </is>
      </c>
      <c r="P376" s="22" t="inlineStr">
        <is>
          <t>HRIS / KS-DL-1.2</t>
        </is>
      </c>
    </row>
    <row r="377">
      <c r="A377" s="22" t="inlineStr">
        <is>
          <t>E0374</t>
        </is>
      </c>
      <c r="B377" s="22" t="inlineStr">
        <is>
          <t>Greenville</t>
        </is>
      </c>
      <c r="C377" s="22" t="inlineStr">
        <is>
          <t>Midwest</t>
        </is>
      </c>
      <c r="D377" s="22" t="inlineStr">
        <is>
          <t>Project Management</t>
        </is>
      </c>
      <c r="E377" s="22" t="inlineStr">
        <is>
          <t>Field Inspection</t>
        </is>
      </c>
      <c r="F377" s="22" t="inlineStr">
        <is>
          <t>Yes</t>
        </is>
      </c>
      <c r="G377" s="234" t="n">
        <v>118</v>
      </c>
      <c r="H377" s="225" t="n">
        <v>0.05</v>
      </c>
      <c r="I377" s="225" t="n">
        <v>0.63</v>
      </c>
      <c r="J377" s="225" t="n">
        <v>0.59</v>
      </c>
      <c r="K377" s="226" t="n">
        <v>42064</v>
      </c>
      <c r="L377" s="22" t="inlineStr">
        <is>
          <t>Summit</t>
        </is>
      </c>
      <c r="M377" s="22" t="inlineStr">
        <is>
          <t>Active</t>
        </is>
      </c>
      <c r="N377" s="22" t="inlineStr">
        <is>
          <t>Staff</t>
        </is>
      </c>
      <c r="O377" s="22" t="inlineStr">
        <is>
          <t>No</t>
        </is>
      </c>
      <c r="P377" s="22" t="inlineStr">
        <is>
          <t>HRIS / KS-DL-1.2</t>
        </is>
      </c>
    </row>
    <row r="378">
      <c r="A378" s="22" t="inlineStr">
        <is>
          <t>E0375</t>
        </is>
      </c>
      <c r="B378" s="22" t="inlineStr">
        <is>
          <t>Milwaukee</t>
        </is>
      </c>
      <c r="C378" s="22" t="inlineStr">
        <is>
          <t>Southeast</t>
        </is>
      </c>
      <c r="D378" s="22" t="inlineStr">
        <is>
          <t>Corporate</t>
        </is>
      </c>
      <c r="E378" s="22" t="inlineStr">
        <is>
          <t>Permitting &amp; Advisory</t>
        </is>
      </c>
      <c r="F378" s="22" t="inlineStr">
        <is>
          <t>No</t>
        </is>
      </c>
      <c r="G378" s="234" t="n">
        <v>105</v>
      </c>
      <c r="H378" s="225" t="n">
        <v>0.15</v>
      </c>
      <c r="I378" s="225" t="n">
        <v>0</v>
      </c>
      <c r="J378" s="225" t="n">
        <v>0</v>
      </c>
      <c r="K378" s="226" t="n">
        <v>42461</v>
      </c>
      <c r="L378" s="22" t="inlineStr">
        <is>
          <t>Legacy Alderstone</t>
        </is>
      </c>
      <c r="M378" s="22" t="inlineStr">
        <is>
          <t>Active</t>
        </is>
      </c>
      <c r="N378" s="22" t="inlineStr">
        <is>
          <t>Staff</t>
        </is>
      </c>
      <c r="O378" s="22" t="inlineStr">
        <is>
          <t>No</t>
        </is>
      </c>
      <c r="P378" s="22" t="inlineStr">
        <is>
          <t>HRIS / KS-DL-1.2</t>
        </is>
      </c>
    </row>
    <row r="379">
      <c r="A379" s="22" t="inlineStr">
        <is>
          <t>E0376</t>
        </is>
      </c>
      <c r="B379" s="22" t="inlineStr">
        <is>
          <t>St. Louis</t>
        </is>
      </c>
      <c r="C379" s="22" t="inlineStr">
        <is>
          <t>Midwest</t>
        </is>
      </c>
      <c r="D379" s="22" t="inlineStr">
        <is>
          <t>Sales</t>
        </is>
      </c>
      <c r="E379" s="22" t="inlineStr">
        <is>
          <t>EHS Compliance</t>
        </is>
      </c>
      <c r="F379" s="22" t="inlineStr">
        <is>
          <t>No</t>
        </is>
      </c>
      <c r="G379" s="234" t="n">
        <v>118</v>
      </c>
      <c r="H379" s="225" t="n">
        <v>0.15</v>
      </c>
      <c r="I379" s="225" t="n">
        <v>0</v>
      </c>
      <c r="J379" s="225" t="n">
        <v>0</v>
      </c>
      <c r="K379" s="226" t="n">
        <v>42856</v>
      </c>
      <c r="L379" s="22" t="inlineStr">
        <is>
          <t>Northstar</t>
        </is>
      </c>
      <c r="M379" s="22" t="inlineStr">
        <is>
          <t>Active</t>
        </is>
      </c>
      <c r="N379" s="22" t="inlineStr">
        <is>
          <t>Staff</t>
        </is>
      </c>
      <c r="O379" s="22" t="inlineStr">
        <is>
          <t>No</t>
        </is>
      </c>
      <c r="P379" s="22" t="inlineStr">
        <is>
          <t>HRIS / KS-DL-1.2</t>
        </is>
      </c>
    </row>
    <row r="380">
      <c r="A380" s="22" t="inlineStr">
        <is>
          <t>E0377</t>
        </is>
      </c>
      <c r="B380" s="22" t="inlineStr">
        <is>
          <t>Richmond</t>
        </is>
      </c>
      <c r="C380" s="22" t="inlineStr">
        <is>
          <t>Midwest</t>
        </is>
      </c>
      <c r="D380" s="22" t="inlineStr">
        <is>
          <t>Finance</t>
        </is>
      </c>
      <c r="E380" s="22" t="inlineStr">
        <is>
          <t>Industrial Hygiene</t>
        </is>
      </c>
      <c r="F380" s="22" t="inlineStr">
        <is>
          <t>No</t>
        </is>
      </c>
      <c r="G380" s="234" t="n">
        <v>131</v>
      </c>
      <c r="H380" s="225" t="n">
        <v>0.15</v>
      </c>
      <c r="I380" s="225" t="n">
        <v>0</v>
      </c>
      <c r="J380" s="225" t="n">
        <v>0</v>
      </c>
      <c r="K380" s="226" t="n">
        <v>43252</v>
      </c>
      <c r="L380" s="22" t="inlineStr">
        <is>
          <t>Delta</t>
        </is>
      </c>
      <c r="M380" s="22" t="inlineStr">
        <is>
          <t>Active</t>
        </is>
      </c>
      <c r="N380" s="22" t="inlineStr">
        <is>
          <t>Staff</t>
        </is>
      </c>
      <c r="O380" s="22" t="inlineStr">
        <is>
          <t>Yes</t>
        </is>
      </c>
      <c r="P380" s="22" t="inlineStr">
        <is>
          <t>HRIS / KS-DL-1.2</t>
        </is>
      </c>
    </row>
    <row r="381">
      <c r="A381" s="22" t="inlineStr">
        <is>
          <t>E0378</t>
        </is>
      </c>
      <c r="B381" s="22" t="inlineStr">
        <is>
          <t>Indianapolis</t>
        </is>
      </c>
      <c r="C381" s="22" t="inlineStr">
        <is>
          <t>Southeast</t>
        </is>
      </c>
      <c r="D381" s="22" t="inlineStr">
        <is>
          <t>HR</t>
        </is>
      </c>
      <c r="E381" s="22" t="inlineStr">
        <is>
          <t>Field Inspection</t>
        </is>
      </c>
      <c r="F381" s="22" t="inlineStr">
        <is>
          <t>No</t>
        </is>
      </c>
      <c r="G381" s="234" t="n">
        <v>144</v>
      </c>
      <c r="H381" s="225" t="n">
        <v>0.15</v>
      </c>
      <c r="I381" s="225" t="n">
        <v>0</v>
      </c>
      <c r="J381" s="225" t="n">
        <v>0</v>
      </c>
      <c r="K381" s="226" t="n">
        <v>43647</v>
      </c>
      <c r="L381" s="22" t="inlineStr">
        <is>
          <t>Meridian</t>
        </is>
      </c>
      <c r="M381" s="22" t="inlineStr">
        <is>
          <t>Active</t>
        </is>
      </c>
      <c r="N381" s="22" t="inlineStr">
        <is>
          <t>Staff</t>
        </is>
      </c>
      <c r="O381" s="22" t="inlineStr">
        <is>
          <t>No</t>
        </is>
      </c>
      <c r="P381" s="22" t="inlineStr">
        <is>
          <t>HRIS / KS-DL-1.2</t>
        </is>
      </c>
    </row>
    <row r="382">
      <c r="A382" s="22" t="inlineStr">
        <is>
          <t>E0379</t>
        </is>
      </c>
      <c r="B382" s="22" t="inlineStr">
        <is>
          <t>Chicago</t>
        </is>
      </c>
      <c r="C382" s="22" t="inlineStr">
        <is>
          <t>Midwest</t>
        </is>
      </c>
      <c r="D382" s="22" t="inlineStr">
        <is>
          <t>IT</t>
        </is>
      </c>
      <c r="E382" s="22" t="inlineStr">
        <is>
          <t>Permitting &amp; Advisory</t>
        </is>
      </c>
      <c r="F382" s="22" t="inlineStr">
        <is>
          <t>No</t>
        </is>
      </c>
      <c r="G382" s="234" t="n">
        <v>157</v>
      </c>
      <c r="H382" s="225" t="n">
        <v>0.15</v>
      </c>
      <c r="I382" s="225" t="n">
        <v>0</v>
      </c>
      <c r="J382" s="225" t="n">
        <v>0</v>
      </c>
      <c r="K382" s="226" t="n">
        <v>44044</v>
      </c>
      <c r="L382" s="22" t="inlineStr">
        <is>
          <t>Summit</t>
        </is>
      </c>
      <c r="M382" s="22" t="inlineStr">
        <is>
          <t>Active</t>
        </is>
      </c>
      <c r="N382" s="22" t="inlineStr">
        <is>
          <t>Staff</t>
        </is>
      </c>
      <c r="O382" s="22" t="inlineStr">
        <is>
          <t>No</t>
        </is>
      </c>
      <c r="P382" s="22" t="inlineStr">
        <is>
          <t>HRIS / KS-DL-1.2</t>
        </is>
      </c>
    </row>
    <row r="383">
      <c r="A383" s="22" t="inlineStr">
        <is>
          <t>E0380</t>
        </is>
      </c>
      <c r="B383" s="22" t="inlineStr">
        <is>
          <t>Detroit</t>
        </is>
      </c>
      <c r="C383" s="22" t="inlineStr">
        <is>
          <t>Midwest</t>
        </is>
      </c>
      <c r="D383" s="22" t="inlineStr">
        <is>
          <t>Technical</t>
        </is>
      </c>
      <c r="E383" s="22" t="inlineStr">
        <is>
          <t>EHS Compliance</t>
        </is>
      </c>
      <c r="F383" s="22" t="inlineStr">
        <is>
          <t>Yes</t>
        </is>
      </c>
      <c r="G383" s="234" t="n">
        <v>130</v>
      </c>
      <c r="H383" s="225" t="n">
        <v>0.05</v>
      </c>
      <c r="I383" s="225" t="n">
        <v>0.75</v>
      </c>
      <c r="J383" s="225" t="n">
        <v>0.71</v>
      </c>
      <c r="K383" s="226" t="n">
        <v>44440</v>
      </c>
      <c r="L383" s="22" t="inlineStr">
        <is>
          <t>Legacy Alderstone</t>
        </is>
      </c>
      <c r="M383" s="22" t="inlineStr">
        <is>
          <t>Active</t>
        </is>
      </c>
      <c r="N383" s="22" t="inlineStr">
        <is>
          <t>Staff</t>
        </is>
      </c>
      <c r="O383" s="22" t="inlineStr">
        <is>
          <t>No</t>
        </is>
      </c>
      <c r="P383" s="22" t="inlineStr">
        <is>
          <t>HRIS / KS-DL-1.2</t>
        </is>
      </c>
    </row>
    <row r="384">
      <c r="A384" s="22" t="inlineStr">
        <is>
          <t>E0381</t>
        </is>
      </c>
      <c r="B384" s="22" t="inlineStr">
        <is>
          <t>Louisville</t>
        </is>
      </c>
      <c r="C384" s="22" t="inlineStr">
        <is>
          <t>Southeast</t>
        </is>
      </c>
      <c r="D384" s="22" t="inlineStr">
        <is>
          <t>Technical</t>
        </is>
      </c>
      <c r="E384" s="22" t="inlineStr">
        <is>
          <t>Industrial Hygiene</t>
        </is>
      </c>
      <c r="F384" s="22" t="inlineStr">
        <is>
          <t>Yes</t>
        </is>
      </c>
      <c r="G384" s="234" t="n">
        <v>147</v>
      </c>
      <c r="H384" s="225" t="n">
        <v>0.05</v>
      </c>
      <c r="I384" s="225" t="n">
        <v>0.8200000000000001</v>
      </c>
      <c r="J384" s="225" t="n">
        <v>0.78</v>
      </c>
      <c r="K384" s="226" t="n">
        <v>44835</v>
      </c>
      <c r="L384" s="22" t="inlineStr">
        <is>
          <t>Northstar</t>
        </is>
      </c>
      <c r="M384" s="22" t="inlineStr">
        <is>
          <t>Active</t>
        </is>
      </c>
      <c r="N384" s="22" t="inlineStr">
        <is>
          <t>Staff</t>
        </is>
      </c>
      <c r="O384" s="22" t="inlineStr">
        <is>
          <t>No</t>
        </is>
      </c>
      <c r="P384" s="22" t="inlineStr">
        <is>
          <t>HRIS / KS-DL-1.2</t>
        </is>
      </c>
    </row>
    <row r="385">
      <c r="A385" s="22" t="inlineStr">
        <is>
          <t>E0382</t>
        </is>
      </c>
      <c r="B385" s="22" t="inlineStr">
        <is>
          <t>Nashville</t>
        </is>
      </c>
      <c r="C385" s="22" t="inlineStr">
        <is>
          <t>Midwest</t>
        </is>
      </c>
      <c r="D385" s="22" t="inlineStr">
        <is>
          <t>Technical</t>
        </is>
      </c>
      <c r="E385" s="22" t="inlineStr">
        <is>
          <t>Field Inspection</t>
        </is>
      </c>
      <c r="F385" s="22" t="inlineStr">
        <is>
          <t>Yes</t>
        </is>
      </c>
      <c r="G385" s="234" t="n">
        <v>74</v>
      </c>
      <c r="H385" s="225" t="n">
        <v>0.05</v>
      </c>
      <c r="I385" s="225" t="n">
        <v>0.5900000000000001</v>
      </c>
      <c r="J385" s="225" t="n">
        <v>0.55</v>
      </c>
      <c r="K385" s="226" t="n">
        <v>45231</v>
      </c>
      <c r="L385" s="22" t="inlineStr">
        <is>
          <t>Delta</t>
        </is>
      </c>
      <c r="M385" s="22" t="inlineStr">
        <is>
          <t>Active</t>
        </is>
      </c>
      <c r="N385" s="22" t="inlineStr">
        <is>
          <t>Staff</t>
        </is>
      </c>
      <c r="O385" s="22" t="inlineStr">
        <is>
          <t>No</t>
        </is>
      </c>
      <c r="P385" s="22" t="inlineStr">
        <is>
          <t>HRIS / KS-DL-1.2</t>
        </is>
      </c>
    </row>
    <row r="386">
      <c r="A386" s="22" t="inlineStr">
        <is>
          <t>E0383</t>
        </is>
      </c>
      <c r="B386" s="22" t="inlineStr">
        <is>
          <t>Raleigh</t>
        </is>
      </c>
      <c r="C386" s="22" t="inlineStr">
        <is>
          <t>Midwest</t>
        </is>
      </c>
      <c r="D386" s="22" t="inlineStr">
        <is>
          <t>Technical</t>
        </is>
      </c>
      <c r="E386" s="22" t="inlineStr">
        <is>
          <t>Permitting &amp; Advisory</t>
        </is>
      </c>
      <c r="F386" s="22" t="inlineStr">
        <is>
          <t>Yes</t>
        </is>
      </c>
      <c r="G386" s="234" t="n">
        <v>91</v>
      </c>
      <c r="H386" s="225" t="n">
        <v>0.05</v>
      </c>
      <c r="I386" s="225" t="n">
        <v>0.66</v>
      </c>
      <c r="J386" s="225" t="n">
        <v>0.62</v>
      </c>
      <c r="K386" s="226" t="n">
        <v>45627</v>
      </c>
      <c r="L386" s="22" t="inlineStr">
        <is>
          <t>Meridian</t>
        </is>
      </c>
      <c r="M386" s="22" t="inlineStr">
        <is>
          <t>Active</t>
        </is>
      </c>
      <c r="N386" s="22" t="inlineStr">
        <is>
          <t>Staff</t>
        </is>
      </c>
      <c r="O386" s="22" t="inlineStr">
        <is>
          <t>No</t>
        </is>
      </c>
      <c r="P386" s="22" t="inlineStr">
        <is>
          <t>HRIS / KS-DL-1.2</t>
        </is>
      </c>
    </row>
    <row r="387">
      <c r="A387" s="22" t="inlineStr">
        <is>
          <t>E0384</t>
        </is>
      </c>
      <c r="B387" s="22" t="inlineStr">
        <is>
          <t>Charlotte</t>
        </is>
      </c>
      <c r="C387" s="22" t="inlineStr">
        <is>
          <t>Southeast</t>
        </is>
      </c>
      <c r="D387" s="22" t="inlineStr">
        <is>
          <t>Project Management</t>
        </is>
      </c>
      <c r="E387" s="22" t="inlineStr">
        <is>
          <t>EHS Compliance</t>
        </is>
      </c>
      <c r="F387" s="22" t="inlineStr">
        <is>
          <t>Yes</t>
        </is>
      </c>
      <c r="G387" s="234" t="n">
        <v>108</v>
      </c>
      <c r="H387" s="225" t="n">
        <v>0.05</v>
      </c>
      <c r="I387" s="225" t="n">
        <v>0.73</v>
      </c>
      <c r="J387" s="225" t="n">
        <v>0.6899999999999999</v>
      </c>
      <c r="K387" s="226" t="n">
        <v>45658</v>
      </c>
      <c r="L387" s="22" t="inlineStr">
        <is>
          <t>Summit</t>
        </is>
      </c>
      <c r="M387" s="22" t="inlineStr">
        <is>
          <t>Active</t>
        </is>
      </c>
      <c r="N387" s="22" t="inlineStr">
        <is>
          <t>Manager</t>
        </is>
      </c>
      <c r="O387" s="22" t="inlineStr">
        <is>
          <t>No</t>
        </is>
      </c>
      <c r="P387" s="22" t="inlineStr">
        <is>
          <t>HRIS / KS-DL-1.2</t>
        </is>
      </c>
    </row>
    <row r="388">
      <c r="A388" s="22" t="inlineStr">
        <is>
          <t>E0385</t>
        </is>
      </c>
      <c r="B388" s="22" t="inlineStr">
        <is>
          <t>Cincinnati</t>
        </is>
      </c>
      <c r="C388" s="22" t="inlineStr">
        <is>
          <t>Midwest</t>
        </is>
      </c>
      <c r="D388" s="22" t="inlineStr">
        <is>
          <t>Corporate</t>
        </is>
      </c>
      <c r="E388" s="22" t="inlineStr">
        <is>
          <t>Industrial Hygiene</t>
        </is>
      </c>
      <c r="F388" s="22" t="inlineStr">
        <is>
          <t>No</t>
        </is>
      </c>
      <c r="G388" s="234" t="n">
        <v>125</v>
      </c>
      <c r="H388" s="225" t="n">
        <v>0.15</v>
      </c>
      <c r="I388" s="225" t="n">
        <v>0</v>
      </c>
      <c r="J388" s="225" t="n">
        <v>0</v>
      </c>
      <c r="K388" s="226" t="n">
        <v>42036</v>
      </c>
      <c r="L388" s="22" t="inlineStr">
        <is>
          <t>Legacy Alderstone</t>
        </is>
      </c>
      <c r="M388" s="22" t="inlineStr">
        <is>
          <t>Active</t>
        </is>
      </c>
      <c r="N388" s="22" t="inlineStr">
        <is>
          <t>Staff</t>
        </is>
      </c>
      <c r="O388" s="22" t="inlineStr">
        <is>
          <t>No</t>
        </is>
      </c>
      <c r="P388" s="22" t="inlineStr">
        <is>
          <t>HRIS / KS-DL-1.2</t>
        </is>
      </c>
    </row>
    <row r="389">
      <c r="A389" s="22" t="inlineStr">
        <is>
          <t>E0386</t>
        </is>
      </c>
      <c r="B389" s="22" t="inlineStr">
        <is>
          <t>Columbus</t>
        </is>
      </c>
      <c r="C389" s="22" t="inlineStr">
        <is>
          <t>Midwest</t>
        </is>
      </c>
      <c r="D389" s="22" t="inlineStr">
        <is>
          <t>Sales</t>
        </is>
      </c>
      <c r="E389" s="22" t="inlineStr">
        <is>
          <t>Field Inspection</t>
        </is>
      </c>
      <c r="F389" s="22" t="inlineStr">
        <is>
          <t>No</t>
        </is>
      </c>
      <c r="G389" s="234" t="n">
        <v>138</v>
      </c>
      <c r="H389" s="225" t="n">
        <v>0.15</v>
      </c>
      <c r="I389" s="225" t="n">
        <v>0</v>
      </c>
      <c r="J389" s="225" t="n">
        <v>0</v>
      </c>
      <c r="K389" s="226" t="n">
        <v>42430</v>
      </c>
      <c r="L389" s="22" t="inlineStr">
        <is>
          <t>Northstar</t>
        </is>
      </c>
      <c r="M389" s="22" t="inlineStr">
        <is>
          <t>Active</t>
        </is>
      </c>
      <c r="N389" s="22" t="inlineStr">
        <is>
          <t>Staff</t>
        </is>
      </c>
      <c r="O389" s="22" t="inlineStr">
        <is>
          <t>No</t>
        </is>
      </c>
      <c r="P389" s="22" t="inlineStr">
        <is>
          <t>HRIS / KS-DL-1.2</t>
        </is>
      </c>
    </row>
    <row r="390">
      <c r="A390" s="22" t="inlineStr">
        <is>
          <t>E0387</t>
        </is>
      </c>
      <c r="B390" s="22" t="inlineStr">
        <is>
          <t>Knoxville</t>
        </is>
      </c>
      <c r="C390" s="22" t="inlineStr">
        <is>
          <t>Southeast</t>
        </is>
      </c>
      <c r="D390" s="22" t="inlineStr">
        <is>
          <t>Finance</t>
        </is>
      </c>
      <c r="E390" s="22" t="inlineStr">
        <is>
          <t>Permitting &amp; Advisory</t>
        </is>
      </c>
      <c r="F390" s="22" t="inlineStr">
        <is>
          <t>No</t>
        </is>
      </c>
      <c r="G390" s="234" t="n">
        <v>151</v>
      </c>
      <c r="H390" s="225" t="n">
        <v>0.15</v>
      </c>
      <c r="I390" s="225" t="n">
        <v>0</v>
      </c>
      <c r="J390" s="225" t="n">
        <v>0</v>
      </c>
      <c r="K390" s="226" t="n">
        <v>42826</v>
      </c>
      <c r="L390" s="22" t="inlineStr">
        <is>
          <t>Delta</t>
        </is>
      </c>
      <c r="M390" s="22" t="inlineStr">
        <is>
          <t>Active</t>
        </is>
      </c>
      <c r="N390" s="22" t="inlineStr">
        <is>
          <t>Staff</t>
        </is>
      </c>
      <c r="O390" s="22" t="inlineStr">
        <is>
          <t>No</t>
        </is>
      </c>
      <c r="P390" s="22" t="inlineStr">
        <is>
          <t>HRIS / KS-DL-1.2</t>
        </is>
      </c>
    </row>
    <row r="391">
      <c r="A391" s="22" t="inlineStr">
        <is>
          <t>E0388</t>
        </is>
      </c>
      <c r="B391" s="22" t="inlineStr">
        <is>
          <t>Greenville</t>
        </is>
      </c>
      <c r="C391" s="22" t="inlineStr">
        <is>
          <t>Midwest</t>
        </is>
      </c>
      <c r="D391" s="22" t="inlineStr">
        <is>
          <t>HR</t>
        </is>
      </c>
      <c r="E391" s="22" t="inlineStr">
        <is>
          <t>EHS Compliance</t>
        </is>
      </c>
      <c r="F391" s="22" t="inlineStr">
        <is>
          <t>No</t>
        </is>
      </c>
      <c r="G391" s="234" t="n">
        <v>164</v>
      </c>
      <c r="H391" s="225" t="n">
        <v>0.15</v>
      </c>
      <c r="I391" s="225" t="n">
        <v>0</v>
      </c>
      <c r="J391" s="225" t="n">
        <v>0</v>
      </c>
      <c r="K391" s="226" t="n">
        <v>43221</v>
      </c>
      <c r="L391" s="22" t="inlineStr">
        <is>
          <t>Meridian</t>
        </is>
      </c>
      <c r="M391" s="22" t="inlineStr">
        <is>
          <t>Active</t>
        </is>
      </c>
      <c r="N391" s="22" t="inlineStr">
        <is>
          <t>Staff</t>
        </is>
      </c>
      <c r="O391" s="22" t="inlineStr">
        <is>
          <t>No</t>
        </is>
      </c>
      <c r="P391" s="22" t="inlineStr">
        <is>
          <t>HRIS / KS-DL-1.2</t>
        </is>
      </c>
    </row>
    <row r="392">
      <c r="A392" s="22" t="inlineStr">
        <is>
          <t>E0389</t>
        </is>
      </c>
      <c r="B392" s="22" t="inlineStr">
        <is>
          <t>Milwaukee</t>
        </is>
      </c>
      <c r="C392" s="22" t="inlineStr">
        <is>
          <t>Midwest</t>
        </is>
      </c>
      <c r="D392" s="22" t="inlineStr">
        <is>
          <t>IT</t>
        </is>
      </c>
      <c r="E392" s="22" t="inlineStr">
        <is>
          <t>Industrial Hygiene</t>
        </is>
      </c>
      <c r="F392" s="22" t="inlineStr">
        <is>
          <t>No</t>
        </is>
      </c>
      <c r="G392" s="234" t="n">
        <v>177</v>
      </c>
      <c r="H392" s="225" t="n">
        <v>0.15</v>
      </c>
      <c r="I392" s="225" t="n">
        <v>0</v>
      </c>
      <c r="J392" s="225" t="n">
        <v>0</v>
      </c>
      <c r="K392" s="226" t="n">
        <v>43617</v>
      </c>
      <c r="L392" s="22" t="inlineStr">
        <is>
          <t>Summit</t>
        </is>
      </c>
      <c r="M392" s="22" t="inlineStr">
        <is>
          <t>Active</t>
        </is>
      </c>
      <c r="N392" s="22" t="inlineStr">
        <is>
          <t>Staff</t>
        </is>
      </c>
      <c r="O392" s="22" t="inlineStr">
        <is>
          <t>No</t>
        </is>
      </c>
      <c r="P392" s="22" t="inlineStr">
        <is>
          <t>HRIS / KS-DL-1.2</t>
        </is>
      </c>
    </row>
    <row r="393">
      <c r="A393" s="22" t="inlineStr">
        <is>
          <t>E0390</t>
        </is>
      </c>
      <c r="B393" s="22" t="inlineStr">
        <is>
          <t>St. Louis</t>
        </is>
      </c>
      <c r="C393" s="22" t="inlineStr">
        <is>
          <t>Southeast</t>
        </is>
      </c>
      <c r="D393" s="22" t="inlineStr">
        <is>
          <t>Technical</t>
        </is>
      </c>
      <c r="E393" s="22" t="inlineStr">
        <is>
          <t>Field Inspection</t>
        </is>
      </c>
      <c r="F393" s="22" t="inlineStr">
        <is>
          <t>Yes</t>
        </is>
      </c>
      <c r="G393" s="234" t="n">
        <v>120</v>
      </c>
      <c r="H393" s="225" t="n">
        <v>0.05</v>
      </c>
      <c r="I393" s="225" t="n">
        <v>0.55</v>
      </c>
      <c r="J393" s="225" t="n">
        <v>0.51</v>
      </c>
      <c r="K393" s="226" t="n">
        <v>44013</v>
      </c>
      <c r="L393" s="22" t="inlineStr">
        <is>
          <t>Legacy Alderstone</t>
        </is>
      </c>
      <c r="M393" s="22" t="inlineStr">
        <is>
          <t>Active</t>
        </is>
      </c>
      <c r="N393" s="22" t="inlineStr">
        <is>
          <t>Staff</t>
        </is>
      </c>
      <c r="O393" s="22" t="inlineStr">
        <is>
          <t>No</t>
        </is>
      </c>
      <c r="P393" s="22" t="inlineStr">
        <is>
          <t>HRIS / KS-DL-1.2</t>
        </is>
      </c>
    </row>
    <row r="394">
      <c r="A394" s="22" t="inlineStr">
        <is>
          <t>E0391</t>
        </is>
      </c>
      <c r="B394" s="22" t="inlineStr">
        <is>
          <t>Richmond</t>
        </is>
      </c>
      <c r="C394" s="22" t="inlineStr">
        <is>
          <t>Midwest</t>
        </is>
      </c>
      <c r="D394" s="22" t="inlineStr">
        <is>
          <t>Technical</t>
        </is>
      </c>
      <c r="E394" s="22" t="inlineStr">
        <is>
          <t>Permitting &amp; Advisory</t>
        </is>
      </c>
      <c r="F394" s="22" t="inlineStr">
        <is>
          <t>Yes</t>
        </is>
      </c>
      <c r="G394" s="234" t="n">
        <v>137</v>
      </c>
      <c r="H394" s="225" t="n">
        <v>0.05</v>
      </c>
      <c r="I394" s="225" t="n">
        <v>0.6200000000000001</v>
      </c>
      <c r="J394" s="225" t="n">
        <v>0.5800000000000001</v>
      </c>
      <c r="K394" s="226" t="n">
        <v>44409</v>
      </c>
      <c r="L394" s="22" t="inlineStr">
        <is>
          <t>Northstar</t>
        </is>
      </c>
      <c r="M394" s="22" t="inlineStr">
        <is>
          <t>Active</t>
        </is>
      </c>
      <c r="N394" s="22" t="inlineStr">
        <is>
          <t>Staff</t>
        </is>
      </c>
      <c r="O394" s="22" t="inlineStr">
        <is>
          <t>No</t>
        </is>
      </c>
      <c r="P394" s="22" t="inlineStr">
        <is>
          <t>HRIS / KS-DL-1.2</t>
        </is>
      </c>
    </row>
    <row r="395">
      <c r="A395" s="22" t="inlineStr">
        <is>
          <t>E0392</t>
        </is>
      </c>
      <c r="B395" s="22" t="inlineStr">
        <is>
          <t>Indianapolis</t>
        </is>
      </c>
      <c r="C395" s="22" t="inlineStr">
        <is>
          <t>Midwest</t>
        </is>
      </c>
      <c r="D395" s="22" t="inlineStr">
        <is>
          <t>Technical</t>
        </is>
      </c>
      <c r="E395" s="22" t="inlineStr">
        <is>
          <t>EHS Compliance</t>
        </is>
      </c>
      <c r="F395" s="22" t="inlineStr">
        <is>
          <t>Yes</t>
        </is>
      </c>
      <c r="G395" s="234" t="n">
        <v>64</v>
      </c>
      <c r="H395" s="225" t="n">
        <v>0.05</v>
      </c>
      <c r="I395" s="225" t="n">
        <v>0.6900000000000001</v>
      </c>
      <c r="J395" s="225" t="n">
        <v>0.65</v>
      </c>
      <c r="K395" s="226" t="n">
        <v>44805</v>
      </c>
      <c r="L395" s="22" t="inlineStr">
        <is>
          <t>Delta</t>
        </is>
      </c>
      <c r="M395" s="22" t="inlineStr">
        <is>
          <t>Active</t>
        </is>
      </c>
      <c r="N395" s="22" t="inlineStr">
        <is>
          <t>Staff</t>
        </is>
      </c>
      <c r="O395" s="22" t="inlineStr">
        <is>
          <t>No</t>
        </is>
      </c>
      <c r="P395" s="22" t="inlineStr">
        <is>
          <t>HRIS / KS-DL-1.2</t>
        </is>
      </c>
    </row>
    <row r="396">
      <c r="A396" s="22" t="inlineStr">
        <is>
          <t>E0393</t>
        </is>
      </c>
      <c r="B396" s="22" t="inlineStr">
        <is>
          <t>Chicago</t>
        </is>
      </c>
      <c r="C396" s="22" t="inlineStr">
        <is>
          <t>Southeast</t>
        </is>
      </c>
      <c r="D396" s="22" t="inlineStr">
        <is>
          <t>Technical</t>
        </is>
      </c>
      <c r="E396" s="22" t="inlineStr">
        <is>
          <t>Industrial Hygiene</t>
        </is>
      </c>
      <c r="F396" s="22" t="inlineStr">
        <is>
          <t>Yes</t>
        </is>
      </c>
      <c r="G396" s="234" t="n">
        <v>81</v>
      </c>
      <c r="H396" s="225" t="n">
        <v>0.05</v>
      </c>
      <c r="I396" s="225" t="n">
        <v>0.76</v>
      </c>
      <c r="J396" s="225" t="n">
        <v>0.72</v>
      </c>
      <c r="K396" s="226" t="n">
        <v>45200</v>
      </c>
      <c r="L396" s="22" t="inlineStr">
        <is>
          <t>Meridian</t>
        </is>
      </c>
      <c r="M396" s="22" t="inlineStr">
        <is>
          <t>Active</t>
        </is>
      </c>
      <c r="N396" s="22" t="inlineStr">
        <is>
          <t>Staff</t>
        </is>
      </c>
      <c r="O396" s="22" t="inlineStr">
        <is>
          <t>No</t>
        </is>
      </c>
      <c r="P396" s="22" t="inlineStr">
        <is>
          <t>HRIS / KS-DL-1.2</t>
        </is>
      </c>
    </row>
    <row r="397">
      <c r="A397" s="22" t="inlineStr">
        <is>
          <t>E0394</t>
        </is>
      </c>
      <c r="B397" s="22" t="inlineStr">
        <is>
          <t>Detroit</t>
        </is>
      </c>
      <c r="C397" s="22" t="inlineStr">
        <is>
          <t>Midwest</t>
        </is>
      </c>
      <c r="D397" s="22" t="inlineStr">
        <is>
          <t>Project Management</t>
        </is>
      </c>
      <c r="E397" s="22" t="inlineStr">
        <is>
          <t>Field Inspection</t>
        </is>
      </c>
      <c r="F397" s="22" t="inlineStr">
        <is>
          <t>Yes</t>
        </is>
      </c>
      <c r="G397" s="234" t="n">
        <v>98</v>
      </c>
      <c r="H397" s="225" t="n">
        <v>0.05</v>
      </c>
      <c r="I397" s="225" t="n">
        <v>0.8300000000000001</v>
      </c>
      <c r="J397" s="225" t="n">
        <v>0.79</v>
      </c>
      <c r="K397" s="226" t="n">
        <v>45597</v>
      </c>
      <c r="L397" s="22" t="inlineStr">
        <is>
          <t>Summit</t>
        </is>
      </c>
      <c r="M397" s="22" t="inlineStr">
        <is>
          <t>Active</t>
        </is>
      </c>
      <c r="N397" s="22" t="inlineStr">
        <is>
          <t>Staff</t>
        </is>
      </c>
      <c r="O397" s="22" t="inlineStr">
        <is>
          <t>No</t>
        </is>
      </c>
      <c r="P397" s="22" t="inlineStr">
        <is>
          <t>HRIS / KS-DL-1.2</t>
        </is>
      </c>
    </row>
    <row r="398">
      <c r="A398" s="22" t="inlineStr">
        <is>
          <t>E0395</t>
        </is>
      </c>
      <c r="B398" s="22" t="inlineStr">
        <is>
          <t>Louisville</t>
        </is>
      </c>
      <c r="C398" s="22" t="inlineStr">
        <is>
          <t>Midwest</t>
        </is>
      </c>
      <c r="D398" s="22" t="inlineStr">
        <is>
          <t>Corporate</t>
        </is>
      </c>
      <c r="E398" s="22" t="inlineStr">
        <is>
          <t>Permitting &amp; Advisory</t>
        </is>
      </c>
      <c r="F398" s="22" t="inlineStr">
        <is>
          <t>No</t>
        </is>
      </c>
      <c r="G398" s="234" t="n">
        <v>145</v>
      </c>
      <c r="H398" s="225" t="n">
        <v>0.15</v>
      </c>
      <c r="I398" s="225" t="n">
        <v>0</v>
      </c>
      <c r="J398" s="225" t="n">
        <v>0</v>
      </c>
      <c r="K398" s="226" t="n">
        <v>45992</v>
      </c>
      <c r="L398" s="22" t="inlineStr">
        <is>
          <t>Legacy Alderstone</t>
        </is>
      </c>
      <c r="M398" s="22" t="inlineStr">
        <is>
          <t>Active</t>
        </is>
      </c>
      <c r="N398" s="22" t="inlineStr">
        <is>
          <t>Staff</t>
        </is>
      </c>
      <c r="O398" s="22" t="inlineStr">
        <is>
          <t>No</t>
        </is>
      </c>
      <c r="P398" s="22" t="inlineStr">
        <is>
          <t>HRIS / KS-DL-1.2</t>
        </is>
      </c>
    </row>
    <row r="399">
      <c r="A399" s="22" t="inlineStr">
        <is>
          <t>E0396</t>
        </is>
      </c>
      <c r="B399" s="22" t="inlineStr">
        <is>
          <t>Nashville</t>
        </is>
      </c>
      <c r="C399" s="22" t="inlineStr">
        <is>
          <t>Southeast</t>
        </is>
      </c>
      <c r="D399" s="22" t="inlineStr">
        <is>
          <t>Sales</t>
        </is>
      </c>
      <c r="E399" s="22" t="inlineStr">
        <is>
          <t>EHS Compliance</t>
        </is>
      </c>
      <c r="F399" s="22" t="inlineStr">
        <is>
          <t>No</t>
        </is>
      </c>
      <c r="G399" s="234" t="n">
        <v>158</v>
      </c>
      <c r="H399" s="225" t="n">
        <v>0.15</v>
      </c>
      <c r="I399" s="225" t="n">
        <v>0</v>
      </c>
      <c r="J399" s="225" t="n">
        <v>0</v>
      </c>
      <c r="K399" s="226" t="n">
        <v>42005</v>
      </c>
      <c r="L399" s="22" t="inlineStr">
        <is>
          <t>Northstar</t>
        </is>
      </c>
      <c r="M399" s="22" t="inlineStr">
        <is>
          <t>Active</t>
        </is>
      </c>
      <c r="N399" s="22" t="inlineStr">
        <is>
          <t>Manager</t>
        </is>
      </c>
      <c r="O399" s="22" t="inlineStr">
        <is>
          <t>No</t>
        </is>
      </c>
      <c r="P399" s="22" t="inlineStr">
        <is>
          <t>HRIS / KS-DL-1.2</t>
        </is>
      </c>
    </row>
    <row r="400">
      <c r="A400" s="22" t="inlineStr">
        <is>
          <t>E0397</t>
        </is>
      </c>
      <c r="B400" s="22" t="inlineStr">
        <is>
          <t>Raleigh</t>
        </is>
      </c>
      <c r="C400" s="22" t="inlineStr">
        <is>
          <t>Midwest</t>
        </is>
      </c>
      <c r="D400" s="22" t="inlineStr">
        <is>
          <t>Finance</t>
        </is>
      </c>
      <c r="E400" s="22" t="inlineStr">
        <is>
          <t>Industrial Hygiene</t>
        </is>
      </c>
      <c r="F400" s="22" t="inlineStr">
        <is>
          <t>No</t>
        </is>
      </c>
      <c r="G400" s="234" t="n">
        <v>171</v>
      </c>
      <c r="H400" s="225" t="n">
        <v>0.15</v>
      </c>
      <c r="I400" s="225" t="n">
        <v>0</v>
      </c>
      <c r="J400" s="225" t="n">
        <v>0</v>
      </c>
      <c r="K400" s="226" t="n">
        <v>42401</v>
      </c>
      <c r="L400" s="22" t="inlineStr">
        <is>
          <t>Delta</t>
        </is>
      </c>
      <c r="M400" s="22" t="inlineStr">
        <is>
          <t>Active</t>
        </is>
      </c>
      <c r="N400" s="22" t="inlineStr">
        <is>
          <t>Staff</t>
        </is>
      </c>
      <c r="O400" s="22" t="inlineStr">
        <is>
          <t>No</t>
        </is>
      </c>
      <c r="P400" s="22" t="inlineStr">
        <is>
          <t>HRIS / KS-DL-1.2</t>
        </is>
      </c>
    </row>
    <row r="401">
      <c r="A401" s="22" t="inlineStr">
        <is>
          <t>E0398</t>
        </is>
      </c>
      <c r="B401" s="22" t="inlineStr">
        <is>
          <t>Charlotte</t>
        </is>
      </c>
      <c r="C401" s="22" t="inlineStr">
        <is>
          <t>Midwest</t>
        </is>
      </c>
      <c r="D401" s="22" t="inlineStr">
        <is>
          <t>HR</t>
        </is>
      </c>
      <c r="E401" s="22" t="inlineStr">
        <is>
          <t>Field Inspection</t>
        </is>
      </c>
      <c r="F401" s="22" t="inlineStr">
        <is>
          <t>No</t>
        </is>
      </c>
      <c r="G401" s="234" t="n">
        <v>74</v>
      </c>
      <c r="H401" s="225" t="n">
        <v>0.15</v>
      </c>
      <c r="I401" s="225" t="n">
        <v>0</v>
      </c>
      <c r="J401" s="225" t="n">
        <v>0</v>
      </c>
      <c r="K401" s="226" t="n">
        <v>42795</v>
      </c>
      <c r="L401" s="22" t="inlineStr">
        <is>
          <t>Meridian</t>
        </is>
      </c>
      <c r="M401" s="22" t="inlineStr">
        <is>
          <t>Active</t>
        </is>
      </c>
      <c r="N401" s="22" t="inlineStr">
        <is>
          <t>Staff</t>
        </is>
      </c>
      <c r="O401" s="22" t="inlineStr">
        <is>
          <t>No</t>
        </is>
      </c>
      <c r="P401" s="22" t="inlineStr">
        <is>
          <t>HRIS / KS-DL-1.2</t>
        </is>
      </c>
    </row>
    <row r="402">
      <c r="A402" s="22" t="inlineStr">
        <is>
          <t>E0399</t>
        </is>
      </c>
      <c r="B402" s="22" t="inlineStr">
        <is>
          <t>Cincinnati</t>
        </is>
      </c>
      <c r="C402" s="22" t="inlineStr">
        <is>
          <t>Southeast</t>
        </is>
      </c>
      <c r="D402" s="22" t="inlineStr">
        <is>
          <t>IT</t>
        </is>
      </c>
      <c r="E402" s="22" t="inlineStr">
        <is>
          <t>Permitting &amp; Advisory</t>
        </is>
      </c>
      <c r="F402" s="22" t="inlineStr">
        <is>
          <t>No</t>
        </is>
      </c>
      <c r="G402" s="234" t="n">
        <v>87</v>
      </c>
      <c r="H402" s="225" t="n">
        <v>0.15</v>
      </c>
      <c r="I402" s="225" t="n">
        <v>0</v>
      </c>
      <c r="J402" s="225" t="n">
        <v>0</v>
      </c>
      <c r="K402" s="226" t="n">
        <v>43191</v>
      </c>
      <c r="L402" s="22" t="inlineStr">
        <is>
          <t>Summit</t>
        </is>
      </c>
      <c r="M402" s="22" t="inlineStr">
        <is>
          <t>Active</t>
        </is>
      </c>
      <c r="N402" s="22" t="inlineStr">
        <is>
          <t>Staff</t>
        </is>
      </c>
      <c r="O402" s="22" t="inlineStr">
        <is>
          <t>No</t>
        </is>
      </c>
      <c r="P402" s="22" t="inlineStr">
        <is>
          <t>HRIS / KS-DL-1.2</t>
        </is>
      </c>
    </row>
    <row r="403">
      <c r="A403" s="22" t="inlineStr">
        <is>
          <t>E0400</t>
        </is>
      </c>
      <c r="B403" s="22" t="inlineStr">
        <is>
          <t>Columbus</t>
        </is>
      </c>
      <c r="C403" s="22" t="inlineStr">
        <is>
          <t>Midwest</t>
        </is>
      </c>
      <c r="D403" s="22" t="inlineStr">
        <is>
          <t>Technical</t>
        </is>
      </c>
      <c r="E403" s="22" t="inlineStr">
        <is>
          <t>EHS Compliance</t>
        </is>
      </c>
      <c r="F403" s="22" t="inlineStr">
        <is>
          <t>Yes</t>
        </is>
      </c>
      <c r="G403" s="234" t="n">
        <v>110</v>
      </c>
      <c r="H403" s="225" t="n">
        <v>0.05</v>
      </c>
      <c r="I403" s="225" t="n">
        <v>0.65</v>
      </c>
      <c r="J403" s="225" t="n">
        <v>0.61</v>
      </c>
      <c r="K403" s="226" t="n">
        <v>43586</v>
      </c>
      <c r="L403" s="22" t="inlineStr">
        <is>
          <t>Legacy Alderstone</t>
        </is>
      </c>
      <c r="M403" s="22" t="inlineStr">
        <is>
          <t>Active</t>
        </is>
      </c>
      <c r="N403" s="22" t="inlineStr">
        <is>
          <t>Staff</t>
        </is>
      </c>
      <c r="O403" s="22" t="inlineStr">
        <is>
          <t>No</t>
        </is>
      </c>
      <c r="P403" s="22" t="inlineStr">
        <is>
          <t>HRIS / KS-DL-1.2</t>
        </is>
      </c>
    </row>
    <row r="404">
      <c r="A404" s="22" t="inlineStr">
        <is>
          <t>E0401</t>
        </is>
      </c>
      <c r="B404" s="22" t="inlineStr">
        <is>
          <t>Knoxville</t>
        </is>
      </c>
      <c r="C404" s="22" t="inlineStr">
        <is>
          <t>Midwest</t>
        </is>
      </c>
      <c r="D404" s="22" t="inlineStr">
        <is>
          <t>Technical</t>
        </is>
      </c>
      <c r="E404" s="22" t="inlineStr">
        <is>
          <t>Industrial Hygiene</t>
        </is>
      </c>
      <c r="F404" s="22" t="inlineStr">
        <is>
          <t>Yes</t>
        </is>
      </c>
      <c r="G404" s="234" t="n">
        <v>127</v>
      </c>
      <c r="H404" s="225" t="n">
        <v>0.05</v>
      </c>
      <c r="I404" s="225" t="n">
        <v>0.7200000000000001</v>
      </c>
      <c r="J404" s="225" t="n">
        <v>0.68</v>
      </c>
      <c r="K404" s="226" t="n">
        <v>43983</v>
      </c>
      <c r="L404" s="22" t="inlineStr">
        <is>
          <t>Northstar</t>
        </is>
      </c>
      <c r="M404" s="22" t="inlineStr">
        <is>
          <t>Active</t>
        </is>
      </c>
      <c r="N404" s="22" t="inlineStr">
        <is>
          <t>Staff</t>
        </is>
      </c>
      <c r="O404" s="22" t="inlineStr">
        <is>
          <t>No</t>
        </is>
      </c>
      <c r="P404" s="22" t="inlineStr">
        <is>
          <t>HRIS / KS-DL-1.2</t>
        </is>
      </c>
    </row>
    <row r="405">
      <c r="A405" s="22" t="inlineStr">
        <is>
          <t>E0402</t>
        </is>
      </c>
      <c r="B405" s="22" t="inlineStr">
        <is>
          <t>Greenville</t>
        </is>
      </c>
      <c r="C405" s="22" t="inlineStr">
        <is>
          <t>Southeast</t>
        </is>
      </c>
      <c r="D405" s="22" t="inlineStr">
        <is>
          <t>Technical</t>
        </is>
      </c>
      <c r="E405" s="22" t="inlineStr">
        <is>
          <t>Field Inspection</t>
        </is>
      </c>
      <c r="F405" s="22" t="inlineStr">
        <is>
          <t>Yes</t>
        </is>
      </c>
      <c r="G405" s="234" t="n">
        <v>144</v>
      </c>
      <c r="H405" s="225" t="n">
        <v>0.05</v>
      </c>
      <c r="I405" s="225" t="n">
        <v>0.79</v>
      </c>
      <c r="J405" s="225" t="n">
        <v>0.75</v>
      </c>
      <c r="K405" s="226" t="n">
        <v>44378</v>
      </c>
      <c r="L405" s="22" t="inlineStr">
        <is>
          <t>Delta</t>
        </is>
      </c>
      <c r="M405" s="22" t="inlineStr">
        <is>
          <t>Active</t>
        </is>
      </c>
      <c r="N405" s="22" t="inlineStr">
        <is>
          <t>Staff</t>
        </is>
      </c>
      <c r="O405" s="22" t="inlineStr">
        <is>
          <t>No</t>
        </is>
      </c>
      <c r="P405" s="22" t="inlineStr">
        <is>
          <t>HRIS / KS-DL-1.2</t>
        </is>
      </c>
    </row>
    <row r="406">
      <c r="A406" s="22" t="inlineStr">
        <is>
          <t>E0403</t>
        </is>
      </c>
      <c r="B406" s="22" t="inlineStr">
        <is>
          <t>Milwaukee</t>
        </is>
      </c>
      <c r="C406" s="22" t="inlineStr">
        <is>
          <t>Midwest</t>
        </is>
      </c>
      <c r="D406" s="22" t="inlineStr">
        <is>
          <t>Technical</t>
        </is>
      </c>
      <c r="E406" s="22" t="inlineStr">
        <is>
          <t>Permitting &amp; Advisory</t>
        </is>
      </c>
      <c r="F406" s="22" t="inlineStr">
        <is>
          <t>Yes</t>
        </is>
      </c>
      <c r="G406" s="234" t="n">
        <v>71</v>
      </c>
      <c r="H406" s="225" t="n">
        <v>0.05</v>
      </c>
      <c r="I406" s="225" t="n">
        <v>0.5600000000000001</v>
      </c>
      <c r="J406" s="225" t="n">
        <v>0.52</v>
      </c>
      <c r="K406" s="226" t="n">
        <v>44774</v>
      </c>
      <c r="L406" s="22" t="inlineStr">
        <is>
          <t>Meridian</t>
        </is>
      </c>
      <c r="M406" s="22" t="inlineStr">
        <is>
          <t>Active</t>
        </is>
      </c>
      <c r="N406" s="22" t="inlineStr">
        <is>
          <t>Staff</t>
        </is>
      </c>
      <c r="O406" s="22" t="inlineStr">
        <is>
          <t>No</t>
        </is>
      </c>
      <c r="P406" s="22" t="inlineStr">
        <is>
          <t>HRIS / KS-DL-1.2</t>
        </is>
      </c>
    </row>
    <row r="407">
      <c r="A407" s="22" t="inlineStr">
        <is>
          <t>E0404</t>
        </is>
      </c>
      <c r="B407" s="22" t="inlineStr">
        <is>
          <t>St. Louis</t>
        </is>
      </c>
      <c r="C407" s="22" t="inlineStr">
        <is>
          <t>Midwest</t>
        </is>
      </c>
      <c r="D407" s="22" t="inlineStr">
        <is>
          <t>Project Management</t>
        </is>
      </c>
      <c r="E407" s="22" t="inlineStr">
        <is>
          <t>EHS Compliance</t>
        </is>
      </c>
      <c r="F407" s="22" t="inlineStr">
        <is>
          <t>Yes</t>
        </is>
      </c>
      <c r="G407" s="234" t="n">
        <v>88</v>
      </c>
      <c r="H407" s="225" t="n">
        <v>0.05</v>
      </c>
      <c r="I407" s="225" t="n">
        <v>0.63</v>
      </c>
      <c r="J407" s="225" t="n">
        <v>0.59</v>
      </c>
      <c r="K407" s="226" t="n">
        <v>45170</v>
      </c>
      <c r="L407" s="22" t="inlineStr">
        <is>
          <t>Summit</t>
        </is>
      </c>
      <c r="M407" s="22" t="inlineStr">
        <is>
          <t>Active</t>
        </is>
      </c>
      <c r="N407" s="22" t="inlineStr">
        <is>
          <t>Staff</t>
        </is>
      </c>
      <c r="O407" s="22" t="inlineStr">
        <is>
          <t>No</t>
        </is>
      </c>
      <c r="P407" s="22" t="inlineStr">
        <is>
          <t>HRIS / KS-DL-1.2</t>
        </is>
      </c>
    </row>
    <row r="408">
      <c r="A408" s="22" t="inlineStr">
        <is>
          <t>E0405</t>
        </is>
      </c>
      <c r="B408" s="22" t="inlineStr">
        <is>
          <t>Richmond</t>
        </is>
      </c>
      <c r="C408" s="22" t="inlineStr">
        <is>
          <t>Southeast</t>
        </is>
      </c>
      <c r="D408" s="22" t="inlineStr">
        <is>
          <t>Corporate</t>
        </is>
      </c>
      <c r="E408" s="22" t="inlineStr">
        <is>
          <t>Industrial Hygiene</t>
        </is>
      </c>
      <c r="F408" s="22" t="inlineStr">
        <is>
          <t>No</t>
        </is>
      </c>
      <c r="G408" s="234" t="n">
        <v>165</v>
      </c>
      <c r="H408" s="225" t="n">
        <v>0.15</v>
      </c>
      <c r="I408" s="225" t="n">
        <v>0</v>
      </c>
      <c r="J408" s="225" t="n">
        <v>0</v>
      </c>
      <c r="K408" s="226" t="n">
        <v>45566</v>
      </c>
      <c r="L408" s="22" t="inlineStr">
        <is>
          <t>Legacy Alderstone</t>
        </is>
      </c>
      <c r="M408" s="22" t="inlineStr">
        <is>
          <t>Active</t>
        </is>
      </c>
      <c r="N408" s="22" t="inlineStr">
        <is>
          <t>Staff</t>
        </is>
      </c>
      <c r="O408" s="22" t="inlineStr">
        <is>
          <t>No</t>
        </is>
      </c>
      <c r="P408" s="22" t="inlineStr">
        <is>
          <t>HRIS / KS-DL-1.2</t>
        </is>
      </c>
    </row>
    <row r="409">
      <c r="A409" s="22" t="inlineStr">
        <is>
          <t>E0406</t>
        </is>
      </c>
      <c r="B409" s="22" t="inlineStr">
        <is>
          <t>Indianapolis</t>
        </is>
      </c>
      <c r="C409" s="22" t="inlineStr">
        <is>
          <t>Midwest</t>
        </is>
      </c>
      <c r="D409" s="22" t="inlineStr">
        <is>
          <t>Sales</t>
        </is>
      </c>
      <c r="E409" s="22" t="inlineStr">
        <is>
          <t>Field Inspection</t>
        </is>
      </c>
      <c r="F409" s="22" t="inlineStr">
        <is>
          <t>No</t>
        </is>
      </c>
      <c r="G409" s="234" t="n">
        <v>178</v>
      </c>
      <c r="H409" s="225" t="n">
        <v>0.15</v>
      </c>
      <c r="I409" s="225" t="n">
        <v>0</v>
      </c>
      <c r="J409" s="225" t="n">
        <v>0</v>
      </c>
      <c r="K409" s="226" t="n">
        <v>45962</v>
      </c>
      <c r="L409" s="22" t="inlineStr">
        <is>
          <t>Northstar</t>
        </is>
      </c>
      <c r="M409" s="22" t="inlineStr">
        <is>
          <t>Active</t>
        </is>
      </c>
      <c r="N409" s="22" t="inlineStr">
        <is>
          <t>Staff</t>
        </is>
      </c>
      <c r="O409" s="22" t="inlineStr">
        <is>
          <t>Yes</t>
        </is>
      </c>
      <c r="P409" s="22" t="inlineStr">
        <is>
          <t>HRIS / KS-DL-1.2</t>
        </is>
      </c>
    </row>
    <row r="410">
      <c r="A410" s="22" t="inlineStr">
        <is>
          <t>E0407</t>
        </is>
      </c>
      <c r="B410" s="22" t="inlineStr">
        <is>
          <t>Chicago</t>
        </is>
      </c>
      <c r="C410" s="22" t="inlineStr">
        <is>
          <t>Midwest</t>
        </is>
      </c>
      <c r="D410" s="22" t="inlineStr">
        <is>
          <t>Finance</t>
        </is>
      </c>
      <c r="E410" s="22" t="inlineStr">
        <is>
          <t>Permitting &amp; Advisory</t>
        </is>
      </c>
      <c r="F410" s="22" t="inlineStr">
        <is>
          <t>No</t>
        </is>
      </c>
      <c r="G410" s="234" t="n">
        <v>81</v>
      </c>
      <c r="H410" s="225" t="n">
        <v>0.15</v>
      </c>
      <c r="I410" s="225" t="n">
        <v>0</v>
      </c>
      <c r="J410" s="225" t="n">
        <v>0</v>
      </c>
      <c r="K410" s="226" t="n">
        <v>42339</v>
      </c>
      <c r="L410" s="22" t="inlineStr">
        <is>
          <t>Delta</t>
        </is>
      </c>
      <c r="M410" s="22" t="inlineStr">
        <is>
          <t>Active</t>
        </is>
      </c>
      <c r="N410" s="22" t="inlineStr">
        <is>
          <t>Staff</t>
        </is>
      </c>
      <c r="O410" s="22" t="inlineStr">
        <is>
          <t>No</t>
        </is>
      </c>
      <c r="P410" s="22" t="inlineStr">
        <is>
          <t>HRIS / KS-DL-1.2</t>
        </is>
      </c>
    </row>
    <row r="411">
      <c r="A411" s="22" t="inlineStr">
        <is>
          <t>E0408</t>
        </is>
      </c>
      <c r="B411" s="22" t="inlineStr">
        <is>
          <t>Detroit</t>
        </is>
      </c>
      <c r="C411" s="22" t="inlineStr">
        <is>
          <t>Southeast</t>
        </is>
      </c>
      <c r="D411" s="22" t="inlineStr">
        <is>
          <t>HR</t>
        </is>
      </c>
      <c r="E411" s="22" t="inlineStr">
        <is>
          <t>EHS Compliance</t>
        </is>
      </c>
      <c r="F411" s="22" t="inlineStr">
        <is>
          <t>No</t>
        </is>
      </c>
      <c r="G411" s="234" t="n">
        <v>94</v>
      </c>
      <c r="H411" s="225" t="n">
        <v>0.15</v>
      </c>
      <c r="I411" s="225" t="n">
        <v>0</v>
      </c>
      <c r="J411" s="225" t="n">
        <v>0</v>
      </c>
      <c r="K411" s="226" t="n">
        <v>42370</v>
      </c>
      <c r="L411" s="22" t="inlineStr">
        <is>
          <t>Meridian</t>
        </is>
      </c>
      <c r="M411" s="22" t="inlineStr">
        <is>
          <t>Active</t>
        </is>
      </c>
      <c r="N411" s="22" t="inlineStr">
        <is>
          <t>Manager</t>
        </is>
      </c>
      <c r="O411" s="22" t="inlineStr">
        <is>
          <t>No</t>
        </is>
      </c>
      <c r="P411" s="22" t="inlineStr">
        <is>
          <t>HRIS / KS-DL-1.2</t>
        </is>
      </c>
    </row>
    <row r="412">
      <c r="A412" s="22" t="inlineStr">
        <is>
          <t>E0409</t>
        </is>
      </c>
      <c r="B412" s="22" t="inlineStr">
        <is>
          <t>Louisville</t>
        </is>
      </c>
      <c r="C412" s="22" t="inlineStr">
        <is>
          <t>Midwest</t>
        </is>
      </c>
      <c r="D412" s="22" t="inlineStr">
        <is>
          <t>IT</t>
        </is>
      </c>
      <c r="E412" s="22" t="inlineStr">
        <is>
          <t>Industrial Hygiene</t>
        </is>
      </c>
      <c r="F412" s="22" t="inlineStr">
        <is>
          <t>No</t>
        </is>
      </c>
      <c r="G412" s="234" t="n">
        <v>107</v>
      </c>
      <c r="H412" s="225" t="n">
        <v>0.15</v>
      </c>
      <c r="I412" s="225" t="n">
        <v>0</v>
      </c>
      <c r="J412" s="225" t="n">
        <v>0</v>
      </c>
      <c r="K412" s="226" t="n">
        <v>42767</v>
      </c>
      <c r="L412" s="22" t="inlineStr">
        <is>
          <t>Summit</t>
        </is>
      </c>
      <c r="M412" s="22" t="inlineStr">
        <is>
          <t>Active</t>
        </is>
      </c>
      <c r="N412" s="22" t="inlineStr">
        <is>
          <t>Staff</t>
        </is>
      </c>
      <c r="O412" s="22" t="inlineStr">
        <is>
          <t>No</t>
        </is>
      </c>
      <c r="P412" s="22" t="inlineStr">
        <is>
          <t>HRIS / KS-DL-1.2</t>
        </is>
      </c>
    </row>
    <row r="413">
      <c r="A413" s="22" t="inlineStr">
        <is>
          <t>E0410</t>
        </is>
      </c>
      <c r="B413" s="22" t="inlineStr">
        <is>
          <t>Nashville</t>
        </is>
      </c>
      <c r="C413" s="22" t="inlineStr">
        <is>
          <t>Midwest</t>
        </is>
      </c>
      <c r="D413" s="22" t="inlineStr">
        <is>
          <t>Technical</t>
        </is>
      </c>
      <c r="E413" s="22" t="inlineStr">
        <is>
          <t>Field Inspection</t>
        </is>
      </c>
      <c r="F413" s="22" t="inlineStr">
        <is>
          <t>Yes</t>
        </is>
      </c>
      <c r="G413" s="234" t="n">
        <v>100</v>
      </c>
      <c r="H413" s="225" t="n">
        <v>0.05</v>
      </c>
      <c r="I413" s="225" t="n">
        <v>0.75</v>
      </c>
      <c r="J413" s="225" t="n">
        <v>0.71</v>
      </c>
      <c r="K413" s="226" t="n">
        <v>43160</v>
      </c>
      <c r="L413" s="22" t="inlineStr">
        <is>
          <t>Legacy Alderstone</t>
        </is>
      </c>
      <c r="M413" s="22" t="inlineStr">
        <is>
          <t>Active</t>
        </is>
      </c>
      <c r="N413" s="22" t="inlineStr">
        <is>
          <t>Staff</t>
        </is>
      </c>
      <c r="O413" s="22" t="inlineStr">
        <is>
          <t>No</t>
        </is>
      </c>
      <c r="P413" s="22" t="inlineStr">
        <is>
          <t>HRIS / KS-DL-1.2</t>
        </is>
      </c>
    </row>
    <row r="414">
      <c r="A414" s="22" t="inlineStr">
        <is>
          <t>E0411</t>
        </is>
      </c>
      <c r="B414" s="22" t="inlineStr">
        <is>
          <t>Raleigh</t>
        </is>
      </c>
      <c r="C414" s="22" t="inlineStr">
        <is>
          <t>Southeast</t>
        </is>
      </c>
      <c r="D414" s="22" t="inlineStr">
        <is>
          <t>Technical</t>
        </is>
      </c>
      <c r="E414" s="22" t="inlineStr">
        <is>
          <t>Permitting &amp; Advisory</t>
        </is>
      </c>
      <c r="F414" s="22" t="inlineStr">
        <is>
          <t>Yes</t>
        </is>
      </c>
      <c r="G414" s="234" t="n">
        <v>117</v>
      </c>
      <c r="H414" s="225" t="n">
        <v>0.05</v>
      </c>
      <c r="I414" s="225" t="n">
        <v>0.8200000000000001</v>
      </c>
      <c r="J414" s="225" t="n">
        <v>0.78</v>
      </c>
      <c r="K414" s="226" t="n">
        <v>43556</v>
      </c>
      <c r="L414" s="22" t="inlineStr">
        <is>
          <t>Northstar</t>
        </is>
      </c>
      <c r="M414" s="22" t="inlineStr">
        <is>
          <t>Active</t>
        </is>
      </c>
      <c r="N414" s="22" t="inlineStr">
        <is>
          <t>Staff</t>
        </is>
      </c>
      <c r="O414" s="22" t="inlineStr">
        <is>
          <t>No</t>
        </is>
      </c>
      <c r="P414" s="22" t="inlineStr">
        <is>
          <t>HRIS / KS-DL-1.2</t>
        </is>
      </c>
    </row>
    <row r="415">
      <c r="A415" s="22" t="inlineStr">
        <is>
          <t>E0412</t>
        </is>
      </c>
      <c r="B415" s="22" t="inlineStr">
        <is>
          <t>Charlotte</t>
        </is>
      </c>
      <c r="C415" s="22" t="inlineStr">
        <is>
          <t>Midwest</t>
        </is>
      </c>
      <c r="D415" s="22" t="inlineStr">
        <is>
          <t>Technical</t>
        </is>
      </c>
      <c r="E415" s="22" t="inlineStr">
        <is>
          <t>EHS Compliance</t>
        </is>
      </c>
      <c r="F415" s="22" t="inlineStr">
        <is>
          <t>Yes</t>
        </is>
      </c>
      <c r="G415" s="234" t="n">
        <v>134</v>
      </c>
      <c r="H415" s="225" t="n">
        <v>0.05</v>
      </c>
      <c r="I415" s="225" t="n">
        <v>0.5900000000000001</v>
      </c>
      <c r="J415" s="225" t="n">
        <v>0.55</v>
      </c>
      <c r="K415" s="226" t="n">
        <v>43952</v>
      </c>
      <c r="L415" s="22" t="inlineStr">
        <is>
          <t>Delta</t>
        </is>
      </c>
      <c r="M415" s="22" t="inlineStr">
        <is>
          <t>Active</t>
        </is>
      </c>
      <c r="N415" s="22" t="inlineStr">
        <is>
          <t>Staff</t>
        </is>
      </c>
      <c r="O415" s="22" t="inlineStr">
        <is>
          <t>No</t>
        </is>
      </c>
      <c r="P415" s="22" t="inlineStr">
        <is>
          <t>HRIS / KS-DL-1.2</t>
        </is>
      </c>
    </row>
    <row r="416">
      <c r="A416" s="22" t="inlineStr">
        <is>
          <t>E0413</t>
        </is>
      </c>
      <c r="B416" s="22" t="inlineStr">
        <is>
          <t>Cincinnati</t>
        </is>
      </c>
      <c r="C416" s="22" t="inlineStr">
        <is>
          <t>Midwest</t>
        </is>
      </c>
      <c r="D416" s="22" t="inlineStr">
        <is>
          <t>Technical</t>
        </is>
      </c>
      <c r="E416" s="22" t="inlineStr">
        <is>
          <t>Industrial Hygiene</t>
        </is>
      </c>
      <c r="F416" s="22" t="inlineStr">
        <is>
          <t>Yes</t>
        </is>
      </c>
      <c r="G416" s="234" t="n">
        <v>61</v>
      </c>
      <c r="H416" s="225" t="n">
        <v>0.05</v>
      </c>
      <c r="I416" s="225" t="n">
        <v>0.66</v>
      </c>
      <c r="J416" s="225" t="n">
        <v>0.62</v>
      </c>
      <c r="K416" s="226" t="n">
        <v>44348</v>
      </c>
      <c r="L416" s="22" t="inlineStr">
        <is>
          <t>Meridian</t>
        </is>
      </c>
      <c r="M416" s="22" t="inlineStr">
        <is>
          <t>Active</t>
        </is>
      </c>
      <c r="N416" s="22" t="inlineStr">
        <is>
          <t>Staff</t>
        </is>
      </c>
      <c r="O416" s="22" t="inlineStr">
        <is>
          <t>No</t>
        </is>
      </c>
      <c r="P416" s="22" t="inlineStr">
        <is>
          <t>HRIS / KS-DL-1.2</t>
        </is>
      </c>
    </row>
    <row r="417">
      <c r="A417" s="22" t="inlineStr">
        <is>
          <t>E0414</t>
        </is>
      </c>
      <c r="B417" s="22" t="inlineStr">
        <is>
          <t>Columbus</t>
        </is>
      </c>
      <c r="C417" s="22" t="inlineStr">
        <is>
          <t>Southeast</t>
        </is>
      </c>
      <c r="D417" s="22" t="inlineStr">
        <is>
          <t>Project Management</t>
        </is>
      </c>
      <c r="E417" s="22" t="inlineStr">
        <is>
          <t>Field Inspection</t>
        </is>
      </c>
      <c r="F417" s="22" t="inlineStr">
        <is>
          <t>Yes</t>
        </is>
      </c>
      <c r="G417" s="234" t="n">
        <v>78</v>
      </c>
      <c r="H417" s="225" t="n">
        <v>0.05</v>
      </c>
      <c r="I417" s="225" t="n">
        <v>0.73</v>
      </c>
      <c r="J417" s="225" t="n">
        <v>0.6899999999999999</v>
      </c>
      <c r="K417" s="226" t="n">
        <v>44743</v>
      </c>
      <c r="L417" s="22" t="inlineStr">
        <is>
          <t>Summit</t>
        </is>
      </c>
      <c r="M417" s="22" t="inlineStr">
        <is>
          <t>Active</t>
        </is>
      </c>
      <c r="N417" s="22" t="inlineStr">
        <is>
          <t>Staff</t>
        </is>
      </c>
      <c r="O417" s="22" t="inlineStr">
        <is>
          <t>No</t>
        </is>
      </c>
      <c r="P417" s="22" t="inlineStr">
        <is>
          <t>HRIS / KS-DL-1.2</t>
        </is>
      </c>
    </row>
    <row r="418">
      <c r="A418" s="22" t="inlineStr">
        <is>
          <t>E0415</t>
        </is>
      </c>
      <c r="B418" s="22" t="inlineStr">
        <is>
          <t>Knoxville</t>
        </is>
      </c>
      <c r="C418" s="22" t="inlineStr">
        <is>
          <t>Midwest</t>
        </is>
      </c>
      <c r="D418" s="22" t="inlineStr">
        <is>
          <t>Corporate</t>
        </is>
      </c>
      <c r="E418" s="22" t="inlineStr">
        <is>
          <t>Permitting &amp; Advisory</t>
        </is>
      </c>
      <c r="F418" s="22" t="inlineStr">
        <is>
          <t>No</t>
        </is>
      </c>
      <c r="G418" s="234" t="n">
        <v>75</v>
      </c>
      <c r="H418" s="225" t="n">
        <v>0.15</v>
      </c>
      <c r="I418" s="225" t="n">
        <v>0</v>
      </c>
      <c r="J418" s="225" t="n">
        <v>0</v>
      </c>
      <c r="K418" s="226" t="n">
        <v>45139</v>
      </c>
      <c r="L418" s="22" t="inlineStr">
        <is>
          <t>Legacy Alderstone</t>
        </is>
      </c>
      <c r="M418" s="22" t="inlineStr">
        <is>
          <t>Active</t>
        </is>
      </c>
      <c r="N418" s="22" t="inlineStr">
        <is>
          <t>Staff</t>
        </is>
      </c>
      <c r="O418" s="22" t="inlineStr">
        <is>
          <t>No</t>
        </is>
      </c>
      <c r="P418" s="22" t="inlineStr">
        <is>
          <t>HRIS / KS-DL-1.2</t>
        </is>
      </c>
    </row>
    <row r="419">
      <c r="A419" s="22" t="inlineStr">
        <is>
          <t>E0416</t>
        </is>
      </c>
      <c r="B419" s="22" t="inlineStr">
        <is>
          <t>Greenville</t>
        </is>
      </c>
      <c r="C419" s="22" t="inlineStr">
        <is>
          <t>Midwest</t>
        </is>
      </c>
      <c r="D419" s="22" t="inlineStr">
        <is>
          <t>Sales</t>
        </is>
      </c>
      <c r="E419" s="22" t="inlineStr">
        <is>
          <t>EHS Compliance</t>
        </is>
      </c>
      <c r="F419" s="22" t="inlineStr">
        <is>
          <t>No</t>
        </is>
      </c>
      <c r="G419" s="234" t="n">
        <v>88</v>
      </c>
      <c r="H419" s="225" t="n">
        <v>0.15</v>
      </c>
      <c r="I419" s="225" t="n">
        <v>0</v>
      </c>
      <c r="J419" s="225" t="n">
        <v>0</v>
      </c>
      <c r="K419" s="226" t="n">
        <v>45536</v>
      </c>
      <c r="L419" s="22" t="inlineStr">
        <is>
          <t>Northstar</t>
        </is>
      </c>
      <c r="M419" s="22" t="inlineStr">
        <is>
          <t>Active</t>
        </is>
      </c>
      <c r="N419" s="22" t="inlineStr">
        <is>
          <t>Staff</t>
        </is>
      </c>
      <c r="O419" s="22" t="inlineStr">
        <is>
          <t>No</t>
        </is>
      </c>
      <c r="P419" s="22" t="inlineStr">
        <is>
          <t>HRIS / KS-DL-1.2</t>
        </is>
      </c>
    </row>
    <row r="420">
      <c r="A420" s="22" t="inlineStr">
        <is>
          <t>E0417</t>
        </is>
      </c>
      <c r="B420" s="22" t="inlineStr">
        <is>
          <t>Milwaukee</t>
        </is>
      </c>
      <c r="C420" s="22" t="inlineStr">
        <is>
          <t>Southeast</t>
        </is>
      </c>
      <c r="D420" s="22" t="inlineStr">
        <is>
          <t>Finance</t>
        </is>
      </c>
      <c r="E420" s="22" t="inlineStr">
        <is>
          <t>Industrial Hygiene</t>
        </is>
      </c>
      <c r="F420" s="22" t="inlineStr">
        <is>
          <t>No</t>
        </is>
      </c>
      <c r="G420" s="234" t="n">
        <v>101</v>
      </c>
      <c r="H420" s="225" t="n">
        <v>0.15</v>
      </c>
      <c r="I420" s="225" t="n">
        <v>0</v>
      </c>
      <c r="J420" s="225" t="n">
        <v>0</v>
      </c>
      <c r="K420" s="226" t="n">
        <v>45931</v>
      </c>
      <c r="L420" s="22" t="inlineStr">
        <is>
          <t>Delta</t>
        </is>
      </c>
      <c r="M420" s="22" t="inlineStr">
        <is>
          <t>Active</t>
        </is>
      </c>
      <c r="N420" s="22" t="inlineStr">
        <is>
          <t>Staff</t>
        </is>
      </c>
      <c r="O420" s="22" t="inlineStr">
        <is>
          <t>No</t>
        </is>
      </c>
      <c r="P420" s="22" t="inlineStr">
        <is>
          <t>HRIS / KS-DL-1.2</t>
        </is>
      </c>
    </row>
    <row r="421">
      <c r="A421" s="22" t="inlineStr">
        <is>
          <t>E0418</t>
        </is>
      </c>
      <c r="B421" s="22" t="inlineStr">
        <is>
          <t>St. Louis</t>
        </is>
      </c>
      <c r="C421" s="22" t="inlineStr">
        <is>
          <t>Midwest</t>
        </is>
      </c>
      <c r="D421" s="22" t="inlineStr">
        <is>
          <t>HR</t>
        </is>
      </c>
      <c r="E421" s="22" t="inlineStr">
        <is>
          <t>Field Inspection</t>
        </is>
      </c>
      <c r="F421" s="22" t="inlineStr">
        <is>
          <t>No</t>
        </is>
      </c>
      <c r="G421" s="234" t="n">
        <v>114</v>
      </c>
      <c r="H421" s="225" t="n">
        <v>0.15</v>
      </c>
      <c r="I421" s="225" t="n">
        <v>0</v>
      </c>
      <c r="J421" s="225" t="n">
        <v>0</v>
      </c>
      <c r="K421" s="226" t="n">
        <v>42309</v>
      </c>
      <c r="L421" s="22" t="inlineStr">
        <is>
          <t>Meridian</t>
        </is>
      </c>
      <c r="M421" s="22" t="inlineStr">
        <is>
          <t>Active</t>
        </is>
      </c>
      <c r="N421" s="22" t="inlineStr">
        <is>
          <t>Staff</t>
        </is>
      </c>
      <c r="O421" s="22" t="inlineStr">
        <is>
          <t>No</t>
        </is>
      </c>
      <c r="P421" s="22" t="inlineStr">
        <is>
          <t>HRIS / KS-DL-1.2</t>
        </is>
      </c>
    </row>
    <row r="422">
      <c r="A422" s="22" t="inlineStr">
        <is>
          <t>E0419</t>
        </is>
      </c>
      <c r="B422" s="22" t="inlineStr">
        <is>
          <t>Richmond</t>
        </is>
      </c>
      <c r="C422" s="22" t="inlineStr">
        <is>
          <t>Midwest</t>
        </is>
      </c>
      <c r="D422" s="22" t="inlineStr">
        <is>
          <t>IT</t>
        </is>
      </c>
      <c r="E422" s="22" t="inlineStr">
        <is>
          <t>Permitting &amp; Advisory</t>
        </is>
      </c>
      <c r="F422" s="22" t="inlineStr">
        <is>
          <t>No</t>
        </is>
      </c>
      <c r="G422" s="234" t="n">
        <v>127</v>
      </c>
      <c r="H422" s="225" t="n">
        <v>0.15</v>
      </c>
      <c r="I422" s="225" t="n">
        <v>0</v>
      </c>
      <c r="J422" s="225" t="n">
        <v>0</v>
      </c>
      <c r="K422" s="226" t="n">
        <v>42705</v>
      </c>
      <c r="L422" s="22" t="inlineStr">
        <is>
          <t>Summit</t>
        </is>
      </c>
      <c r="M422" s="22" t="inlineStr">
        <is>
          <t>Active</t>
        </is>
      </c>
      <c r="N422" s="22" t="inlineStr">
        <is>
          <t>Staff</t>
        </is>
      </c>
      <c r="O422" s="22" t="inlineStr">
        <is>
          <t>No</t>
        </is>
      </c>
      <c r="P422" s="22" t="inlineStr">
        <is>
          <t>HRIS / KS-DL-1.2</t>
        </is>
      </c>
    </row>
    <row r="423">
      <c r="A423" s="22" t="inlineStr">
        <is>
          <t>E0420</t>
        </is>
      </c>
      <c r="B423" s="22" t="inlineStr">
        <is>
          <t>Indianapolis</t>
        </is>
      </c>
      <c r="C423" s="22" t="inlineStr">
        <is>
          <t>Southeast</t>
        </is>
      </c>
      <c r="D423" s="22" t="inlineStr">
        <is>
          <t>Technical</t>
        </is>
      </c>
      <c r="E423" s="22" t="inlineStr">
        <is>
          <t>EHS Compliance</t>
        </is>
      </c>
      <c r="F423" s="22" t="inlineStr">
        <is>
          <t>Yes</t>
        </is>
      </c>
      <c r="G423" s="234" t="n">
        <v>90</v>
      </c>
      <c r="H423" s="225" t="n">
        <v>0.05</v>
      </c>
      <c r="I423" s="225" t="n">
        <v>0.55</v>
      </c>
      <c r="J423" s="225" t="n">
        <v>0.51</v>
      </c>
      <c r="K423" s="226" t="n">
        <v>42736</v>
      </c>
      <c r="L423" s="22" t="inlineStr">
        <is>
          <t>Legacy Alderstone</t>
        </is>
      </c>
      <c r="M423" s="22" t="inlineStr">
        <is>
          <t>Active</t>
        </is>
      </c>
      <c r="N423" s="22" t="inlineStr">
        <is>
          <t>Manager</t>
        </is>
      </c>
      <c r="O423" s="22" t="inlineStr">
        <is>
          <t>No</t>
        </is>
      </c>
      <c r="P423" s="22" t="inlineStr">
        <is>
          <t>HRIS / KS-DL-1.2</t>
        </is>
      </c>
    </row>
    <row r="424">
      <c r="A424" s="22" t="inlineStr">
        <is>
          <t>E0421</t>
        </is>
      </c>
      <c r="B424" s="22" t="inlineStr">
        <is>
          <t>Chicago</t>
        </is>
      </c>
      <c r="C424" s="22" t="inlineStr">
        <is>
          <t>Midwest</t>
        </is>
      </c>
      <c r="D424" s="22" t="inlineStr">
        <is>
          <t>Technical</t>
        </is>
      </c>
      <c r="E424" s="22" t="inlineStr">
        <is>
          <t>Industrial Hygiene</t>
        </is>
      </c>
      <c r="F424" s="22" t="inlineStr">
        <is>
          <t>Yes</t>
        </is>
      </c>
      <c r="G424" s="234" t="n">
        <v>107</v>
      </c>
      <c r="H424" s="225" t="n">
        <v>0.05</v>
      </c>
      <c r="I424" s="225" t="n">
        <v>0.6200000000000001</v>
      </c>
      <c r="J424" s="225" t="n">
        <v>0.5800000000000001</v>
      </c>
      <c r="K424" s="226" t="n">
        <v>43132</v>
      </c>
      <c r="L424" s="22" t="inlineStr">
        <is>
          <t>Northstar</t>
        </is>
      </c>
      <c r="M424" s="22" t="inlineStr">
        <is>
          <t>Active</t>
        </is>
      </c>
      <c r="N424" s="22" t="inlineStr">
        <is>
          <t>Staff</t>
        </is>
      </c>
      <c r="O424" s="22" t="inlineStr">
        <is>
          <t>No</t>
        </is>
      </c>
      <c r="P424" s="22" t="inlineStr">
        <is>
          <t>HRIS / KS-DL-1.2</t>
        </is>
      </c>
    </row>
    <row r="425">
      <c r="A425" s="22" t="inlineStr">
        <is>
          <t>E0422</t>
        </is>
      </c>
      <c r="B425" s="22" t="inlineStr">
        <is>
          <t>Detroit</t>
        </is>
      </c>
      <c r="C425" s="22" t="inlineStr">
        <is>
          <t>Midwest</t>
        </is>
      </c>
      <c r="D425" s="22" t="inlineStr">
        <is>
          <t>Technical</t>
        </is>
      </c>
      <c r="E425" s="22" t="inlineStr">
        <is>
          <t>Field Inspection</t>
        </is>
      </c>
      <c r="F425" s="22" t="inlineStr">
        <is>
          <t>Yes</t>
        </is>
      </c>
      <c r="G425" s="234" t="n">
        <v>124</v>
      </c>
      <c r="H425" s="225" t="n">
        <v>0.05</v>
      </c>
      <c r="I425" s="225" t="n">
        <v>0.6900000000000001</v>
      </c>
      <c r="J425" s="225" t="n">
        <v>0.65</v>
      </c>
      <c r="K425" s="226" t="n">
        <v>43525</v>
      </c>
      <c r="L425" s="22" t="inlineStr">
        <is>
          <t>Delta</t>
        </is>
      </c>
      <c r="M425" s="22" t="inlineStr">
        <is>
          <t>Active</t>
        </is>
      </c>
      <c r="N425" s="22" t="inlineStr">
        <is>
          <t>Staff</t>
        </is>
      </c>
      <c r="O425" s="22" t="inlineStr">
        <is>
          <t>No</t>
        </is>
      </c>
      <c r="P425" s="22" t="inlineStr">
        <is>
          <t>HRIS / KS-DL-1.2</t>
        </is>
      </c>
    </row>
    <row r="426">
      <c r="A426" s="22" t="inlineStr">
        <is>
          <t>E0423</t>
        </is>
      </c>
      <c r="B426" s="22" t="inlineStr">
        <is>
          <t>Louisville</t>
        </is>
      </c>
      <c r="C426" s="22" t="inlineStr">
        <is>
          <t>Southeast</t>
        </is>
      </c>
      <c r="D426" s="22" t="inlineStr">
        <is>
          <t>Technical</t>
        </is>
      </c>
      <c r="E426" s="22" t="inlineStr">
        <is>
          <t>Permitting &amp; Advisory</t>
        </is>
      </c>
      <c r="F426" s="22" t="inlineStr">
        <is>
          <t>Yes</t>
        </is>
      </c>
      <c r="G426" s="234" t="n">
        <v>141</v>
      </c>
      <c r="H426" s="225" t="n">
        <v>0.05</v>
      </c>
      <c r="I426" s="225" t="n">
        <v>0.76</v>
      </c>
      <c r="J426" s="225" t="n">
        <v>0.72</v>
      </c>
      <c r="K426" s="226" t="n">
        <v>43922</v>
      </c>
      <c r="L426" s="22" t="inlineStr">
        <is>
          <t>Meridian</t>
        </is>
      </c>
      <c r="M426" s="22" t="inlineStr">
        <is>
          <t>Active</t>
        </is>
      </c>
      <c r="N426" s="22" t="inlineStr">
        <is>
          <t>Staff</t>
        </is>
      </c>
      <c r="O426" s="22" t="inlineStr">
        <is>
          <t>No</t>
        </is>
      </c>
      <c r="P426" s="22" t="inlineStr">
        <is>
          <t>HRIS / KS-DL-1.2</t>
        </is>
      </c>
    </row>
    <row r="427">
      <c r="A427" s="22" t="inlineStr">
        <is>
          <t>E0424</t>
        </is>
      </c>
      <c r="B427" s="22" t="inlineStr">
        <is>
          <t>Nashville</t>
        </is>
      </c>
      <c r="C427" s="22" t="inlineStr">
        <is>
          <t>Midwest</t>
        </is>
      </c>
      <c r="D427" s="22" t="inlineStr">
        <is>
          <t>Project Management</t>
        </is>
      </c>
      <c r="E427" s="22" t="inlineStr">
        <is>
          <t>EHS Compliance</t>
        </is>
      </c>
      <c r="F427" s="22" t="inlineStr">
        <is>
          <t>Yes</t>
        </is>
      </c>
      <c r="G427" s="234" t="n">
        <v>68</v>
      </c>
      <c r="H427" s="225" t="n">
        <v>0.05</v>
      </c>
      <c r="I427" s="225" t="n">
        <v>0.8300000000000001</v>
      </c>
      <c r="J427" s="225" t="n">
        <v>0.79</v>
      </c>
      <c r="K427" s="226" t="n">
        <v>44317</v>
      </c>
      <c r="L427" s="22" t="inlineStr">
        <is>
          <t>Summit</t>
        </is>
      </c>
      <c r="M427" s="22" t="inlineStr">
        <is>
          <t>Active</t>
        </is>
      </c>
      <c r="N427" s="22" t="inlineStr">
        <is>
          <t>Staff</t>
        </is>
      </c>
      <c r="O427" s="22" t="inlineStr">
        <is>
          <t>No</t>
        </is>
      </c>
      <c r="P427" s="22" t="inlineStr">
        <is>
          <t>HRIS / KS-DL-1.2</t>
        </is>
      </c>
    </row>
    <row r="428">
      <c r="A428" s="22" t="inlineStr">
        <is>
          <t>E0425</t>
        </is>
      </c>
      <c r="B428" s="22" t="inlineStr">
        <is>
          <t>Raleigh</t>
        </is>
      </c>
      <c r="C428" s="22" t="inlineStr">
        <is>
          <t>Midwest</t>
        </is>
      </c>
      <c r="D428" s="22" t="inlineStr">
        <is>
          <t>Corporate</t>
        </is>
      </c>
      <c r="E428" s="22" t="inlineStr">
        <is>
          <t>Industrial Hygiene</t>
        </is>
      </c>
      <c r="F428" s="22" t="inlineStr">
        <is>
          <t>No</t>
        </is>
      </c>
      <c r="G428" s="234" t="n">
        <v>95</v>
      </c>
      <c r="H428" s="225" t="n">
        <v>0.15</v>
      </c>
      <c r="I428" s="225" t="n">
        <v>0</v>
      </c>
      <c r="J428" s="225" t="n">
        <v>0</v>
      </c>
      <c r="K428" s="226" t="n">
        <v>44713</v>
      </c>
      <c r="L428" s="22" t="inlineStr">
        <is>
          <t>Legacy Alderstone</t>
        </is>
      </c>
      <c r="M428" s="22" t="inlineStr">
        <is>
          <t>Active</t>
        </is>
      </c>
      <c r="N428" s="22" t="inlineStr">
        <is>
          <t>Staff</t>
        </is>
      </c>
      <c r="O428" s="22" t="inlineStr">
        <is>
          <t>No</t>
        </is>
      </c>
      <c r="P428" s="22" t="inlineStr">
        <is>
          <t>HRIS / KS-DL-1.2</t>
        </is>
      </c>
    </row>
    <row r="429">
      <c r="A429" s="22" t="inlineStr">
        <is>
          <t>E0426</t>
        </is>
      </c>
      <c r="B429" s="22" t="inlineStr">
        <is>
          <t>Charlotte</t>
        </is>
      </c>
      <c r="C429" s="22" t="inlineStr">
        <is>
          <t>Southeast</t>
        </is>
      </c>
      <c r="D429" s="22" t="inlineStr">
        <is>
          <t>Sales</t>
        </is>
      </c>
      <c r="E429" s="22" t="inlineStr">
        <is>
          <t>Field Inspection</t>
        </is>
      </c>
      <c r="F429" s="22" t="inlineStr">
        <is>
          <t>No</t>
        </is>
      </c>
      <c r="G429" s="234" t="n">
        <v>108</v>
      </c>
      <c r="H429" s="225" t="n">
        <v>0.15</v>
      </c>
      <c r="I429" s="225" t="n">
        <v>0</v>
      </c>
      <c r="J429" s="225" t="n">
        <v>0</v>
      </c>
      <c r="K429" s="226" t="n">
        <v>45108</v>
      </c>
      <c r="L429" s="22" t="inlineStr">
        <is>
          <t>Northstar</t>
        </is>
      </c>
      <c r="M429" s="22" t="inlineStr">
        <is>
          <t>Active</t>
        </is>
      </c>
      <c r="N429" s="22" t="inlineStr">
        <is>
          <t>Staff</t>
        </is>
      </c>
      <c r="O429" s="22" t="inlineStr">
        <is>
          <t>No</t>
        </is>
      </c>
      <c r="P429" s="22" t="inlineStr">
        <is>
          <t>HRIS / KS-DL-1.2</t>
        </is>
      </c>
    </row>
    <row r="430">
      <c r="A430" s="22" t="inlineStr">
        <is>
          <t>E0427</t>
        </is>
      </c>
      <c r="B430" s="22" t="inlineStr">
        <is>
          <t>Cincinnati</t>
        </is>
      </c>
      <c r="C430" s="22" t="inlineStr">
        <is>
          <t>Midwest</t>
        </is>
      </c>
      <c r="D430" s="22" t="inlineStr">
        <is>
          <t>Finance</t>
        </is>
      </c>
      <c r="E430" s="22" t="inlineStr">
        <is>
          <t>Permitting &amp; Advisory</t>
        </is>
      </c>
      <c r="F430" s="22" t="inlineStr">
        <is>
          <t>No</t>
        </is>
      </c>
      <c r="G430" s="234" t="n">
        <v>121</v>
      </c>
      <c r="H430" s="225" t="n">
        <v>0.15</v>
      </c>
      <c r="I430" s="225" t="n">
        <v>0</v>
      </c>
      <c r="J430" s="225" t="n">
        <v>0</v>
      </c>
      <c r="K430" s="226" t="n">
        <v>45505</v>
      </c>
      <c r="L430" s="22" t="inlineStr">
        <is>
          <t>Delta</t>
        </is>
      </c>
      <c r="M430" s="22" t="inlineStr">
        <is>
          <t>Active</t>
        </is>
      </c>
      <c r="N430" s="22" t="inlineStr">
        <is>
          <t>Staff</t>
        </is>
      </c>
      <c r="O430" s="22" t="inlineStr">
        <is>
          <t>No</t>
        </is>
      </c>
      <c r="P430" s="22" t="inlineStr">
        <is>
          <t>HRIS / KS-DL-1.2</t>
        </is>
      </c>
    </row>
    <row r="431">
      <c r="A431" s="22" t="inlineStr">
        <is>
          <t>E0428</t>
        </is>
      </c>
      <c r="B431" s="22" t="inlineStr">
        <is>
          <t>Columbus</t>
        </is>
      </c>
      <c r="C431" s="22" t="inlineStr">
        <is>
          <t>Midwest</t>
        </is>
      </c>
      <c r="D431" s="22" t="inlineStr">
        <is>
          <t>HR</t>
        </is>
      </c>
      <c r="E431" s="22" t="inlineStr">
        <is>
          <t>EHS Compliance</t>
        </is>
      </c>
      <c r="F431" s="22" t="inlineStr">
        <is>
          <t>No</t>
        </is>
      </c>
      <c r="G431" s="234" t="n">
        <v>134</v>
      </c>
      <c r="H431" s="225" t="n">
        <v>0.15</v>
      </c>
      <c r="I431" s="225" t="n">
        <v>0</v>
      </c>
      <c r="J431" s="225" t="n">
        <v>0</v>
      </c>
      <c r="K431" s="226" t="n">
        <v>45901</v>
      </c>
      <c r="L431" s="22" t="inlineStr">
        <is>
          <t>Meridian</t>
        </is>
      </c>
      <c r="M431" s="22" t="inlineStr">
        <is>
          <t>Active</t>
        </is>
      </c>
      <c r="N431" s="22" t="inlineStr">
        <is>
          <t>Staff</t>
        </is>
      </c>
      <c r="O431" s="22" t="inlineStr">
        <is>
          <t>No</t>
        </is>
      </c>
      <c r="P431" s="22" t="inlineStr">
        <is>
          <t>HRIS / KS-DL-1.2</t>
        </is>
      </c>
    </row>
    <row r="432">
      <c r="A432" s="22" t="inlineStr">
        <is>
          <t>E0429</t>
        </is>
      </c>
      <c r="B432" s="22" t="inlineStr">
        <is>
          <t>Knoxville</t>
        </is>
      </c>
      <c r="C432" s="22" t="inlineStr">
        <is>
          <t>Southeast</t>
        </is>
      </c>
      <c r="D432" s="22" t="inlineStr">
        <is>
          <t>IT</t>
        </is>
      </c>
      <c r="E432" s="22" t="inlineStr">
        <is>
          <t>Industrial Hygiene</t>
        </is>
      </c>
      <c r="F432" s="22" t="inlineStr">
        <is>
          <t>No</t>
        </is>
      </c>
      <c r="G432" s="234" t="n">
        <v>147</v>
      </c>
      <c r="H432" s="225" t="n">
        <v>0.15</v>
      </c>
      <c r="I432" s="225" t="n">
        <v>0</v>
      </c>
      <c r="J432" s="225" t="n">
        <v>0</v>
      </c>
      <c r="K432" s="226" t="n">
        <v>42278</v>
      </c>
      <c r="L432" s="22" t="inlineStr">
        <is>
          <t>Summit</t>
        </is>
      </c>
      <c r="M432" s="22" t="inlineStr">
        <is>
          <t>Active</t>
        </is>
      </c>
      <c r="N432" s="22" t="inlineStr">
        <is>
          <t>Staff</t>
        </is>
      </c>
      <c r="O432" s="22" t="inlineStr">
        <is>
          <t>No</t>
        </is>
      </c>
      <c r="P432" s="22" t="inlineStr">
        <is>
          <t>HRIS / KS-DL-1.2</t>
        </is>
      </c>
    </row>
    <row r="433">
      <c r="A433" s="22" t="inlineStr">
        <is>
          <t>E0430</t>
        </is>
      </c>
      <c r="B433" s="22" t="inlineStr">
        <is>
          <t>Greenville</t>
        </is>
      </c>
      <c r="C433" s="22" t="inlineStr">
        <is>
          <t>Midwest</t>
        </is>
      </c>
      <c r="D433" s="22" t="inlineStr">
        <is>
          <t>Technical</t>
        </is>
      </c>
      <c r="E433" s="22" t="inlineStr">
        <is>
          <t>Field Inspection</t>
        </is>
      </c>
      <c r="F433" s="22" t="inlineStr">
        <is>
          <t>Yes</t>
        </is>
      </c>
      <c r="G433" s="234" t="n">
        <v>80</v>
      </c>
      <c r="H433" s="225" t="n">
        <v>0.05</v>
      </c>
      <c r="I433" s="225" t="n">
        <v>0.65</v>
      </c>
      <c r="J433" s="225" t="n">
        <v>0.61</v>
      </c>
      <c r="K433" s="226" t="n">
        <v>42675</v>
      </c>
      <c r="L433" s="22" t="inlineStr">
        <is>
          <t>Legacy Alderstone</t>
        </is>
      </c>
      <c r="M433" s="22" t="inlineStr">
        <is>
          <t>Active</t>
        </is>
      </c>
      <c r="N433" s="22" t="inlineStr">
        <is>
          <t>Staff</t>
        </is>
      </c>
      <c r="O433" s="22" t="inlineStr">
        <is>
          <t>No</t>
        </is>
      </c>
      <c r="P433" s="22" t="inlineStr">
        <is>
          <t>HRIS / KS-DL-1.2</t>
        </is>
      </c>
    </row>
    <row r="434">
      <c r="A434" s="22" t="inlineStr">
        <is>
          <t>E0431</t>
        </is>
      </c>
      <c r="B434" s="22" t="inlineStr">
        <is>
          <t>Milwaukee</t>
        </is>
      </c>
      <c r="C434" s="22" t="inlineStr">
        <is>
          <t>Midwest</t>
        </is>
      </c>
      <c r="D434" s="22" t="inlineStr">
        <is>
          <t>Technical</t>
        </is>
      </c>
      <c r="E434" s="22" t="inlineStr">
        <is>
          <t>Permitting &amp; Advisory</t>
        </is>
      </c>
      <c r="F434" s="22" t="inlineStr">
        <is>
          <t>Yes</t>
        </is>
      </c>
      <c r="G434" s="234" t="n">
        <v>97</v>
      </c>
      <c r="H434" s="225" t="n">
        <v>0.05</v>
      </c>
      <c r="I434" s="225" t="n">
        <v>0.7200000000000001</v>
      </c>
      <c r="J434" s="225" t="n">
        <v>0.68</v>
      </c>
      <c r="K434" s="226" t="n">
        <v>43070</v>
      </c>
      <c r="L434" s="22" t="inlineStr">
        <is>
          <t>Northstar</t>
        </is>
      </c>
      <c r="M434" s="22" t="inlineStr">
        <is>
          <t>Active</t>
        </is>
      </c>
      <c r="N434" s="22" t="inlineStr">
        <is>
          <t>Staff</t>
        </is>
      </c>
      <c r="O434" s="22" t="inlineStr">
        <is>
          <t>No</t>
        </is>
      </c>
      <c r="P434" s="22" t="inlineStr">
        <is>
          <t>HRIS / KS-DL-1.2</t>
        </is>
      </c>
    </row>
    <row r="435">
      <c r="A435" s="22" t="inlineStr">
        <is>
          <t>E0432</t>
        </is>
      </c>
      <c r="B435" s="22" t="inlineStr">
        <is>
          <t>St. Louis</t>
        </is>
      </c>
      <c r="C435" s="22" t="inlineStr">
        <is>
          <t>Southeast</t>
        </is>
      </c>
      <c r="D435" s="22" t="inlineStr">
        <is>
          <t>Technical</t>
        </is>
      </c>
      <c r="E435" s="22" t="inlineStr">
        <is>
          <t>EHS Compliance</t>
        </is>
      </c>
      <c r="F435" s="22" t="inlineStr">
        <is>
          <t>Yes</t>
        </is>
      </c>
      <c r="G435" s="234" t="n">
        <v>114</v>
      </c>
      <c r="H435" s="225" t="n">
        <v>0.05</v>
      </c>
      <c r="I435" s="225" t="n">
        <v>0.79</v>
      </c>
      <c r="J435" s="225" t="n">
        <v>0.75</v>
      </c>
      <c r="K435" s="226" t="n">
        <v>43101</v>
      </c>
      <c r="L435" s="22" t="inlineStr">
        <is>
          <t>Delta</t>
        </is>
      </c>
      <c r="M435" s="22" t="inlineStr">
        <is>
          <t>Active</t>
        </is>
      </c>
      <c r="N435" s="22" t="inlineStr">
        <is>
          <t>Manager</t>
        </is>
      </c>
      <c r="O435" s="22" t="inlineStr">
        <is>
          <t>No</t>
        </is>
      </c>
      <c r="P435" s="22" t="inlineStr">
        <is>
          <t>HRIS / KS-DL-1.2</t>
        </is>
      </c>
    </row>
    <row r="436">
      <c r="A436" s="22" t="inlineStr">
        <is>
          <t>E0433</t>
        </is>
      </c>
      <c r="B436" s="22" t="inlineStr">
        <is>
          <t>Richmond</t>
        </is>
      </c>
      <c r="C436" s="22" t="inlineStr">
        <is>
          <t>Midwest</t>
        </is>
      </c>
      <c r="D436" s="22" t="inlineStr">
        <is>
          <t>Technical</t>
        </is>
      </c>
      <c r="E436" s="22" t="inlineStr">
        <is>
          <t>Industrial Hygiene</t>
        </is>
      </c>
      <c r="F436" s="22" t="inlineStr">
        <is>
          <t>Yes</t>
        </is>
      </c>
      <c r="G436" s="234" t="n">
        <v>131</v>
      </c>
      <c r="H436" s="225" t="n">
        <v>0.05</v>
      </c>
      <c r="I436" s="225" t="n">
        <v>0.5600000000000001</v>
      </c>
      <c r="J436" s="225" t="n">
        <v>0.52</v>
      </c>
      <c r="K436" s="226" t="n">
        <v>43497</v>
      </c>
      <c r="L436" s="22" t="inlineStr">
        <is>
          <t>Meridian</t>
        </is>
      </c>
      <c r="M436" s="22" t="inlineStr">
        <is>
          <t>Active</t>
        </is>
      </c>
      <c r="N436" s="22" t="inlineStr">
        <is>
          <t>Staff</t>
        </is>
      </c>
      <c r="O436" s="22" t="inlineStr">
        <is>
          <t>No</t>
        </is>
      </c>
      <c r="P436" s="22" t="inlineStr">
        <is>
          <t>HRIS / KS-DL-1.2</t>
        </is>
      </c>
    </row>
    <row r="437">
      <c r="A437" s="22" t="inlineStr">
        <is>
          <t>E0434</t>
        </is>
      </c>
      <c r="B437" s="22" t="inlineStr">
        <is>
          <t>Indianapolis</t>
        </is>
      </c>
      <c r="C437" s="22" t="inlineStr">
        <is>
          <t>Midwest</t>
        </is>
      </c>
      <c r="D437" s="22" t="inlineStr">
        <is>
          <t>Project Management</t>
        </is>
      </c>
      <c r="E437" s="22" t="inlineStr">
        <is>
          <t>Field Inspection</t>
        </is>
      </c>
      <c r="F437" s="22" t="inlineStr">
        <is>
          <t>Yes</t>
        </is>
      </c>
      <c r="G437" s="234" t="n">
        <v>148</v>
      </c>
      <c r="H437" s="225" t="n">
        <v>0.05</v>
      </c>
      <c r="I437" s="225" t="n">
        <v>0.63</v>
      </c>
      <c r="J437" s="225" t="n">
        <v>0.59</v>
      </c>
      <c r="K437" s="226" t="n">
        <v>43891</v>
      </c>
      <c r="L437" s="22" t="inlineStr">
        <is>
          <t>Summit</t>
        </is>
      </c>
      <c r="M437" s="22" t="inlineStr">
        <is>
          <t>Active</t>
        </is>
      </c>
      <c r="N437" s="22" t="inlineStr">
        <is>
          <t>Staff</t>
        </is>
      </c>
      <c r="O437" s="22" t="inlineStr">
        <is>
          <t>No</t>
        </is>
      </c>
      <c r="P437" s="22" t="inlineStr">
        <is>
          <t>HRIS / KS-DL-1.2</t>
        </is>
      </c>
    </row>
    <row r="438">
      <c r="A438" s="22" t="inlineStr">
        <is>
          <t>E0435</t>
        </is>
      </c>
      <c r="B438" s="22" t="inlineStr">
        <is>
          <t>Chicago</t>
        </is>
      </c>
      <c r="C438" s="22" t="inlineStr">
        <is>
          <t>Southeast</t>
        </is>
      </c>
      <c r="D438" s="22" t="inlineStr">
        <is>
          <t>Corporate</t>
        </is>
      </c>
      <c r="E438" s="22" t="inlineStr">
        <is>
          <t>Permitting &amp; Advisory</t>
        </is>
      </c>
      <c r="F438" s="22" t="inlineStr">
        <is>
          <t>No</t>
        </is>
      </c>
      <c r="G438" s="234" t="n">
        <v>115</v>
      </c>
      <c r="H438" s="225" t="n">
        <v>0.15</v>
      </c>
      <c r="I438" s="225" t="n">
        <v>0</v>
      </c>
      <c r="J438" s="225" t="n">
        <v>0</v>
      </c>
      <c r="K438" s="226" t="n">
        <v>44287</v>
      </c>
      <c r="L438" s="22" t="inlineStr">
        <is>
          <t>Legacy Alderstone</t>
        </is>
      </c>
      <c r="M438" s="22" t="inlineStr">
        <is>
          <t>Active</t>
        </is>
      </c>
      <c r="N438" s="22" t="inlineStr">
        <is>
          <t>Staff</t>
        </is>
      </c>
      <c r="O438" s="22" t="inlineStr">
        <is>
          <t>Yes</t>
        </is>
      </c>
      <c r="P438" s="22" t="inlineStr">
        <is>
          <t>HRIS / KS-DL-1.2</t>
        </is>
      </c>
    </row>
    <row r="439">
      <c r="A439" s="22" t="inlineStr">
        <is>
          <t>E0436</t>
        </is>
      </c>
      <c r="B439" s="22" t="inlineStr">
        <is>
          <t>Detroit</t>
        </is>
      </c>
      <c r="C439" s="22" t="inlineStr">
        <is>
          <t>Midwest</t>
        </is>
      </c>
      <c r="D439" s="22" t="inlineStr">
        <is>
          <t>Sales</t>
        </is>
      </c>
      <c r="E439" s="22" t="inlineStr">
        <is>
          <t>EHS Compliance</t>
        </is>
      </c>
      <c r="F439" s="22" t="inlineStr">
        <is>
          <t>No</t>
        </is>
      </c>
      <c r="G439" s="234" t="n">
        <v>128</v>
      </c>
      <c r="H439" s="225" t="n">
        <v>0.15</v>
      </c>
      <c r="I439" s="225" t="n">
        <v>0</v>
      </c>
      <c r="J439" s="225" t="n">
        <v>0</v>
      </c>
      <c r="K439" s="226" t="n">
        <v>44682</v>
      </c>
      <c r="L439" s="22" t="inlineStr">
        <is>
          <t>Northstar</t>
        </is>
      </c>
      <c r="M439" s="22" t="inlineStr">
        <is>
          <t>Active</t>
        </is>
      </c>
      <c r="N439" s="22" t="inlineStr">
        <is>
          <t>Staff</t>
        </is>
      </c>
      <c r="O439" s="22" t="inlineStr">
        <is>
          <t>No</t>
        </is>
      </c>
      <c r="P439" s="22" t="inlineStr">
        <is>
          <t>HRIS / KS-DL-1.2</t>
        </is>
      </c>
    </row>
    <row r="440">
      <c r="A440" s="22" t="inlineStr">
        <is>
          <t>E0437</t>
        </is>
      </c>
      <c r="B440" s="22" t="inlineStr">
        <is>
          <t>Louisville</t>
        </is>
      </c>
      <c r="C440" s="22" t="inlineStr">
        <is>
          <t>Midwest</t>
        </is>
      </c>
      <c r="D440" s="22" t="inlineStr">
        <is>
          <t>Finance</t>
        </is>
      </c>
      <c r="E440" s="22" t="inlineStr">
        <is>
          <t>Industrial Hygiene</t>
        </is>
      </c>
      <c r="F440" s="22" t="inlineStr">
        <is>
          <t>No</t>
        </is>
      </c>
      <c r="G440" s="234" t="n">
        <v>141</v>
      </c>
      <c r="H440" s="225" t="n">
        <v>0.15</v>
      </c>
      <c r="I440" s="225" t="n">
        <v>0</v>
      </c>
      <c r="J440" s="225" t="n">
        <v>0</v>
      </c>
      <c r="K440" s="226" t="n">
        <v>45078</v>
      </c>
      <c r="L440" s="22" t="inlineStr">
        <is>
          <t>Delta</t>
        </is>
      </c>
      <c r="M440" s="22" t="inlineStr">
        <is>
          <t>Active</t>
        </is>
      </c>
      <c r="N440" s="22" t="inlineStr">
        <is>
          <t>Staff</t>
        </is>
      </c>
      <c r="O440" s="22" t="inlineStr">
        <is>
          <t>No</t>
        </is>
      </c>
      <c r="P440" s="22" t="inlineStr">
        <is>
          <t>HRIS / KS-DL-1.2</t>
        </is>
      </c>
    </row>
    <row r="441">
      <c r="A441" s="22" t="inlineStr">
        <is>
          <t>E0438</t>
        </is>
      </c>
      <c r="B441" s="22" t="inlineStr">
        <is>
          <t>Nashville</t>
        </is>
      </c>
      <c r="C441" s="22" t="inlineStr">
        <is>
          <t>Southeast</t>
        </is>
      </c>
      <c r="D441" s="22" t="inlineStr">
        <is>
          <t>HR</t>
        </is>
      </c>
      <c r="E441" s="22" t="inlineStr">
        <is>
          <t>Field Inspection</t>
        </is>
      </c>
      <c r="F441" s="22" t="inlineStr">
        <is>
          <t>No</t>
        </is>
      </c>
      <c r="G441" s="234" t="n">
        <v>154</v>
      </c>
      <c r="H441" s="225" t="n">
        <v>0.15</v>
      </c>
      <c r="I441" s="225" t="n">
        <v>0</v>
      </c>
      <c r="J441" s="225" t="n">
        <v>0</v>
      </c>
      <c r="K441" s="226" t="n">
        <v>45474</v>
      </c>
      <c r="L441" s="22" t="inlineStr">
        <is>
          <t>Meridian</t>
        </is>
      </c>
      <c r="M441" s="22" t="inlineStr">
        <is>
          <t>Active</t>
        </is>
      </c>
      <c r="N441" s="22" t="inlineStr">
        <is>
          <t>Staff</t>
        </is>
      </c>
      <c r="O441" s="22" t="inlineStr">
        <is>
          <t>No</t>
        </is>
      </c>
      <c r="P441" s="22" t="inlineStr">
        <is>
          <t>HRIS / KS-DL-1.2</t>
        </is>
      </c>
    </row>
    <row r="442">
      <c r="A442" s="22" t="inlineStr">
        <is>
          <t>E0439</t>
        </is>
      </c>
      <c r="B442" s="22" t="inlineStr">
        <is>
          <t>Raleigh</t>
        </is>
      </c>
      <c r="C442" s="22" t="inlineStr">
        <is>
          <t>Midwest</t>
        </is>
      </c>
      <c r="D442" s="22" t="inlineStr">
        <is>
          <t>IT</t>
        </is>
      </c>
      <c r="E442" s="22" t="inlineStr">
        <is>
          <t>Permitting &amp; Advisory</t>
        </is>
      </c>
      <c r="F442" s="22" t="inlineStr">
        <is>
          <t>No</t>
        </is>
      </c>
      <c r="G442" s="234" t="n">
        <v>167</v>
      </c>
      <c r="H442" s="225" t="n">
        <v>0.15</v>
      </c>
      <c r="I442" s="225" t="n">
        <v>0</v>
      </c>
      <c r="J442" s="225" t="n">
        <v>0</v>
      </c>
      <c r="K442" s="226" t="n">
        <v>45870</v>
      </c>
      <c r="L442" s="22" t="inlineStr">
        <is>
          <t>Summit</t>
        </is>
      </c>
      <c r="M442" s="22" t="inlineStr">
        <is>
          <t>Active</t>
        </is>
      </c>
      <c r="N442" s="22" t="inlineStr">
        <is>
          <t>Staff</t>
        </is>
      </c>
      <c r="O442" s="22" t="inlineStr">
        <is>
          <t>No</t>
        </is>
      </c>
      <c r="P442" s="22" t="inlineStr">
        <is>
          <t>HRIS / KS-DL-1.2</t>
        </is>
      </c>
    </row>
    <row r="443">
      <c r="A443" s="22" t="inlineStr">
        <is>
          <t>E0440</t>
        </is>
      </c>
      <c r="B443" s="22" t="inlineStr">
        <is>
          <t>Charlotte</t>
        </is>
      </c>
      <c r="C443" s="22" t="inlineStr">
        <is>
          <t>Midwest</t>
        </is>
      </c>
      <c r="D443" s="22" t="inlineStr">
        <is>
          <t>Technical</t>
        </is>
      </c>
      <c r="E443" s="22" t="inlineStr">
        <is>
          <t>EHS Compliance</t>
        </is>
      </c>
      <c r="F443" s="22" t="inlineStr">
        <is>
          <t>Yes</t>
        </is>
      </c>
      <c r="G443" s="234" t="n">
        <v>70</v>
      </c>
      <c r="H443" s="225" t="n">
        <v>0.05</v>
      </c>
      <c r="I443" s="225" t="n">
        <v>0.75</v>
      </c>
      <c r="J443" s="225" t="n">
        <v>0.71</v>
      </c>
      <c r="K443" s="226" t="n">
        <v>42248</v>
      </c>
      <c r="L443" s="22" t="inlineStr">
        <is>
          <t>Legacy Alderstone</t>
        </is>
      </c>
      <c r="M443" s="22" t="inlineStr">
        <is>
          <t>Active</t>
        </is>
      </c>
      <c r="N443" s="22" t="inlineStr">
        <is>
          <t>Staff</t>
        </is>
      </c>
      <c r="O443" s="22" t="inlineStr">
        <is>
          <t>No</t>
        </is>
      </c>
      <c r="P443" s="22" t="inlineStr">
        <is>
          <t>HRIS / KS-DL-1.2</t>
        </is>
      </c>
    </row>
    <row r="444">
      <c r="A444" s="22" t="inlineStr">
        <is>
          <t>E0441</t>
        </is>
      </c>
      <c r="B444" s="22" t="inlineStr">
        <is>
          <t>Cincinnati</t>
        </is>
      </c>
      <c r="C444" s="22" t="inlineStr">
        <is>
          <t>Southeast</t>
        </is>
      </c>
      <c r="D444" s="22" t="inlineStr">
        <is>
          <t>Technical</t>
        </is>
      </c>
      <c r="E444" s="22" t="inlineStr">
        <is>
          <t>Industrial Hygiene</t>
        </is>
      </c>
      <c r="F444" s="22" t="inlineStr">
        <is>
          <t>Yes</t>
        </is>
      </c>
      <c r="G444" s="234" t="n">
        <v>87</v>
      </c>
      <c r="H444" s="225" t="n">
        <v>0.05</v>
      </c>
      <c r="I444" s="225" t="n">
        <v>0.8200000000000001</v>
      </c>
      <c r="J444" s="225" t="n">
        <v>0.78</v>
      </c>
      <c r="K444" s="226" t="n">
        <v>42644</v>
      </c>
      <c r="L444" s="22" t="inlineStr">
        <is>
          <t>Northstar</t>
        </is>
      </c>
      <c r="M444" s="22" t="inlineStr">
        <is>
          <t>Active</t>
        </is>
      </c>
      <c r="N444" s="22" t="inlineStr">
        <is>
          <t>Staff</t>
        </is>
      </c>
      <c r="O444" s="22" t="inlineStr">
        <is>
          <t>No</t>
        </is>
      </c>
      <c r="P444" s="22" t="inlineStr">
        <is>
          <t>HRIS / KS-DL-1.2</t>
        </is>
      </c>
    </row>
    <row r="445">
      <c r="A445" s="22" t="inlineStr">
        <is>
          <t>E0442</t>
        </is>
      </c>
      <c r="B445" s="22" t="inlineStr">
        <is>
          <t>Columbus</t>
        </is>
      </c>
      <c r="C445" s="22" t="inlineStr">
        <is>
          <t>Midwest</t>
        </is>
      </c>
      <c r="D445" s="22" t="inlineStr">
        <is>
          <t>Technical</t>
        </is>
      </c>
      <c r="E445" s="22" t="inlineStr">
        <is>
          <t>Field Inspection</t>
        </is>
      </c>
      <c r="F445" s="22" t="inlineStr">
        <is>
          <t>Yes</t>
        </is>
      </c>
      <c r="G445" s="234" t="n">
        <v>104</v>
      </c>
      <c r="H445" s="225" t="n">
        <v>0.05</v>
      </c>
      <c r="I445" s="225" t="n">
        <v>0.5900000000000001</v>
      </c>
      <c r="J445" s="225" t="n">
        <v>0.55</v>
      </c>
      <c r="K445" s="226" t="n">
        <v>43040</v>
      </c>
      <c r="L445" s="22" t="inlineStr">
        <is>
          <t>Delta</t>
        </is>
      </c>
      <c r="M445" s="22" t="inlineStr">
        <is>
          <t>Active</t>
        </is>
      </c>
      <c r="N445" s="22" t="inlineStr">
        <is>
          <t>Staff</t>
        </is>
      </c>
      <c r="O445" s="22" t="inlineStr">
        <is>
          <t>No</t>
        </is>
      </c>
      <c r="P445" s="22" t="inlineStr">
        <is>
          <t>HRIS / KS-DL-1.2</t>
        </is>
      </c>
    </row>
    <row r="446">
      <c r="A446" s="22" t="inlineStr">
        <is>
          <t>E0443</t>
        </is>
      </c>
      <c r="B446" s="22" t="inlineStr">
        <is>
          <t>Knoxville</t>
        </is>
      </c>
      <c r="C446" s="22" t="inlineStr">
        <is>
          <t>Midwest</t>
        </is>
      </c>
      <c r="D446" s="22" t="inlineStr">
        <is>
          <t>Technical</t>
        </is>
      </c>
      <c r="E446" s="22" t="inlineStr">
        <is>
          <t>Permitting &amp; Advisory</t>
        </is>
      </c>
      <c r="F446" s="22" t="inlineStr">
        <is>
          <t>Yes</t>
        </is>
      </c>
      <c r="G446" s="234" t="n">
        <v>121</v>
      </c>
      <c r="H446" s="225" t="n">
        <v>0.05</v>
      </c>
      <c r="I446" s="225" t="n">
        <v>0.66</v>
      </c>
      <c r="J446" s="225" t="n">
        <v>0.62</v>
      </c>
      <c r="K446" s="226" t="n">
        <v>43435</v>
      </c>
      <c r="L446" s="22" t="inlineStr">
        <is>
          <t>Meridian</t>
        </is>
      </c>
      <c r="M446" s="22" t="inlineStr">
        <is>
          <t>Active</t>
        </is>
      </c>
      <c r="N446" s="22" t="inlineStr">
        <is>
          <t>Staff</t>
        </is>
      </c>
      <c r="O446" s="22" t="inlineStr">
        <is>
          <t>No</t>
        </is>
      </c>
      <c r="P446" s="22" t="inlineStr">
        <is>
          <t>HRIS / KS-DL-1.2</t>
        </is>
      </c>
    </row>
    <row r="447">
      <c r="A447" s="22" t="inlineStr">
        <is>
          <t>E0444</t>
        </is>
      </c>
      <c r="B447" s="22" t="inlineStr">
        <is>
          <t>Greenville</t>
        </is>
      </c>
      <c r="C447" s="22" t="inlineStr">
        <is>
          <t>Southeast</t>
        </is>
      </c>
      <c r="D447" s="22" t="inlineStr">
        <is>
          <t>Project Management</t>
        </is>
      </c>
      <c r="E447" s="22" t="inlineStr">
        <is>
          <t>EHS Compliance</t>
        </is>
      </c>
      <c r="F447" s="22" t="inlineStr">
        <is>
          <t>Yes</t>
        </is>
      </c>
      <c r="G447" s="234" t="n">
        <v>138</v>
      </c>
      <c r="H447" s="225" t="n">
        <v>0.05</v>
      </c>
      <c r="I447" s="225" t="n">
        <v>0.73</v>
      </c>
      <c r="J447" s="225" t="n">
        <v>0.6899999999999999</v>
      </c>
      <c r="K447" s="226" t="n">
        <v>43466</v>
      </c>
      <c r="L447" s="22" t="inlineStr">
        <is>
          <t>Summit</t>
        </is>
      </c>
      <c r="M447" s="22" t="inlineStr">
        <is>
          <t>Active</t>
        </is>
      </c>
      <c r="N447" s="22" t="inlineStr">
        <is>
          <t>Manager</t>
        </is>
      </c>
      <c r="O447" s="22" t="inlineStr">
        <is>
          <t>No</t>
        </is>
      </c>
      <c r="P447" s="22" t="inlineStr">
        <is>
          <t>HRIS / KS-DL-1.2</t>
        </is>
      </c>
    </row>
    <row r="448">
      <c r="A448" s="22" t="inlineStr">
        <is>
          <t>E0445</t>
        </is>
      </c>
      <c r="B448" s="22" t="inlineStr">
        <is>
          <t>Milwaukee</t>
        </is>
      </c>
      <c r="C448" s="22" t="inlineStr">
        <is>
          <t>Midwest</t>
        </is>
      </c>
      <c r="D448" s="22" t="inlineStr">
        <is>
          <t>Corporate</t>
        </is>
      </c>
      <c r="E448" s="22" t="inlineStr">
        <is>
          <t>Industrial Hygiene</t>
        </is>
      </c>
      <c r="F448" s="22" t="inlineStr">
        <is>
          <t>No</t>
        </is>
      </c>
      <c r="G448" s="234" t="n">
        <v>135</v>
      </c>
      <c r="H448" s="225" t="n">
        <v>0.15</v>
      </c>
      <c r="I448" s="225" t="n">
        <v>0</v>
      </c>
      <c r="J448" s="225" t="n">
        <v>0</v>
      </c>
      <c r="K448" s="226" t="n">
        <v>43862</v>
      </c>
      <c r="L448" s="22" t="inlineStr">
        <is>
          <t>Legacy Alderstone</t>
        </is>
      </c>
      <c r="M448" s="22" t="inlineStr">
        <is>
          <t>Active</t>
        </is>
      </c>
      <c r="N448" s="22" t="inlineStr">
        <is>
          <t>Staff</t>
        </is>
      </c>
      <c r="O448" s="22" t="inlineStr">
        <is>
          <t>No</t>
        </is>
      </c>
      <c r="P448" s="22" t="inlineStr">
        <is>
          <t>HRIS / KS-DL-1.2</t>
        </is>
      </c>
    </row>
    <row r="449">
      <c r="A449" s="22" t="inlineStr">
        <is>
          <t>E0446</t>
        </is>
      </c>
      <c r="B449" s="22" t="inlineStr">
        <is>
          <t>St. Louis</t>
        </is>
      </c>
      <c r="C449" s="22" t="inlineStr">
        <is>
          <t>Midwest</t>
        </is>
      </c>
      <c r="D449" s="22" t="inlineStr">
        <is>
          <t>Sales</t>
        </is>
      </c>
      <c r="E449" s="22" t="inlineStr">
        <is>
          <t>Field Inspection</t>
        </is>
      </c>
      <c r="F449" s="22" t="inlineStr">
        <is>
          <t>No</t>
        </is>
      </c>
      <c r="G449" s="234" t="n">
        <v>148</v>
      </c>
      <c r="H449" s="225" t="n">
        <v>0.15</v>
      </c>
      <c r="I449" s="225" t="n">
        <v>0</v>
      </c>
      <c r="J449" s="225" t="n">
        <v>0</v>
      </c>
      <c r="K449" s="226" t="n">
        <v>44256</v>
      </c>
      <c r="L449" s="22" t="inlineStr">
        <is>
          <t>Northstar</t>
        </is>
      </c>
      <c r="M449" s="22" t="inlineStr">
        <is>
          <t>Active</t>
        </is>
      </c>
      <c r="N449" s="22" t="inlineStr">
        <is>
          <t>Staff</t>
        </is>
      </c>
      <c r="O449" s="22" t="inlineStr">
        <is>
          <t>No</t>
        </is>
      </c>
      <c r="P449" s="22" t="inlineStr">
        <is>
          <t>HRIS / KS-DL-1.2</t>
        </is>
      </c>
    </row>
    <row r="450">
      <c r="A450" s="22" t="inlineStr">
        <is>
          <t>E0447</t>
        </is>
      </c>
      <c r="B450" s="22" t="inlineStr">
        <is>
          <t>Richmond</t>
        </is>
      </c>
      <c r="C450" s="22" t="inlineStr">
        <is>
          <t>Southeast</t>
        </is>
      </c>
      <c r="D450" s="22" t="inlineStr">
        <is>
          <t>Finance</t>
        </is>
      </c>
      <c r="E450" s="22" t="inlineStr">
        <is>
          <t>Permitting &amp; Advisory</t>
        </is>
      </c>
      <c r="F450" s="22" t="inlineStr">
        <is>
          <t>No</t>
        </is>
      </c>
      <c r="G450" s="234" t="n">
        <v>161</v>
      </c>
      <c r="H450" s="225" t="n">
        <v>0.15</v>
      </c>
      <c r="I450" s="225" t="n">
        <v>0</v>
      </c>
      <c r="J450" s="225" t="n">
        <v>0</v>
      </c>
      <c r="K450" s="226" t="n">
        <v>44652</v>
      </c>
      <c r="L450" s="22" t="inlineStr">
        <is>
          <t>Delta</t>
        </is>
      </c>
      <c r="M450" s="22" t="inlineStr">
        <is>
          <t>Active</t>
        </is>
      </c>
      <c r="N450" s="22" t="inlineStr">
        <is>
          <t>Staff</t>
        </is>
      </c>
      <c r="O450" s="22" t="inlineStr">
        <is>
          <t>No</t>
        </is>
      </c>
      <c r="P450" s="22" t="inlineStr">
        <is>
          <t>HRIS / KS-DL-1.2</t>
        </is>
      </c>
    </row>
    <row r="451">
      <c r="A451" s="22" t="inlineStr">
        <is>
          <t>E0448</t>
        </is>
      </c>
      <c r="B451" s="22" t="inlineStr">
        <is>
          <t>Indianapolis</t>
        </is>
      </c>
      <c r="C451" s="22" t="inlineStr">
        <is>
          <t>Midwest</t>
        </is>
      </c>
      <c r="D451" s="22" t="inlineStr">
        <is>
          <t>HR</t>
        </is>
      </c>
      <c r="E451" s="22" t="inlineStr">
        <is>
          <t>EHS Compliance</t>
        </is>
      </c>
      <c r="F451" s="22" t="inlineStr">
        <is>
          <t>No</t>
        </is>
      </c>
      <c r="G451" s="234" t="n">
        <v>174</v>
      </c>
      <c r="H451" s="225" t="n">
        <v>0.15</v>
      </c>
      <c r="I451" s="225" t="n">
        <v>0</v>
      </c>
      <c r="J451" s="225" t="n">
        <v>0</v>
      </c>
      <c r="K451" s="226" t="n">
        <v>45047</v>
      </c>
      <c r="L451" s="22" t="inlineStr">
        <is>
          <t>Meridian</t>
        </is>
      </c>
      <c r="M451" s="22" t="inlineStr">
        <is>
          <t>Active</t>
        </is>
      </c>
      <c r="N451" s="22" t="inlineStr">
        <is>
          <t>Staff</t>
        </is>
      </c>
      <c r="O451" s="22" t="inlineStr">
        <is>
          <t>No</t>
        </is>
      </c>
      <c r="P451" s="22" t="inlineStr">
        <is>
          <t>HRIS / KS-DL-1.2</t>
        </is>
      </c>
    </row>
    <row r="452">
      <c r="A452" s="22" t="inlineStr">
        <is>
          <t>E0449</t>
        </is>
      </c>
      <c r="B452" s="22" t="inlineStr">
        <is>
          <t>Chicago</t>
        </is>
      </c>
      <c r="C452" s="22" t="inlineStr">
        <is>
          <t>Midwest</t>
        </is>
      </c>
      <c r="D452" s="22" t="inlineStr">
        <is>
          <t>IT</t>
        </is>
      </c>
      <c r="E452" s="22" t="inlineStr">
        <is>
          <t>Industrial Hygiene</t>
        </is>
      </c>
      <c r="F452" s="22" t="inlineStr">
        <is>
          <t>No</t>
        </is>
      </c>
      <c r="G452" s="234" t="n">
        <v>77</v>
      </c>
      <c r="H452" s="225" t="n">
        <v>0.15</v>
      </c>
      <c r="I452" s="225" t="n">
        <v>0</v>
      </c>
      <c r="J452" s="225" t="n">
        <v>0</v>
      </c>
      <c r="K452" s="226" t="n">
        <v>45444</v>
      </c>
      <c r="L452" s="22" t="inlineStr">
        <is>
          <t>Summit</t>
        </is>
      </c>
      <c r="M452" s="22" t="inlineStr">
        <is>
          <t>Active</t>
        </is>
      </c>
      <c r="N452" s="22" t="inlineStr">
        <is>
          <t>Staff</t>
        </is>
      </c>
      <c r="O452" s="22" t="inlineStr">
        <is>
          <t>No</t>
        </is>
      </c>
      <c r="P452" s="22" t="inlineStr">
        <is>
          <t>HRIS / KS-DL-1.2</t>
        </is>
      </c>
    </row>
    <row r="453">
      <c r="A453" s="22" t="inlineStr">
        <is>
          <t>E0450</t>
        </is>
      </c>
      <c r="B453" s="22" t="inlineStr">
        <is>
          <t>Detroit</t>
        </is>
      </c>
      <c r="C453" s="22" t="inlineStr">
        <is>
          <t>Southeast</t>
        </is>
      </c>
      <c r="D453" s="22" t="inlineStr">
        <is>
          <t>Technical</t>
        </is>
      </c>
      <c r="E453" s="22" t="inlineStr">
        <is>
          <t>Field Inspection</t>
        </is>
      </c>
      <c r="F453" s="22" t="inlineStr">
        <is>
          <t>Yes</t>
        </is>
      </c>
      <c r="G453" s="234" t="n">
        <v>60</v>
      </c>
      <c r="H453" s="225" t="n">
        <v>0.05</v>
      </c>
      <c r="I453" s="225" t="n">
        <v>0.55</v>
      </c>
      <c r="J453" s="225" t="n">
        <v>0.51</v>
      </c>
      <c r="K453" s="226" t="n">
        <v>45839</v>
      </c>
      <c r="L453" s="22" t="inlineStr">
        <is>
          <t>Legacy Alderstone</t>
        </is>
      </c>
      <c r="M453" s="22" t="inlineStr">
        <is>
          <t>Active</t>
        </is>
      </c>
      <c r="N453" s="22" t="inlineStr">
        <is>
          <t>Staff</t>
        </is>
      </c>
      <c r="O453" s="22" t="inlineStr">
        <is>
          <t>No</t>
        </is>
      </c>
      <c r="P453" s="22" t="inlineStr">
        <is>
          <t>HRIS / KS-DL-1.2</t>
        </is>
      </c>
    </row>
    <row r="454">
      <c r="A454" s="22" t="inlineStr">
        <is>
          <t>E0451</t>
        </is>
      </c>
      <c r="B454" s="22" t="inlineStr">
        <is>
          <t>Louisville</t>
        </is>
      </c>
      <c r="C454" s="22" t="inlineStr">
        <is>
          <t>Midwest</t>
        </is>
      </c>
      <c r="D454" s="22" t="inlineStr">
        <is>
          <t>Technical</t>
        </is>
      </c>
      <c r="E454" s="22" t="inlineStr">
        <is>
          <t>Permitting &amp; Advisory</t>
        </is>
      </c>
      <c r="F454" s="22" t="inlineStr">
        <is>
          <t>Yes</t>
        </is>
      </c>
      <c r="G454" s="234" t="n">
        <v>77</v>
      </c>
      <c r="H454" s="225" t="n">
        <v>0.05</v>
      </c>
      <c r="I454" s="225" t="n">
        <v>0.6200000000000001</v>
      </c>
      <c r="J454" s="225" t="n">
        <v>0.5800000000000001</v>
      </c>
      <c r="K454" s="226" t="n">
        <v>42217</v>
      </c>
      <c r="L454" s="22" t="inlineStr">
        <is>
          <t>Northstar</t>
        </is>
      </c>
      <c r="M454" s="22" t="inlineStr">
        <is>
          <t>Active</t>
        </is>
      </c>
      <c r="N454" s="22" t="inlineStr">
        <is>
          <t>Staff</t>
        </is>
      </c>
      <c r="O454" s="22" t="inlineStr">
        <is>
          <t>No</t>
        </is>
      </c>
      <c r="P454" s="22" t="inlineStr">
        <is>
          <t>HRIS / KS-DL-1.2</t>
        </is>
      </c>
    </row>
    <row r="455">
      <c r="A455" s="22" t="inlineStr">
        <is>
          <t>E0452</t>
        </is>
      </c>
      <c r="B455" s="22" t="inlineStr">
        <is>
          <t>Nashville</t>
        </is>
      </c>
      <c r="C455" s="22" t="inlineStr">
        <is>
          <t>Midwest</t>
        </is>
      </c>
      <c r="D455" s="22" t="inlineStr">
        <is>
          <t>Technical</t>
        </is>
      </c>
      <c r="E455" s="22" t="inlineStr">
        <is>
          <t>EHS Compliance</t>
        </is>
      </c>
      <c r="F455" s="22" t="inlineStr">
        <is>
          <t>Yes</t>
        </is>
      </c>
      <c r="G455" s="234" t="n">
        <v>94</v>
      </c>
      <c r="H455" s="225" t="n">
        <v>0.05</v>
      </c>
      <c r="I455" s="225" t="n">
        <v>0.6900000000000001</v>
      </c>
      <c r="J455" s="225" t="n">
        <v>0.65</v>
      </c>
      <c r="K455" s="226" t="n">
        <v>42614</v>
      </c>
      <c r="L455" s="22" t="inlineStr">
        <is>
          <t>Delta</t>
        </is>
      </c>
      <c r="M455" s="22" t="inlineStr">
        <is>
          <t>Active</t>
        </is>
      </c>
      <c r="N455" s="22" t="inlineStr">
        <is>
          <t>Staff</t>
        </is>
      </c>
      <c r="O455" s="22" t="inlineStr">
        <is>
          <t>No</t>
        </is>
      </c>
      <c r="P455" s="22" t="inlineStr">
        <is>
          <t>HRIS / KS-DL-1.2</t>
        </is>
      </c>
    </row>
    <row r="456">
      <c r="A456" s="22" t="inlineStr">
        <is>
          <t>E0453</t>
        </is>
      </c>
      <c r="B456" s="22" t="inlineStr">
        <is>
          <t>Raleigh</t>
        </is>
      </c>
      <c r="C456" s="22" t="inlineStr">
        <is>
          <t>Southeast</t>
        </is>
      </c>
      <c r="D456" s="22" t="inlineStr">
        <is>
          <t>Technical</t>
        </is>
      </c>
      <c r="E456" s="22" t="inlineStr">
        <is>
          <t>Industrial Hygiene</t>
        </is>
      </c>
      <c r="F456" s="22" t="inlineStr">
        <is>
          <t>Yes</t>
        </is>
      </c>
      <c r="G456" s="234" t="n">
        <v>111</v>
      </c>
      <c r="H456" s="225" t="n">
        <v>0.05</v>
      </c>
      <c r="I456" s="225" t="n">
        <v>0.76</v>
      </c>
      <c r="J456" s="225" t="n">
        <v>0.72</v>
      </c>
      <c r="K456" s="226" t="n">
        <v>43009</v>
      </c>
      <c r="L456" s="22" t="inlineStr">
        <is>
          <t>Meridian</t>
        </is>
      </c>
      <c r="M456" s="22" t="inlineStr">
        <is>
          <t>Active</t>
        </is>
      </c>
      <c r="N456" s="22" t="inlineStr">
        <is>
          <t>Staff</t>
        </is>
      </c>
      <c r="O456" s="22" t="inlineStr">
        <is>
          <t>No</t>
        </is>
      </c>
      <c r="P456" s="22" t="inlineStr">
        <is>
          <t>HRIS / KS-DL-1.2</t>
        </is>
      </c>
    </row>
    <row r="457">
      <c r="A457" s="22" t="inlineStr">
        <is>
          <t>E0454</t>
        </is>
      </c>
      <c r="B457" s="22" t="inlineStr">
        <is>
          <t>Charlotte</t>
        </is>
      </c>
      <c r="C457" s="22" t="inlineStr">
        <is>
          <t>Midwest</t>
        </is>
      </c>
      <c r="D457" s="22" t="inlineStr">
        <is>
          <t>Project Management</t>
        </is>
      </c>
      <c r="E457" s="22" t="inlineStr">
        <is>
          <t>Field Inspection</t>
        </is>
      </c>
      <c r="F457" s="22" t="inlineStr">
        <is>
          <t>Yes</t>
        </is>
      </c>
      <c r="G457" s="234" t="n">
        <v>128</v>
      </c>
      <c r="H457" s="225" t="n">
        <v>0.05</v>
      </c>
      <c r="I457" s="225" t="n">
        <v>0.8300000000000001</v>
      </c>
      <c r="J457" s="225" t="n">
        <v>0.79</v>
      </c>
      <c r="K457" s="226" t="n">
        <v>43405</v>
      </c>
      <c r="L457" s="22" t="inlineStr">
        <is>
          <t>Summit</t>
        </is>
      </c>
      <c r="M457" s="22" t="inlineStr">
        <is>
          <t>Active</t>
        </is>
      </c>
      <c r="N457" s="22" t="inlineStr">
        <is>
          <t>Staff</t>
        </is>
      </c>
      <c r="O457" s="22" t="inlineStr">
        <is>
          <t>No</t>
        </is>
      </c>
      <c r="P457" s="22" t="inlineStr">
        <is>
          <t>HRIS / KS-DL-1.2</t>
        </is>
      </c>
    </row>
    <row r="458">
      <c r="A458" s="22" t="inlineStr">
        <is>
          <t>E0455</t>
        </is>
      </c>
      <c r="B458" s="22" t="inlineStr">
        <is>
          <t>Cincinnati</t>
        </is>
      </c>
      <c r="C458" s="22" t="inlineStr">
        <is>
          <t>Midwest</t>
        </is>
      </c>
      <c r="D458" s="22" t="inlineStr">
        <is>
          <t>Corporate</t>
        </is>
      </c>
      <c r="E458" s="22" t="inlineStr">
        <is>
          <t>Permitting &amp; Advisory</t>
        </is>
      </c>
      <c r="F458" s="22" t="inlineStr">
        <is>
          <t>No</t>
        </is>
      </c>
      <c r="G458" s="234" t="n">
        <v>155</v>
      </c>
      <c r="H458" s="225" t="n">
        <v>0.15</v>
      </c>
      <c r="I458" s="225" t="n">
        <v>0</v>
      </c>
      <c r="J458" s="225" t="n">
        <v>0</v>
      </c>
      <c r="K458" s="226" t="n">
        <v>43800</v>
      </c>
      <c r="L458" s="22" t="inlineStr">
        <is>
          <t>Legacy Alderstone</t>
        </is>
      </c>
      <c r="M458" s="22" t="inlineStr">
        <is>
          <t>Active</t>
        </is>
      </c>
      <c r="N458" s="22" t="inlineStr">
        <is>
          <t>Staff</t>
        </is>
      </c>
      <c r="O458" s="22" t="inlineStr">
        <is>
          <t>No</t>
        </is>
      </c>
      <c r="P458" s="22" t="inlineStr">
        <is>
          <t>HRIS / KS-DL-1.2</t>
        </is>
      </c>
    </row>
    <row r="459">
      <c r="A459" s="22" t="inlineStr">
        <is>
          <t>E0456</t>
        </is>
      </c>
      <c r="B459" s="22" t="inlineStr">
        <is>
          <t>Columbus</t>
        </is>
      </c>
      <c r="C459" s="22" t="inlineStr">
        <is>
          <t>Southeast</t>
        </is>
      </c>
      <c r="D459" s="22" t="inlineStr">
        <is>
          <t>Sales</t>
        </is>
      </c>
      <c r="E459" s="22" t="inlineStr">
        <is>
          <t>EHS Compliance</t>
        </is>
      </c>
      <c r="F459" s="22" t="inlineStr">
        <is>
          <t>No</t>
        </is>
      </c>
      <c r="G459" s="234" t="n">
        <v>168</v>
      </c>
      <c r="H459" s="225" t="n">
        <v>0.15</v>
      </c>
      <c r="I459" s="225" t="n">
        <v>0</v>
      </c>
      <c r="J459" s="225" t="n">
        <v>0</v>
      </c>
      <c r="K459" s="226" t="n">
        <v>43831</v>
      </c>
      <c r="L459" s="22" t="inlineStr">
        <is>
          <t>Northstar</t>
        </is>
      </c>
      <c r="M459" s="22" t="inlineStr">
        <is>
          <t>Active</t>
        </is>
      </c>
      <c r="N459" s="22" t="inlineStr">
        <is>
          <t>Manager</t>
        </is>
      </c>
      <c r="O459" s="22" t="inlineStr">
        <is>
          <t>No</t>
        </is>
      </c>
      <c r="P459" s="22" t="inlineStr">
        <is>
          <t>HRIS / KS-DL-1.2</t>
        </is>
      </c>
    </row>
    <row r="460">
      <c r="A460" s="22" t="inlineStr">
        <is>
          <t>E0457</t>
        </is>
      </c>
      <c r="B460" s="22" t="inlineStr">
        <is>
          <t>Knoxville</t>
        </is>
      </c>
      <c r="C460" s="22" t="inlineStr">
        <is>
          <t>Midwest</t>
        </is>
      </c>
      <c r="D460" s="22" t="inlineStr">
        <is>
          <t>Finance</t>
        </is>
      </c>
      <c r="E460" s="22" t="inlineStr">
        <is>
          <t>Industrial Hygiene</t>
        </is>
      </c>
      <c r="F460" s="22" t="inlineStr">
        <is>
          <t>No</t>
        </is>
      </c>
      <c r="G460" s="234" t="n">
        <v>71</v>
      </c>
      <c r="H460" s="225" t="n">
        <v>0.15</v>
      </c>
      <c r="I460" s="225" t="n">
        <v>0</v>
      </c>
      <c r="J460" s="225" t="n">
        <v>0</v>
      </c>
      <c r="K460" s="226" t="n">
        <v>44228</v>
      </c>
      <c r="L460" s="22" t="inlineStr">
        <is>
          <t>Delta</t>
        </is>
      </c>
      <c r="M460" s="22" t="inlineStr">
        <is>
          <t>Active</t>
        </is>
      </c>
      <c r="N460" s="22" t="inlineStr">
        <is>
          <t>Staff</t>
        </is>
      </c>
      <c r="O460" s="22" t="inlineStr">
        <is>
          <t>No</t>
        </is>
      </c>
      <c r="P460" s="22" t="inlineStr">
        <is>
          <t>HRIS / KS-DL-1.2</t>
        </is>
      </c>
    </row>
    <row r="461">
      <c r="A461" s="22" t="inlineStr">
        <is>
          <t>E0458</t>
        </is>
      </c>
      <c r="B461" s="22" t="inlineStr">
        <is>
          <t>Greenville</t>
        </is>
      </c>
      <c r="C461" s="22" t="inlineStr">
        <is>
          <t>Midwest</t>
        </is>
      </c>
      <c r="D461" s="22" t="inlineStr">
        <is>
          <t>HR</t>
        </is>
      </c>
      <c r="E461" s="22" t="inlineStr">
        <is>
          <t>Field Inspection</t>
        </is>
      </c>
      <c r="F461" s="22" t="inlineStr">
        <is>
          <t>No</t>
        </is>
      </c>
      <c r="G461" s="234" t="n">
        <v>84</v>
      </c>
      <c r="H461" s="225" t="n">
        <v>0.15</v>
      </c>
      <c r="I461" s="225" t="n">
        <v>0</v>
      </c>
      <c r="J461" s="225" t="n">
        <v>0</v>
      </c>
      <c r="K461" s="226" t="n">
        <v>44621</v>
      </c>
      <c r="L461" s="22" t="inlineStr">
        <is>
          <t>Meridian</t>
        </is>
      </c>
      <c r="M461" s="22" t="inlineStr">
        <is>
          <t>Active</t>
        </is>
      </c>
      <c r="N461" s="22" t="inlineStr">
        <is>
          <t>Staff</t>
        </is>
      </c>
      <c r="O461" s="22" t="inlineStr">
        <is>
          <t>No</t>
        </is>
      </c>
      <c r="P461" s="22" t="inlineStr">
        <is>
          <t>HRIS / KS-DL-1.2</t>
        </is>
      </c>
    </row>
    <row r="462">
      <c r="A462" s="22" t="inlineStr">
        <is>
          <t>E0459</t>
        </is>
      </c>
      <c r="B462" s="22" t="inlineStr">
        <is>
          <t>Milwaukee</t>
        </is>
      </c>
      <c r="C462" s="22" t="inlineStr">
        <is>
          <t>Southeast</t>
        </is>
      </c>
      <c r="D462" s="22" t="inlineStr">
        <is>
          <t>IT</t>
        </is>
      </c>
      <c r="E462" s="22" t="inlineStr">
        <is>
          <t>Permitting &amp; Advisory</t>
        </is>
      </c>
      <c r="F462" s="22" t="inlineStr">
        <is>
          <t>No</t>
        </is>
      </c>
      <c r="G462" s="234" t="n">
        <v>97</v>
      </c>
      <c r="H462" s="225" t="n">
        <v>0.15</v>
      </c>
      <c r="I462" s="225" t="n">
        <v>0</v>
      </c>
      <c r="J462" s="225" t="n">
        <v>0</v>
      </c>
      <c r="K462" s="226" t="n">
        <v>45017</v>
      </c>
      <c r="L462" s="22" t="inlineStr">
        <is>
          <t>Summit</t>
        </is>
      </c>
      <c r="M462" s="22" t="inlineStr">
        <is>
          <t>Active</t>
        </is>
      </c>
      <c r="N462" s="22" t="inlineStr">
        <is>
          <t>Staff</t>
        </is>
      </c>
      <c r="O462" s="22" t="inlineStr">
        <is>
          <t>No</t>
        </is>
      </c>
      <c r="P462" s="22" t="inlineStr">
        <is>
          <t>HRIS / KS-DL-1.2</t>
        </is>
      </c>
    </row>
    <row r="463">
      <c r="A463" s="22" t="inlineStr">
        <is>
          <t>E0460</t>
        </is>
      </c>
      <c r="B463" s="22" t="inlineStr">
        <is>
          <t>St. Louis</t>
        </is>
      </c>
      <c r="C463" s="22" t="inlineStr">
        <is>
          <t>Midwest</t>
        </is>
      </c>
      <c r="D463" s="22" t="inlineStr">
        <is>
          <t>Technical</t>
        </is>
      </c>
      <c r="E463" s="22" t="inlineStr">
        <is>
          <t>EHS Compliance</t>
        </is>
      </c>
      <c r="F463" s="22" t="inlineStr">
        <is>
          <t>Yes</t>
        </is>
      </c>
      <c r="G463" s="234" t="n">
        <v>140</v>
      </c>
      <c r="H463" s="225" t="n">
        <v>0.05</v>
      </c>
      <c r="I463" s="225" t="n">
        <v>0.65</v>
      </c>
      <c r="J463" s="225" t="n">
        <v>0.61</v>
      </c>
      <c r="K463" s="226" t="n">
        <v>45413</v>
      </c>
      <c r="L463" s="22" t="inlineStr">
        <is>
          <t>Legacy Alderstone</t>
        </is>
      </c>
      <c r="M463" s="22" t="inlineStr">
        <is>
          <t>Active</t>
        </is>
      </c>
      <c r="N463" s="22" t="inlineStr">
        <is>
          <t>Staff</t>
        </is>
      </c>
      <c r="O463" s="22" t="inlineStr">
        <is>
          <t>No</t>
        </is>
      </c>
      <c r="P463" s="22" t="inlineStr">
        <is>
          <t>HRIS / KS-DL-1.2</t>
        </is>
      </c>
    </row>
    <row r="464">
      <c r="A464" s="22" t="inlineStr">
        <is>
          <t>E0461</t>
        </is>
      </c>
      <c r="B464" s="22" t="inlineStr">
        <is>
          <t>Richmond</t>
        </is>
      </c>
      <c r="C464" s="22" t="inlineStr">
        <is>
          <t>Midwest</t>
        </is>
      </c>
      <c r="D464" s="22" t="inlineStr">
        <is>
          <t>Technical</t>
        </is>
      </c>
      <c r="E464" s="22" t="inlineStr">
        <is>
          <t>Industrial Hygiene</t>
        </is>
      </c>
      <c r="F464" s="22" t="inlineStr">
        <is>
          <t>Yes</t>
        </is>
      </c>
      <c r="G464" s="234" t="n">
        <v>67</v>
      </c>
      <c r="H464" s="225" t="n">
        <v>0.05</v>
      </c>
      <c r="I464" s="225" t="n">
        <v>0.7200000000000001</v>
      </c>
      <c r="J464" s="225" t="n">
        <v>0.68</v>
      </c>
      <c r="K464" s="226" t="n">
        <v>45809</v>
      </c>
      <c r="L464" s="22" t="inlineStr">
        <is>
          <t>Northstar</t>
        </is>
      </c>
      <c r="M464" s="22" t="inlineStr">
        <is>
          <t>Active</t>
        </is>
      </c>
      <c r="N464" s="22" t="inlineStr">
        <is>
          <t>Staff</t>
        </is>
      </c>
      <c r="O464" s="22" t="inlineStr">
        <is>
          <t>No</t>
        </is>
      </c>
      <c r="P464" s="22" t="inlineStr">
        <is>
          <t>HRIS / KS-DL-1.2</t>
        </is>
      </c>
    </row>
    <row r="465">
      <c r="A465" s="22" t="inlineStr">
        <is>
          <t>E0462</t>
        </is>
      </c>
      <c r="B465" s="22" t="inlineStr">
        <is>
          <t>Indianapolis</t>
        </is>
      </c>
      <c r="C465" s="22" t="inlineStr">
        <is>
          <t>Southeast</t>
        </is>
      </c>
      <c r="D465" s="22" t="inlineStr">
        <is>
          <t>Technical</t>
        </is>
      </c>
      <c r="E465" s="22" t="inlineStr">
        <is>
          <t>Field Inspection</t>
        </is>
      </c>
      <c r="F465" s="22" t="inlineStr">
        <is>
          <t>Yes</t>
        </is>
      </c>
      <c r="G465" s="234" t="n">
        <v>84</v>
      </c>
      <c r="H465" s="225" t="n">
        <v>0.05</v>
      </c>
      <c r="I465" s="225" t="n">
        <v>0.79</v>
      </c>
      <c r="J465" s="225" t="n">
        <v>0.75</v>
      </c>
      <c r="K465" s="226" t="n">
        <v>42186</v>
      </c>
      <c r="L465" s="22" t="inlineStr">
        <is>
          <t>Delta</t>
        </is>
      </c>
      <c r="M465" s="22" t="inlineStr">
        <is>
          <t>Active</t>
        </is>
      </c>
      <c r="N465" s="22" t="inlineStr">
        <is>
          <t>Staff</t>
        </is>
      </c>
      <c r="O465" s="22" t="inlineStr">
        <is>
          <t>No</t>
        </is>
      </c>
      <c r="P465" s="22" t="inlineStr">
        <is>
          <t>HRIS / KS-DL-1.2</t>
        </is>
      </c>
    </row>
    <row r="466">
      <c r="A466" s="22" t="inlineStr">
        <is>
          <t>E0463</t>
        </is>
      </c>
      <c r="B466" s="22" t="inlineStr">
        <is>
          <t>Chicago</t>
        </is>
      </c>
      <c r="C466" s="22" t="inlineStr">
        <is>
          <t>Midwest</t>
        </is>
      </c>
      <c r="D466" s="22" t="inlineStr">
        <is>
          <t>Technical</t>
        </is>
      </c>
      <c r="E466" s="22" t="inlineStr">
        <is>
          <t>Permitting &amp; Advisory</t>
        </is>
      </c>
      <c r="F466" s="22" t="inlineStr">
        <is>
          <t>Yes</t>
        </is>
      </c>
      <c r="G466" s="234" t="n">
        <v>101</v>
      </c>
      <c r="H466" s="225" t="n">
        <v>0.05</v>
      </c>
      <c r="I466" s="225" t="n">
        <v>0.5600000000000001</v>
      </c>
      <c r="J466" s="225" t="n">
        <v>0.52</v>
      </c>
      <c r="K466" s="226" t="n">
        <v>42583</v>
      </c>
      <c r="L466" s="22" t="inlineStr">
        <is>
          <t>Meridian</t>
        </is>
      </c>
      <c r="M466" s="22" t="inlineStr">
        <is>
          <t>Active</t>
        </is>
      </c>
      <c r="N466" s="22" t="inlineStr">
        <is>
          <t>Staff</t>
        </is>
      </c>
      <c r="O466" s="22" t="inlineStr">
        <is>
          <t>No</t>
        </is>
      </c>
      <c r="P466" s="22" t="inlineStr">
        <is>
          <t>HRIS / KS-DL-1.2</t>
        </is>
      </c>
    </row>
    <row r="467">
      <c r="A467" s="22" t="inlineStr">
        <is>
          <t>E0464</t>
        </is>
      </c>
      <c r="B467" s="22" t="inlineStr">
        <is>
          <t>Detroit</t>
        </is>
      </c>
      <c r="C467" s="22" t="inlineStr">
        <is>
          <t>Midwest</t>
        </is>
      </c>
      <c r="D467" s="22" t="inlineStr">
        <is>
          <t>Project Management</t>
        </is>
      </c>
      <c r="E467" s="22" t="inlineStr">
        <is>
          <t>EHS Compliance</t>
        </is>
      </c>
      <c r="F467" s="22" t="inlineStr">
        <is>
          <t>Yes</t>
        </is>
      </c>
      <c r="G467" s="234" t="n">
        <v>118</v>
      </c>
      <c r="H467" s="225" t="n">
        <v>0.05</v>
      </c>
      <c r="I467" s="225" t="n">
        <v>0.63</v>
      </c>
      <c r="J467" s="225" t="n">
        <v>0.59</v>
      </c>
      <c r="K467" s="226" t="n">
        <v>42979</v>
      </c>
      <c r="L467" s="22" t="inlineStr">
        <is>
          <t>Summit</t>
        </is>
      </c>
      <c r="M467" s="22" t="inlineStr">
        <is>
          <t>Active</t>
        </is>
      </c>
      <c r="N467" s="22" t="inlineStr">
        <is>
          <t>Staff</t>
        </is>
      </c>
      <c r="O467" s="22" t="inlineStr">
        <is>
          <t>Yes</t>
        </is>
      </c>
      <c r="P467" s="22" t="inlineStr">
        <is>
          <t>HRIS / KS-DL-1.2</t>
        </is>
      </c>
    </row>
    <row r="468">
      <c r="A468" s="22" t="inlineStr">
        <is>
          <t>E0465</t>
        </is>
      </c>
      <c r="B468" s="22" t="inlineStr">
        <is>
          <t>Louisville</t>
        </is>
      </c>
      <c r="C468" s="22" t="inlineStr">
        <is>
          <t>Southeast</t>
        </is>
      </c>
      <c r="D468" s="22" t="inlineStr">
        <is>
          <t>Corporate</t>
        </is>
      </c>
      <c r="E468" s="22" t="inlineStr">
        <is>
          <t>Industrial Hygiene</t>
        </is>
      </c>
      <c r="F468" s="22" t="inlineStr">
        <is>
          <t>No</t>
        </is>
      </c>
      <c r="G468" s="234" t="n">
        <v>175</v>
      </c>
      <c r="H468" s="225" t="n">
        <v>0.15</v>
      </c>
      <c r="I468" s="225" t="n">
        <v>0</v>
      </c>
      <c r="J468" s="225" t="n">
        <v>0</v>
      </c>
      <c r="K468" s="226" t="n">
        <v>43374</v>
      </c>
      <c r="L468" s="22" t="inlineStr">
        <is>
          <t>Legacy Alderstone</t>
        </is>
      </c>
      <c r="M468" s="22" t="inlineStr">
        <is>
          <t>Active</t>
        </is>
      </c>
      <c r="N468" s="22" t="inlineStr">
        <is>
          <t>Staff</t>
        </is>
      </c>
      <c r="O468" s="22" t="inlineStr">
        <is>
          <t>No</t>
        </is>
      </c>
      <c r="P468" s="22" t="inlineStr">
        <is>
          <t>HRIS / KS-DL-1.2</t>
        </is>
      </c>
    </row>
    <row r="469">
      <c r="A469" s="22" t="inlineStr">
        <is>
          <t>E0466</t>
        </is>
      </c>
      <c r="B469" s="22" t="inlineStr">
        <is>
          <t>Nashville</t>
        </is>
      </c>
      <c r="C469" s="22" t="inlineStr">
        <is>
          <t>Midwest</t>
        </is>
      </c>
      <c r="D469" s="22" t="inlineStr">
        <is>
          <t>Sales</t>
        </is>
      </c>
      <c r="E469" s="22" t="inlineStr">
        <is>
          <t>Field Inspection</t>
        </is>
      </c>
      <c r="F469" s="22" t="inlineStr">
        <is>
          <t>No</t>
        </is>
      </c>
      <c r="G469" s="234" t="n">
        <v>78</v>
      </c>
      <c r="H469" s="225" t="n">
        <v>0.15</v>
      </c>
      <c r="I469" s="225" t="n">
        <v>0</v>
      </c>
      <c r="J469" s="225" t="n">
        <v>0</v>
      </c>
      <c r="K469" s="226" t="n">
        <v>43770</v>
      </c>
      <c r="L469" s="22" t="inlineStr">
        <is>
          <t>Northstar</t>
        </is>
      </c>
      <c r="M469" s="22" t="inlineStr">
        <is>
          <t>Active</t>
        </is>
      </c>
      <c r="N469" s="22" t="inlineStr">
        <is>
          <t>Staff</t>
        </is>
      </c>
      <c r="O469" s="22" t="inlineStr">
        <is>
          <t>No</t>
        </is>
      </c>
      <c r="P469" s="22" t="inlineStr">
        <is>
          <t>HRIS / KS-DL-1.2</t>
        </is>
      </c>
    </row>
    <row r="470">
      <c r="A470" s="22" t="inlineStr">
        <is>
          <t>E0467</t>
        </is>
      </c>
      <c r="B470" s="22" t="inlineStr">
        <is>
          <t>Raleigh</t>
        </is>
      </c>
      <c r="C470" s="22" t="inlineStr">
        <is>
          <t>Midwest</t>
        </is>
      </c>
      <c r="D470" s="22" t="inlineStr">
        <is>
          <t>Finance</t>
        </is>
      </c>
      <c r="E470" s="22" t="inlineStr">
        <is>
          <t>Permitting &amp; Advisory</t>
        </is>
      </c>
      <c r="F470" s="22" t="inlineStr">
        <is>
          <t>No</t>
        </is>
      </c>
      <c r="G470" s="234" t="n">
        <v>91</v>
      </c>
      <c r="H470" s="225" t="n">
        <v>0.15</v>
      </c>
      <c r="I470" s="225" t="n">
        <v>0</v>
      </c>
      <c r="J470" s="225" t="n">
        <v>0</v>
      </c>
      <c r="K470" s="226" t="n">
        <v>44166</v>
      </c>
      <c r="L470" s="22" t="inlineStr">
        <is>
          <t>Delta</t>
        </is>
      </c>
      <c r="M470" s="22" t="inlineStr">
        <is>
          <t>Active</t>
        </is>
      </c>
      <c r="N470" s="22" t="inlineStr">
        <is>
          <t>Staff</t>
        </is>
      </c>
      <c r="O470" s="22" t="inlineStr">
        <is>
          <t>No</t>
        </is>
      </c>
      <c r="P470" s="22" t="inlineStr">
        <is>
          <t>HRIS / KS-DL-1.2</t>
        </is>
      </c>
    </row>
    <row r="471">
      <c r="A471" s="22" t="inlineStr">
        <is>
          <t>E0468</t>
        </is>
      </c>
      <c r="B471" s="22" t="inlineStr">
        <is>
          <t>Charlotte</t>
        </is>
      </c>
      <c r="C471" s="22" t="inlineStr">
        <is>
          <t>Southeast</t>
        </is>
      </c>
      <c r="D471" s="22" t="inlineStr">
        <is>
          <t>HR</t>
        </is>
      </c>
      <c r="E471" s="22" t="inlineStr">
        <is>
          <t>EHS Compliance</t>
        </is>
      </c>
      <c r="F471" s="22" t="inlineStr">
        <is>
          <t>No</t>
        </is>
      </c>
      <c r="G471" s="234" t="n">
        <v>104</v>
      </c>
      <c r="H471" s="225" t="n">
        <v>0.15</v>
      </c>
      <c r="I471" s="225" t="n">
        <v>0</v>
      </c>
      <c r="J471" s="225" t="n">
        <v>0</v>
      </c>
      <c r="K471" s="226" t="n">
        <v>44197</v>
      </c>
      <c r="L471" s="22" t="inlineStr">
        <is>
          <t>Meridian</t>
        </is>
      </c>
      <c r="M471" s="22" t="inlineStr">
        <is>
          <t>Active</t>
        </is>
      </c>
      <c r="N471" s="22" t="inlineStr">
        <is>
          <t>Manager</t>
        </is>
      </c>
      <c r="O471" s="22" t="inlineStr">
        <is>
          <t>No</t>
        </is>
      </c>
      <c r="P471" s="22" t="inlineStr">
        <is>
          <t>HRIS / KS-DL-1.2</t>
        </is>
      </c>
    </row>
  </sheetData>
  <mergeCells count="1">
    <mergeCell ref="A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2" customWidth="1" min="13" max="13"/>
  </cols>
  <sheetData>
    <row r="1" ht="26" customHeight="1">
      <c r="A1" s="9" t="inlineStr">
        <is>
          <t>Accounts Receivable and Unbilled WIP Detail - December 31, 2025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/>
    <row r="3" ht="20" customHeight="1">
      <c r="A3" s="39" t="inlineStr">
        <is>
          <t>Accounts Receivable Detail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5" t="inlineStr">
        <is>
          <t>Invoice ID</t>
        </is>
      </c>
      <c r="B4" s="15" t="inlineStr">
        <is>
          <t>Billing Account ID</t>
        </is>
      </c>
      <c r="C4" s="15" t="inlineStr">
        <is>
          <t>Ultimate Parent</t>
        </is>
      </c>
      <c r="D4" s="15" t="inlineStr">
        <is>
          <t>Invoice Date</t>
        </is>
      </c>
      <c r="E4" s="15" t="inlineStr">
        <is>
          <t>Due Date</t>
        </is>
      </c>
      <c r="F4" s="15" t="inlineStr">
        <is>
          <t>Amount ($mm)</t>
        </is>
      </c>
      <c r="G4" s="15" t="inlineStr">
        <is>
          <t>Age (days)</t>
        </is>
      </c>
      <c r="H4" s="15" t="inlineStr">
        <is>
          <t>Current</t>
        </is>
      </c>
      <c r="I4" s="15" t="inlineStr">
        <is>
          <t>31-60</t>
        </is>
      </c>
      <c r="J4" s="15" t="inlineStr">
        <is>
          <t>61-90</t>
        </is>
      </c>
      <c r="K4" s="15" t="inlineStr">
        <is>
          <t>91-120</t>
        </is>
      </c>
      <c r="L4" s="15" t="inlineStr">
        <is>
          <t>120+</t>
        </is>
      </c>
      <c r="M4" s="15" t="inlineStr">
        <is>
          <t>Disputed?</t>
        </is>
      </c>
    </row>
    <row r="5">
      <c r="A5" s="22" t="inlineStr">
        <is>
          <t>INV-0001</t>
        </is>
      </c>
      <c r="B5" s="22" t="inlineStr">
        <is>
          <t>MED-01</t>
        </is>
      </c>
      <c r="C5" s="22" t="inlineStr">
        <is>
          <t>MedCore Health</t>
        </is>
      </c>
      <c r="D5" s="226" t="n">
        <v>46001</v>
      </c>
      <c r="E5" s="226" t="n">
        <v>46031</v>
      </c>
      <c r="F5" s="224" t="n">
        <v>0.08941684132665044</v>
      </c>
      <c r="G5" s="224" t="n">
        <v>21</v>
      </c>
      <c r="H5" s="224" t="n">
        <v>0.08941684132665044</v>
      </c>
      <c r="I5" s="224" t="n">
        <v>0</v>
      </c>
      <c r="J5" s="224" t="n">
        <v>0</v>
      </c>
      <c r="K5" s="224" t="n">
        <v>0</v>
      </c>
      <c r="L5" s="224" t="n">
        <v>0</v>
      </c>
      <c r="M5" s="22" t="inlineStr">
        <is>
          <t>No</t>
        </is>
      </c>
    </row>
    <row r="6">
      <c r="A6" s="22" t="inlineStr">
        <is>
          <t>INV-0002</t>
        </is>
      </c>
      <c r="B6" s="22" t="inlineStr">
        <is>
          <t>APX-01</t>
        </is>
      </c>
      <c r="C6" s="22" t="inlineStr">
        <is>
          <t>Apex Manufacturing</t>
        </is>
      </c>
      <c r="D6" s="226" t="n">
        <v>45972</v>
      </c>
      <c r="E6" s="226" t="n">
        <v>46002</v>
      </c>
      <c r="F6" s="224" t="n">
        <v>0.2020285792803532</v>
      </c>
      <c r="G6" s="224" t="n">
        <v>50</v>
      </c>
      <c r="H6" s="224" t="n">
        <v>0</v>
      </c>
      <c r="I6" s="224" t="n">
        <v>0.2020285792803532</v>
      </c>
      <c r="J6" s="224" t="n">
        <v>0</v>
      </c>
      <c r="K6" s="224" t="n">
        <v>0</v>
      </c>
      <c r="L6" s="224" t="n">
        <v>0</v>
      </c>
      <c r="M6" s="22" t="inlineStr">
        <is>
          <t>No</t>
        </is>
      </c>
    </row>
    <row r="7">
      <c r="A7" s="22" t="inlineStr">
        <is>
          <t>INV-0003</t>
        </is>
      </c>
      <c r="B7" s="22" t="inlineStr">
        <is>
          <t>STA-02</t>
        </is>
      </c>
      <c r="C7" s="22" t="inlineStr">
        <is>
          <t>State Infrastructure Authority</t>
        </is>
      </c>
      <c r="D7" s="226" t="n">
        <v>45896</v>
      </c>
      <c r="E7" s="226" t="n">
        <v>45926</v>
      </c>
      <c r="F7" s="224" t="n">
        <v>0.1253685947870161</v>
      </c>
      <c r="G7" s="224" t="n">
        <v>126</v>
      </c>
      <c r="H7" s="224" t="n">
        <v>0</v>
      </c>
      <c r="I7" s="224" t="n">
        <v>0</v>
      </c>
      <c r="J7" s="224" t="n">
        <v>0</v>
      </c>
      <c r="K7" s="224" t="n">
        <v>0</v>
      </c>
      <c r="L7" s="224" t="n">
        <v>0.1253685947870161</v>
      </c>
      <c r="M7" s="22" t="inlineStr">
        <is>
          <t>No</t>
        </is>
      </c>
    </row>
    <row r="8">
      <c r="A8" s="22" t="inlineStr">
        <is>
          <t>INV-0004</t>
        </is>
      </c>
      <c r="B8" s="22" t="inlineStr">
        <is>
          <t>RIV-LOG</t>
        </is>
      </c>
      <c r="C8" s="22" t="inlineStr">
        <is>
          <t>Riverton Industrial Group</t>
        </is>
      </c>
      <c r="D8" s="226" t="n">
        <v>45977</v>
      </c>
      <c r="E8" s="226" t="n">
        <v>46007</v>
      </c>
      <c r="F8" s="224" t="n">
        <v>0.09332751550171424</v>
      </c>
      <c r="G8" s="224" t="n">
        <v>45</v>
      </c>
      <c r="H8" s="224" t="n">
        <v>0</v>
      </c>
      <c r="I8" s="224" t="n">
        <v>0.09332751550171424</v>
      </c>
      <c r="J8" s="224" t="n">
        <v>0</v>
      </c>
      <c r="K8" s="224" t="n">
        <v>0</v>
      </c>
      <c r="L8" s="224" t="n">
        <v>0</v>
      </c>
      <c r="M8" s="22" t="inlineStr">
        <is>
          <t>No</t>
        </is>
      </c>
    </row>
    <row r="9">
      <c r="A9" s="22" t="inlineStr">
        <is>
          <t>INV-0005</t>
        </is>
      </c>
      <c r="B9" s="22" t="inlineStr">
        <is>
          <t>APX-02</t>
        </is>
      </c>
      <c r="C9" s="22" t="inlineStr">
        <is>
          <t>Apex Manufacturing</t>
        </is>
      </c>
      <c r="D9" s="226" t="n">
        <v>46004</v>
      </c>
      <c r="E9" s="226" t="n">
        <v>46034</v>
      </c>
      <c r="F9" s="224" t="n">
        <v>0.1617098494861084</v>
      </c>
      <c r="G9" s="224" t="n">
        <v>18</v>
      </c>
      <c r="H9" s="224" t="n">
        <v>0.1617098494861084</v>
      </c>
      <c r="I9" s="224" t="n">
        <v>0</v>
      </c>
      <c r="J9" s="224" t="n">
        <v>0</v>
      </c>
      <c r="K9" s="224" t="n">
        <v>0</v>
      </c>
      <c r="L9" s="224" t="n">
        <v>0</v>
      </c>
      <c r="M9" s="22" t="inlineStr">
        <is>
          <t>No</t>
        </is>
      </c>
    </row>
    <row r="10">
      <c r="A10" s="22" t="inlineStr">
        <is>
          <t>INV-0006</t>
        </is>
      </c>
      <c r="B10" s="22" t="inlineStr">
        <is>
          <t>CTY-01</t>
        </is>
      </c>
      <c r="C10" s="22" t="inlineStr">
        <is>
          <t>CityWorks Municipal Group</t>
        </is>
      </c>
      <c r="D10" s="226" t="n">
        <v>45873</v>
      </c>
      <c r="E10" s="226" t="n">
        <v>45903</v>
      </c>
      <c r="F10" s="224" t="n">
        <v>0.1627697560020911</v>
      </c>
      <c r="G10" s="224" t="n">
        <v>149</v>
      </c>
      <c r="H10" s="224" t="n">
        <v>0</v>
      </c>
      <c r="I10" s="224" t="n">
        <v>0</v>
      </c>
      <c r="J10" s="224" t="n">
        <v>0</v>
      </c>
      <c r="K10" s="224" t="n">
        <v>0</v>
      </c>
      <c r="L10" s="224" t="n">
        <v>0.1627697560020911</v>
      </c>
      <c r="M10" s="22" t="inlineStr">
        <is>
          <t>No</t>
        </is>
      </c>
    </row>
    <row r="11">
      <c r="A11" s="22" t="inlineStr">
        <is>
          <t>INV-0007</t>
        </is>
      </c>
      <c r="B11" s="22" t="inlineStr">
        <is>
          <t>CLN-02</t>
        </is>
      </c>
      <c r="C11" s="22" t="inlineStr">
        <is>
          <t>Clinica Health</t>
        </is>
      </c>
      <c r="D11" s="226" t="n">
        <v>45941</v>
      </c>
      <c r="E11" s="226" t="n">
        <v>45971</v>
      </c>
      <c r="F11" s="224" t="n">
        <v>0.15942490170545</v>
      </c>
      <c r="G11" s="224" t="n">
        <v>81</v>
      </c>
      <c r="H11" s="224" t="n">
        <v>0</v>
      </c>
      <c r="I11" s="224" t="n">
        <v>0</v>
      </c>
      <c r="J11" s="224" t="n">
        <v>0.15942490170545</v>
      </c>
      <c r="K11" s="224" t="n">
        <v>0</v>
      </c>
      <c r="L11" s="224" t="n">
        <v>0</v>
      </c>
      <c r="M11" s="22" t="inlineStr">
        <is>
          <t>No</t>
        </is>
      </c>
    </row>
    <row r="12">
      <c r="A12" s="22" t="inlineStr">
        <is>
          <t>INV-0008</t>
        </is>
      </c>
      <c r="B12" s="22" t="inlineStr">
        <is>
          <t>SM-001</t>
        </is>
      </c>
      <c r="C12" s="22" t="inlineStr">
        <is>
          <t>Northfield Foods</t>
        </is>
      </c>
      <c r="D12" s="226" t="n">
        <v>46020</v>
      </c>
      <c r="E12" s="226" t="n">
        <v>46050</v>
      </c>
      <c r="F12" s="224" t="n">
        <v>0.1543963120780713</v>
      </c>
      <c r="G12" s="224" t="n">
        <v>2</v>
      </c>
      <c r="H12" s="224" t="n">
        <v>0.1543963120780713</v>
      </c>
      <c r="I12" s="224" t="n">
        <v>0</v>
      </c>
      <c r="J12" s="224" t="n">
        <v>0</v>
      </c>
      <c r="K12" s="224" t="n">
        <v>0</v>
      </c>
      <c r="L12" s="224" t="n">
        <v>0</v>
      </c>
      <c r="M12" s="22" t="inlineStr">
        <is>
          <t>No</t>
        </is>
      </c>
    </row>
    <row r="13">
      <c r="A13" s="22" t="inlineStr">
        <is>
          <t>INV-0009</t>
        </is>
      </c>
      <c r="B13" s="22" t="inlineStr">
        <is>
          <t>SM-004</t>
        </is>
      </c>
      <c r="C13" s="22" t="inlineStr">
        <is>
          <t>Granite Bio</t>
        </is>
      </c>
      <c r="D13" s="226" t="n">
        <v>45937</v>
      </c>
      <c r="E13" s="226" t="n">
        <v>45967</v>
      </c>
      <c r="F13" s="224" t="n">
        <v>0.1089448211719966</v>
      </c>
      <c r="G13" s="224" t="n">
        <v>85</v>
      </c>
      <c r="H13" s="224" t="n">
        <v>0</v>
      </c>
      <c r="I13" s="224" t="n">
        <v>0</v>
      </c>
      <c r="J13" s="224" t="n">
        <v>0.1089448211719966</v>
      </c>
      <c r="K13" s="224" t="n">
        <v>0</v>
      </c>
      <c r="L13" s="224" t="n">
        <v>0</v>
      </c>
      <c r="M13" s="22" t="inlineStr">
        <is>
          <t>No</t>
        </is>
      </c>
    </row>
    <row r="14">
      <c r="A14" s="22" t="inlineStr">
        <is>
          <t>INV-0010</t>
        </is>
      </c>
      <c r="B14" s="22" t="inlineStr">
        <is>
          <t>SM-007</t>
        </is>
      </c>
      <c r="C14" s="22" t="inlineStr">
        <is>
          <t>Keystone Health</t>
        </is>
      </c>
      <c r="D14" s="226" t="n">
        <v>46001</v>
      </c>
      <c r="E14" s="226" t="n">
        <v>46031</v>
      </c>
      <c r="F14" s="224" t="n">
        <v>0.1064284966366551</v>
      </c>
      <c r="G14" s="224" t="n">
        <v>21</v>
      </c>
      <c r="H14" s="224" t="n">
        <v>0.1064284966366551</v>
      </c>
      <c r="I14" s="224" t="n">
        <v>0</v>
      </c>
      <c r="J14" s="224" t="n">
        <v>0</v>
      </c>
      <c r="K14" s="224" t="n">
        <v>0</v>
      </c>
      <c r="L14" s="224" t="n">
        <v>0</v>
      </c>
      <c r="M14" s="22" t="inlineStr">
        <is>
          <t>No</t>
        </is>
      </c>
    </row>
    <row r="15">
      <c r="A15" s="22" t="inlineStr">
        <is>
          <t>INV-0011</t>
        </is>
      </c>
      <c r="B15" s="22" t="inlineStr">
        <is>
          <t>SM-010</t>
        </is>
      </c>
      <c r="C15" s="22" t="inlineStr">
        <is>
          <t>Pioneer Components</t>
        </is>
      </c>
      <c r="D15" s="226" t="n">
        <v>45998</v>
      </c>
      <c r="E15" s="226" t="n">
        <v>46028</v>
      </c>
      <c r="F15" s="224" t="n">
        <v>0.2091698162757269</v>
      </c>
      <c r="G15" s="224" t="n">
        <v>24</v>
      </c>
      <c r="H15" s="224" t="n">
        <v>0.2091698162757269</v>
      </c>
      <c r="I15" s="224" t="n">
        <v>0</v>
      </c>
      <c r="J15" s="224" t="n">
        <v>0</v>
      </c>
      <c r="K15" s="224" t="n">
        <v>0</v>
      </c>
      <c r="L15" s="224" t="n">
        <v>0</v>
      </c>
      <c r="M15" s="22" t="inlineStr">
        <is>
          <t>No</t>
        </is>
      </c>
    </row>
    <row r="16">
      <c r="A16" s="22" t="inlineStr">
        <is>
          <t>INV-0012</t>
        </is>
      </c>
      <c r="B16" s="22" t="inlineStr">
        <is>
          <t>SM-013</t>
        </is>
      </c>
      <c r="C16" s="22" t="inlineStr">
        <is>
          <t>Silverline Medical</t>
        </is>
      </c>
      <c r="D16" s="226" t="n">
        <v>45912</v>
      </c>
      <c r="E16" s="226" t="n">
        <v>45942</v>
      </c>
      <c r="F16" s="224" t="n">
        <v>0.1229948174863728</v>
      </c>
      <c r="G16" s="224" t="n">
        <v>110</v>
      </c>
      <c r="H16" s="224" t="n">
        <v>0</v>
      </c>
      <c r="I16" s="224" t="n">
        <v>0</v>
      </c>
      <c r="J16" s="224" t="n">
        <v>0</v>
      </c>
      <c r="K16" s="224" t="n">
        <v>0.1229948174863728</v>
      </c>
      <c r="L16" s="224" t="n">
        <v>0</v>
      </c>
      <c r="M16" s="22" t="inlineStr">
        <is>
          <t>No</t>
        </is>
      </c>
    </row>
    <row r="17">
      <c r="A17" s="22" t="inlineStr">
        <is>
          <t>INV-0013</t>
        </is>
      </c>
      <c r="B17" s="22" t="inlineStr">
        <is>
          <t>SM-016</t>
        </is>
      </c>
      <c r="C17" s="22" t="inlineStr">
        <is>
          <t>Cobalt Industries</t>
        </is>
      </c>
      <c r="D17" s="226" t="n">
        <v>45925</v>
      </c>
      <c r="E17" s="226" t="n">
        <v>45955</v>
      </c>
      <c r="F17" s="224" t="n">
        <v>0.2051688987178198</v>
      </c>
      <c r="G17" s="224" t="n">
        <v>97</v>
      </c>
      <c r="H17" s="224" t="n">
        <v>0</v>
      </c>
      <c r="I17" s="224" t="n">
        <v>0</v>
      </c>
      <c r="J17" s="224" t="n">
        <v>0</v>
      </c>
      <c r="K17" s="224" t="n">
        <v>0.2051688987178198</v>
      </c>
      <c r="L17" s="224" t="n">
        <v>0</v>
      </c>
      <c r="M17" s="22" t="inlineStr">
        <is>
          <t>No</t>
        </is>
      </c>
    </row>
    <row r="18">
      <c r="A18" s="22" t="inlineStr">
        <is>
          <t>INV-0014</t>
        </is>
      </c>
      <c r="B18" s="22" t="inlineStr">
        <is>
          <t>SM-019</t>
        </is>
      </c>
      <c r="C18" s="22" t="inlineStr">
        <is>
          <t>Northfield Foods 2</t>
        </is>
      </c>
      <c r="D18" s="226" t="n">
        <v>45959</v>
      </c>
      <c r="E18" s="226" t="n">
        <v>45989</v>
      </c>
      <c r="F18" s="224" t="n">
        <v>0.2315188406592246</v>
      </c>
      <c r="G18" s="224" t="n">
        <v>63</v>
      </c>
      <c r="H18" s="224" t="n">
        <v>0</v>
      </c>
      <c r="I18" s="224" t="n">
        <v>0</v>
      </c>
      <c r="J18" s="224" t="n">
        <v>0.2315188406592246</v>
      </c>
      <c r="K18" s="224" t="n">
        <v>0</v>
      </c>
      <c r="L18" s="224" t="n">
        <v>0</v>
      </c>
      <c r="M18" s="22" t="inlineStr">
        <is>
          <t>No</t>
        </is>
      </c>
    </row>
    <row r="19">
      <c r="A19" s="22" t="inlineStr">
        <is>
          <t>INV-0015</t>
        </is>
      </c>
      <c r="B19" s="22" t="inlineStr">
        <is>
          <t>SM-022</t>
        </is>
      </c>
      <c r="C19" s="22" t="inlineStr">
        <is>
          <t>Granite Bio 2</t>
        </is>
      </c>
      <c r="D19" s="226" t="n">
        <v>45945</v>
      </c>
      <c r="E19" s="226" t="n">
        <v>45975</v>
      </c>
      <c r="F19" s="224" t="n">
        <v>0.249992834527223</v>
      </c>
      <c r="G19" s="224" t="n">
        <v>77</v>
      </c>
      <c r="H19" s="224" t="n">
        <v>0</v>
      </c>
      <c r="I19" s="224" t="n">
        <v>0</v>
      </c>
      <c r="J19" s="224" t="n">
        <v>0.249992834527223</v>
      </c>
      <c r="K19" s="224" t="n">
        <v>0</v>
      </c>
      <c r="L19" s="224" t="n">
        <v>0</v>
      </c>
      <c r="M19" s="22" t="inlineStr">
        <is>
          <t>No</t>
        </is>
      </c>
    </row>
    <row r="20">
      <c r="A20" s="22" t="inlineStr">
        <is>
          <t>INV-0016</t>
        </is>
      </c>
      <c r="B20" s="22" t="inlineStr">
        <is>
          <t>SM-025</t>
        </is>
      </c>
      <c r="C20" s="22" t="inlineStr">
        <is>
          <t>Keystone Health 2</t>
        </is>
      </c>
      <c r="D20" s="226" t="n">
        <v>45939</v>
      </c>
      <c r="E20" s="226" t="n">
        <v>45969</v>
      </c>
      <c r="F20" s="224" t="n">
        <v>0.268305361836667</v>
      </c>
      <c r="G20" s="224" t="n">
        <v>83</v>
      </c>
      <c r="H20" s="224" t="n">
        <v>0</v>
      </c>
      <c r="I20" s="224" t="n">
        <v>0</v>
      </c>
      <c r="J20" s="224" t="n">
        <v>0.268305361836667</v>
      </c>
      <c r="K20" s="224" t="n">
        <v>0</v>
      </c>
      <c r="L20" s="224" t="n">
        <v>0</v>
      </c>
      <c r="M20" s="22" t="inlineStr">
        <is>
          <t>No</t>
        </is>
      </c>
    </row>
    <row r="21">
      <c r="A21" s="22" t="inlineStr">
        <is>
          <t>INV-0017</t>
        </is>
      </c>
      <c r="B21" s="22" t="inlineStr">
        <is>
          <t>SM-028</t>
        </is>
      </c>
      <c r="C21" s="22" t="inlineStr">
        <is>
          <t>Pioneer Components 2</t>
        </is>
      </c>
      <c r="D21" s="226" t="n">
        <v>45954</v>
      </c>
      <c r="E21" s="226" t="n">
        <v>45984</v>
      </c>
      <c r="F21" s="224" t="n">
        <v>0.1019154810600005</v>
      </c>
      <c r="G21" s="224" t="n">
        <v>68</v>
      </c>
      <c r="H21" s="224" t="n">
        <v>0</v>
      </c>
      <c r="I21" s="224" t="n">
        <v>0</v>
      </c>
      <c r="J21" s="224" t="n">
        <v>0.1019154810600005</v>
      </c>
      <c r="K21" s="224" t="n">
        <v>0</v>
      </c>
      <c r="L21" s="224" t="n">
        <v>0</v>
      </c>
      <c r="M21" s="22" t="inlineStr">
        <is>
          <t>No</t>
        </is>
      </c>
    </row>
    <row r="22">
      <c r="A22" s="22" t="inlineStr">
        <is>
          <t>INV-0018</t>
        </is>
      </c>
      <c r="B22" s="22" t="inlineStr">
        <is>
          <t>SM-031</t>
        </is>
      </c>
      <c r="C22" s="22" t="inlineStr">
        <is>
          <t>Silverline Medical 2</t>
        </is>
      </c>
      <c r="D22" s="226" t="n">
        <v>46007</v>
      </c>
      <c r="E22" s="226" t="n">
        <v>46037</v>
      </c>
      <c r="F22" s="224" t="n">
        <v>0.1025812711170487</v>
      </c>
      <c r="G22" s="224" t="n">
        <v>15</v>
      </c>
      <c r="H22" s="224" t="n">
        <v>0.1025812711170487</v>
      </c>
      <c r="I22" s="224" t="n">
        <v>0</v>
      </c>
      <c r="J22" s="224" t="n">
        <v>0</v>
      </c>
      <c r="K22" s="224" t="n">
        <v>0</v>
      </c>
      <c r="L22" s="224" t="n">
        <v>0</v>
      </c>
      <c r="M22" s="22" t="inlineStr">
        <is>
          <t>No</t>
        </is>
      </c>
    </row>
    <row r="23">
      <c r="A23" s="22" t="inlineStr">
        <is>
          <t>INV-0019</t>
        </is>
      </c>
      <c r="B23" s="22" t="inlineStr">
        <is>
          <t>SM-034</t>
        </is>
      </c>
      <c r="C23" s="22" t="inlineStr">
        <is>
          <t>Cobalt Industries 2</t>
        </is>
      </c>
      <c r="D23" s="226" t="n">
        <v>45907</v>
      </c>
      <c r="E23" s="226" t="n">
        <v>45937</v>
      </c>
      <c r="F23" s="224" t="n">
        <v>0.2192417108100052</v>
      </c>
      <c r="G23" s="224" t="n">
        <v>115</v>
      </c>
      <c r="H23" s="224" t="n">
        <v>0</v>
      </c>
      <c r="I23" s="224" t="n">
        <v>0</v>
      </c>
      <c r="J23" s="224" t="n">
        <v>0</v>
      </c>
      <c r="K23" s="224" t="n">
        <v>0.2192417108100052</v>
      </c>
      <c r="L23" s="224" t="n">
        <v>0</v>
      </c>
      <c r="M23" s="22" t="inlineStr">
        <is>
          <t>No</t>
        </is>
      </c>
    </row>
    <row r="24">
      <c r="A24" s="22" t="inlineStr">
        <is>
          <t>INV-0020</t>
        </is>
      </c>
      <c r="B24" s="22" t="inlineStr">
        <is>
          <t>MET-N</t>
        </is>
      </c>
      <c r="C24" s="22" t="inlineStr">
        <is>
          <t>Metro Utility Holdings</t>
        </is>
      </c>
      <c r="D24" s="226" t="n">
        <v>45907</v>
      </c>
      <c r="E24" s="226" t="n">
        <v>45937</v>
      </c>
      <c r="F24" s="224" t="n">
        <v>0.1818856858286853</v>
      </c>
      <c r="G24" s="224" t="n">
        <v>115</v>
      </c>
      <c r="H24" s="224" t="n">
        <v>0</v>
      </c>
      <c r="I24" s="224" t="n">
        <v>0</v>
      </c>
      <c r="J24" s="224" t="n">
        <v>0</v>
      </c>
      <c r="K24" s="224" t="n">
        <v>0.1818856858286853</v>
      </c>
      <c r="L24" s="224" t="n">
        <v>0</v>
      </c>
      <c r="M24" s="22" t="inlineStr">
        <is>
          <t>No</t>
        </is>
      </c>
    </row>
    <row r="25">
      <c r="A25" s="22" t="inlineStr">
        <is>
          <t>INV-0021</t>
        </is>
      </c>
      <c r="B25" s="22" t="inlineStr">
        <is>
          <t>RIV-CORP</t>
        </is>
      </c>
      <c r="C25" s="22" t="inlineStr">
        <is>
          <t>Riverton Industrial Group</t>
        </is>
      </c>
      <c r="D25" s="226" t="n">
        <v>45959</v>
      </c>
      <c r="E25" s="226" t="n">
        <v>45989</v>
      </c>
      <c r="F25" s="224" t="n">
        <v>0.09424918182415647</v>
      </c>
      <c r="G25" s="224" t="n">
        <v>63</v>
      </c>
      <c r="H25" s="224" t="n">
        <v>0</v>
      </c>
      <c r="I25" s="224" t="n">
        <v>0</v>
      </c>
      <c r="J25" s="224" t="n">
        <v>0.09424918182415647</v>
      </c>
      <c r="K25" s="224" t="n">
        <v>0</v>
      </c>
      <c r="L25" s="224" t="n">
        <v>0</v>
      </c>
      <c r="M25" s="22" t="inlineStr">
        <is>
          <t>No</t>
        </is>
      </c>
    </row>
    <row r="26">
      <c r="A26" s="22" t="inlineStr">
        <is>
          <t>INV-0022</t>
        </is>
      </c>
      <c r="B26" s="22" t="inlineStr">
        <is>
          <t>RIV-GRN</t>
        </is>
      </c>
      <c r="C26" s="22" t="inlineStr">
        <is>
          <t>Riverton Industrial Group</t>
        </is>
      </c>
      <c r="D26" s="226" t="n">
        <v>45962</v>
      </c>
      <c r="E26" s="226" t="n">
        <v>45992</v>
      </c>
      <c r="F26" s="224" t="n">
        <v>0.2058219262209945</v>
      </c>
      <c r="G26" s="224" t="n">
        <v>60</v>
      </c>
      <c r="H26" s="224" t="n">
        <v>0</v>
      </c>
      <c r="I26" s="224" t="n">
        <v>0.2058219262209945</v>
      </c>
      <c r="J26" s="224" t="n">
        <v>0</v>
      </c>
      <c r="K26" s="224" t="n">
        <v>0</v>
      </c>
      <c r="L26" s="224" t="n">
        <v>0</v>
      </c>
      <c r="M26" s="22" t="inlineStr">
        <is>
          <t>No</t>
        </is>
      </c>
    </row>
    <row r="27">
      <c r="A27" s="22" t="inlineStr">
        <is>
          <t>INV-0023</t>
        </is>
      </c>
      <c r="B27" s="22" t="inlineStr">
        <is>
          <t>RIV-MIL</t>
        </is>
      </c>
      <c r="C27" s="22" t="inlineStr">
        <is>
          <t>Riverton Industrial Group</t>
        </is>
      </c>
      <c r="D27" s="226" t="n">
        <v>45931</v>
      </c>
      <c r="E27" s="226" t="n">
        <v>45961</v>
      </c>
      <c r="F27" s="224" t="n">
        <v>0.2517059784129237</v>
      </c>
      <c r="G27" s="224" t="n">
        <v>91</v>
      </c>
      <c r="H27" s="224" t="n">
        <v>0</v>
      </c>
      <c r="I27" s="224" t="n">
        <v>0</v>
      </c>
      <c r="J27" s="224" t="n">
        <v>0</v>
      </c>
      <c r="K27" s="224" t="n">
        <v>0.2517059784129237</v>
      </c>
      <c r="L27" s="224" t="n">
        <v>0</v>
      </c>
      <c r="M27" s="22" t="inlineStr">
        <is>
          <t>Yes</t>
        </is>
      </c>
    </row>
    <row r="28">
      <c r="A28" s="22" t="inlineStr">
        <is>
          <t>INV-0024</t>
        </is>
      </c>
      <c r="B28" s="22" t="inlineStr">
        <is>
          <t>RIV-WST</t>
        </is>
      </c>
      <c r="C28" s="22" t="inlineStr">
        <is>
          <t>Riverton Industrial Group</t>
        </is>
      </c>
      <c r="D28" s="226" t="n">
        <v>45952</v>
      </c>
      <c r="E28" s="226" t="n">
        <v>45982</v>
      </c>
      <c r="F28" s="224" t="n">
        <v>0.2429197100086603</v>
      </c>
      <c r="G28" s="224" t="n">
        <v>70</v>
      </c>
      <c r="H28" s="224" t="n">
        <v>0</v>
      </c>
      <c r="I28" s="224" t="n">
        <v>0</v>
      </c>
      <c r="J28" s="224" t="n">
        <v>0.2429197100086603</v>
      </c>
      <c r="K28" s="224" t="n">
        <v>0</v>
      </c>
      <c r="L28" s="224" t="n">
        <v>0</v>
      </c>
      <c r="M28" s="22" t="inlineStr">
        <is>
          <t>No</t>
        </is>
      </c>
    </row>
    <row r="29">
      <c r="A29" s="22" t="inlineStr">
        <is>
          <t>INV-0025</t>
        </is>
      </c>
      <c r="B29" s="22" t="inlineStr">
        <is>
          <t>HBR-01</t>
        </is>
      </c>
      <c r="C29" s="22" t="inlineStr">
        <is>
          <t>Harbor Utilities</t>
        </is>
      </c>
      <c r="D29" s="226" t="n">
        <v>45960</v>
      </c>
      <c r="E29" s="226" t="n">
        <v>45990</v>
      </c>
      <c r="F29" s="224" t="n">
        <v>0.09758572046135544</v>
      </c>
      <c r="G29" s="224" t="n">
        <v>62</v>
      </c>
      <c r="H29" s="224" t="n">
        <v>0</v>
      </c>
      <c r="I29" s="224" t="n">
        <v>0</v>
      </c>
      <c r="J29" s="224" t="n">
        <v>0.09758572046135544</v>
      </c>
      <c r="K29" s="224" t="n">
        <v>0</v>
      </c>
      <c r="L29" s="224" t="n">
        <v>0</v>
      </c>
      <c r="M29" s="22" t="inlineStr">
        <is>
          <t>No</t>
        </is>
      </c>
    </row>
    <row r="30">
      <c r="A30" s="22" t="inlineStr">
        <is>
          <t>INV-0026</t>
        </is>
      </c>
      <c r="B30" s="22" t="inlineStr">
        <is>
          <t>CTY-02</t>
        </is>
      </c>
      <c r="C30" s="22" t="inlineStr">
        <is>
          <t>CityWorks Municipal Group</t>
        </is>
      </c>
      <c r="D30" s="226" t="n">
        <v>45891</v>
      </c>
      <c r="E30" s="226" t="n">
        <v>45921</v>
      </c>
      <c r="F30" s="224" t="n">
        <v>0.1170170336277827</v>
      </c>
      <c r="G30" s="224" t="n">
        <v>131</v>
      </c>
      <c r="H30" s="224" t="n">
        <v>0</v>
      </c>
      <c r="I30" s="224" t="n">
        <v>0</v>
      </c>
      <c r="J30" s="224" t="n">
        <v>0</v>
      </c>
      <c r="K30" s="224" t="n">
        <v>0</v>
      </c>
      <c r="L30" s="224" t="n">
        <v>0.1170170336277827</v>
      </c>
      <c r="M30" s="22" t="inlineStr">
        <is>
          <t>No</t>
        </is>
      </c>
    </row>
    <row r="31">
      <c r="A31" s="22" t="inlineStr">
        <is>
          <t>INV-0027</t>
        </is>
      </c>
      <c r="B31" s="22" t="inlineStr">
        <is>
          <t>PRE-01</t>
        </is>
      </c>
      <c r="C31" s="22" t="inlineStr">
        <is>
          <t>Precision Components</t>
        </is>
      </c>
      <c r="D31" s="226" t="n">
        <v>45887</v>
      </c>
      <c r="E31" s="226" t="n">
        <v>45917</v>
      </c>
      <c r="F31" s="224" t="n">
        <v>0.04846800271398997</v>
      </c>
      <c r="G31" s="224" t="n">
        <v>135</v>
      </c>
      <c r="H31" s="224" t="n">
        <v>0</v>
      </c>
      <c r="I31" s="224" t="n">
        <v>0</v>
      </c>
      <c r="J31" s="224" t="n">
        <v>0</v>
      </c>
      <c r="K31" s="224" t="n">
        <v>0</v>
      </c>
      <c r="L31" s="224" t="n">
        <v>0.04846800271398997</v>
      </c>
      <c r="M31" s="22" t="inlineStr">
        <is>
          <t>No</t>
        </is>
      </c>
    </row>
    <row r="32">
      <c r="A32" s="22" t="inlineStr">
        <is>
          <t>INV-0028</t>
        </is>
      </c>
      <c r="B32" s="22" t="inlineStr">
        <is>
          <t>SM-002</t>
        </is>
      </c>
      <c r="C32" s="22" t="inlineStr">
        <is>
          <t>Ironbridge Logistics</t>
        </is>
      </c>
      <c r="D32" s="226" t="n">
        <v>46000</v>
      </c>
      <c r="E32" s="226" t="n">
        <v>46030</v>
      </c>
      <c r="F32" s="224" t="n">
        <v>0.2757284270749623</v>
      </c>
      <c r="G32" s="224" t="n">
        <v>22</v>
      </c>
      <c r="H32" s="224" t="n">
        <v>0.2757284270749623</v>
      </c>
      <c r="I32" s="224" t="n">
        <v>0</v>
      </c>
      <c r="J32" s="224" t="n">
        <v>0</v>
      </c>
      <c r="K32" s="224" t="n">
        <v>0</v>
      </c>
      <c r="L32" s="224" t="n">
        <v>0</v>
      </c>
      <c r="M32" s="22" t="inlineStr">
        <is>
          <t>No</t>
        </is>
      </c>
    </row>
    <row r="33">
      <c r="A33" s="22" t="inlineStr">
        <is>
          <t>INV-0029</t>
        </is>
      </c>
      <c r="B33" s="22" t="inlineStr">
        <is>
          <t>SM-005</t>
        </is>
      </c>
      <c r="C33" s="22" t="inlineStr">
        <is>
          <t>Oak Ridge Manufacturing</t>
        </is>
      </c>
      <c r="D33" s="226" t="n">
        <v>45997</v>
      </c>
      <c r="E33" s="226" t="n">
        <v>46027</v>
      </c>
      <c r="F33" s="224" t="n">
        <v>0.09860458758260748</v>
      </c>
      <c r="G33" s="224" t="n">
        <v>25</v>
      </c>
      <c r="H33" s="224" t="n">
        <v>0.09860458758260748</v>
      </c>
      <c r="I33" s="224" t="n">
        <v>0</v>
      </c>
      <c r="J33" s="224" t="n">
        <v>0</v>
      </c>
      <c r="K33" s="224" t="n">
        <v>0</v>
      </c>
      <c r="L33" s="224" t="n">
        <v>0</v>
      </c>
      <c r="M33" s="22" t="inlineStr">
        <is>
          <t>No</t>
        </is>
      </c>
    </row>
    <row r="34">
      <c r="A34" s="22" t="inlineStr">
        <is>
          <t>INV-0030</t>
        </is>
      </c>
      <c r="B34" s="22" t="inlineStr">
        <is>
          <t>SM-008</t>
        </is>
      </c>
      <c r="C34" s="22" t="inlineStr">
        <is>
          <t>Lakefront Infrastructure</t>
        </is>
      </c>
      <c r="D34" s="226" t="n">
        <v>45905</v>
      </c>
      <c r="E34" s="226" t="n">
        <v>45935</v>
      </c>
      <c r="F34" s="224" t="n">
        <v>0.2174308279841496</v>
      </c>
      <c r="G34" s="224" t="n">
        <v>117</v>
      </c>
      <c r="H34" s="224" t="n">
        <v>0</v>
      </c>
      <c r="I34" s="224" t="n">
        <v>0</v>
      </c>
      <c r="J34" s="224" t="n">
        <v>0</v>
      </c>
      <c r="K34" s="224" t="n">
        <v>0.2174308279841496</v>
      </c>
      <c r="L34" s="224" t="n">
        <v>0</v>
      </c>
      <c r="M34" s="22" t="inlineStr">
        <is>
          <t>No</t>
        </is>
      </c>
    </row>
    <row r="35">
      <c r="A35" s="22" t="inlineStr">
        <is>
          <t>INV-0031</t>
        </is>
      </c>
      <c r="B35" s="22" t="inlineStr">
        <is>
          <t>SM-011</t>
        </is>
      </c>
      <c r="C35" s="22" t="inlineStr">
        <is>
          <t>Evergreen Chemicals</t>
        </is>
      </c>
      <c r="D35" s="226" t="n">
        <v>45879</v>
      </c>
      <c r="E35" s="226" t="n">
        <v>45909</v>
      </c>
      <c r="F35" s="224" t="n">
        <v>0.1730567155901718</v>
      </c>
      <c r="G35" s="224" t="n">
        <v>143</v>
      </c>
      <c r="H35" s="224" t="n">
        <v>0</v>
      </c>
      <c r="I35" s="224" t="n">
        <v>0</v>
      </c>
      <c r="J35" s="224" t="n">
        <v>0</v>
      </c>
      <c r="K35" s="224" t="n">
        <v>0</v>
      </c>
      <c r="L35" s="224" t="n">
        <v>0.1730567155901718</v>
      </c>
      <c r="M35" s="22" t="inlineStr">
        <is>
          <t>No</t>
        </is>
      </c>
    </row>
    <row r="36">
      <c r="A36" s="22" t="inlineStr">
        <is>
          <t>INV-0032</t>
        </is>
      </c>
      <c r="B36" s="22" t="inlineStr">
        <is>
          <t>SM-014</t>
        </is>
      </c>
      <c r="C36" s="22" t="inlineStr">
        <is>
          <t>Prairie Public Works</t>
        </is>
      </c>
      <c r="D36" s="226" t="n">
        <v>45913</v>
      </c>
      <c r="E36" s="226" t="n">
        <v>45943</v>
      </c>
      <c r="F36" s="224" t="n">
        <v>0.1860882623271216</v>
      </c>
      <c r="G36" s="224" t="n">
        <v>109</v>
      </c>
      <c r="H36" s="224" t="n">
        <v>0</v>
      </c>
      <c r="I36" s="224" t="n">
        <v>0</v>
      </c>
      <c r="J36" s="224" t="n">
        <v>0</v>
      </c>
      <c r="K36" s="224" t="n">
        <v>0.1860882623271216</v>
      </c>
      <c r="L36" s="224" t="n">
        <v>0</v>
      </c>
      <c r="M36" s="22" t="inlineStr">
        <is>
          <t>No</t>
        </is>
      </c>
    </row>
    <row r="37">
      <c r="A37" s="22" t="inlineStr">
        <is>
          <t>INV-0033</t>
        </is>
      </c>
      <c r="B37" s="22" t="inlineStr">
        <is>
          <t>SM-017</t>
        </is>
      </c>
      <c r="C37" s="22" t="inlineStr">
        <is>
          <t>Meridian Transit</t>
        </is>
      </c>
      <c r="D37" s="226" t="n">
        <v>45978</v>
      </c>
      <c r="E37" s="226" t="n">
        <v>46008</v>
      </c>
      <c r="F37" s="224" t="n">
        <v>0.1704390410073848</v>
      </c>
      <c r="G37" s="224" t="n">
        <v>44</v>
      </c>
      <c r="H37" s="224" t="n">
        <v>0</v>
      </c>
      <c r="I37" s="224" t="n">
        <v>0.1704390410073848</v>
      </c>
      <c r="J37" s="224" t="n">
        <v>0</v>
      </c>
      <c r="K37" s="224" t="n">
        <v>0</v>
      </c>
      <c r="L37" s="224" t="n">
        <v>0</v>
      </c>
      <c r="M37" s="22" t="inlineStr">
        <is>
          <t>No</t>
        </is>
      </c>
    </row>
    <row r="38">
      <c r="A38" s="22" t="inlineStr">
        <is>
          <t>INV-0034</t>
        </is>
      </c>
      <c r="B38" s="22" t="inlineStr">
        <is>
          <t>SM-020</t>
        </is>
      </c>
      <c r="C38" s="22" t="inlineStr">
        <is>
          <t>Ironbridge Logistics 2</t>
        </is>
      </c>
      <c r="D38" s="226" t="n">
        <v>46014</v>
      </c>
      <c r="E38" s="226" t="n">
        <v>46044</v>
      </c>
      <c r="F38" s="224" t="n">
        <v>0.2405140547144622</v>
      </c>
      <c r="G38" s="224" t="n">
        <v>8</v>
      </c>
      <c r="H38" s="224" t="n">
        <v>0.2405140547144622</v>
      </c>
      <c r="I38" s="224" t="n">
        <v>0</v>
      </c>
      <c r="J38" s="224" t="n">
        <v>0</v>
      </c>
      <c r="K38" s="224" t="n">
        <v>0</v>
      </c>
      <c r="L38" s="224" t="n">
        <v>0</v>
      </c>
      <c r="M38" s="22" t="inlineStr">
        <is>
          <t>No</t>
        </is>
      </c>
    </row>
    <row r="39">
      <c r="A39" s="22" t="inlineStr">
        <is>
          <t>INV-0035</t>
        </is>
      </c>
      <c r="B39" s="22" t="inlineStr">
        <is>
          <t>SM-023</t>
        </is>
      </c>
      <c r="C39" s="22" t="inlineStr">
        <is>
          <t>Oak Ridge Manufacturing 2</t>
        </is>
      </c>
      <c r="D39" s="226" t="n">
        <v>45898</v>
      </c>
      <c r="E39" s="226" t="n">
        <v>45928</v>
      </c>
      <c r="F39" s="224" t="n">
        <v>0.1876050855590783</v>
      </c>
      <c r="G39" s="224" t="n">
        <v>124</v>
      </c>
      <c r="H39" s="224" t="n">
        <v>0</v>
      </c>
      <c r="I39" s="224" t="n">
        <v>0</v>
      </c>
      <c r="J39" s="224" t="n">
        <v>0</v>
      </c>
      <c r="K39" s="224" t="n">
        <v>0</v>
      </c>
      <c r="L39" s="224" t="n">
        <v>0.1876050855590783</v>
      </c>
      <c r="M39" s="22" t="inlineStr">
        <is>
          <t>No</t>
        </is>
      </c>
    </row>
    <row r="40">
      <c r="A40" s="22" t="inlineStr">
        <is>
          <t>INV-0036</t>
        </is>
      </c>
      <c r="B40" s="22" t="inlineStr">
        <is>
          <t>SM-026</t>
        </is>
      </c>
      <c r="C40" s="22" t="inlineStr">
        <is>
          <t>Lakefront Infrastructure 2</t>
        </is>
      </c>
      <c r="D40" s="226" t="n">
        <v>45883</v>
      </c>
      <c r="E40" s="226" t="n">
        <v>45913</v>
      </c>
      <c r="F40" s="224" t="n">
        <v>0.1180112895724872</v>
      </c>
      <c r="G40" s="224" t="n">
        <v>139</v>
      </c>
      <c r="H40" s="224" t="n">
        <v>0</v>
      </c>
      <c r="I40" s="224" t="n">
        <v>0</v>
      </c>
      <c r="J40" s="224" t="n">
        <v>0</v>
      </c>
      <c r="K40" s="224" t="n">
        <v>0</v>
      </c>
      <c r="L40" s="224" t="n">
        <v>0.1180112895724872</v>
      </c>
      <c r="M40" s="22" t="inlineStr">
        <is>
          <t>No</t>
        </is>
      </c>
    </row>
    <row r="41">
      <c r="A41" s="22" t="inlineStr">
        <is>
          <t>INV-0037</t>
        </is>
      </c>
      <c r="B41" s="22" t="inlineStr">
        <is>
          <t>SM-029</t>
        </is>
      </c>
      <c r="C41" s="22" t="inlineStr">
        <is>
          <t>Evergreen Chemicals 2</t>
        </is>
      </c>
      <c r="D41" s="226" t="n">
        <v>45909</v>
      </c>
      <c r="E41" s="226" t="n">
        <v>45939</v>
      </c>
      <c r="F41" s="224" t="n">
        <v>0.07383613134313924</v>
      </c>
      <c r="G41" s="224" t="n">
        <v>113</v>
      </c>
      <c r="H41" s="224" t="n">
        <v>0</v>
      </c>
      <c r="I41" s="224" t="n">
        <v>0</v>
      </c>
      <c r="J41" s="224" t="n">
        <v>0</v>
      </c>
      <c r="K41" s="224" t="n">
        <v>0.07383613134313924</v>
      </c>
      <c r="L41" s="224" t="n">
        <v>0</v>
      </c>
      <c r="M41" s="22" t="inlineStr">
        <is>
          <t>No</t>
        </is>
      </c>
    </row>
    <row r="42">
      <c r="A42" s="22" t="inlineStr">
        <is>
          <t>INV-0038</t>
        </is>
      </c>
      <c r="B42" s="22" t="inlineStr">
        <is>
          <t>SM-032</t>
        </is>
      </c>
      <c r="C42" s="22" t="inlineStr">
        <is>
          <t>Prairie Public Works 2</t>
        </is>
      </c>
      <c r="D42" s="226" t="n">
        <v>45912</v>
      </c>
      <c r="E42" s="226" t="n">
        <v>45942</v>
      </c>
      <c r="F42" s="224" t="n">
        <v>0.1588696310198291</v>
      </c>
      <c r="G42" s="224" t="n">
        <v>110</v>
      </c>
      <c r="H42" s="224" t="n">
        <v>0</v>
      </c>
      <c r="I42" s="224" t="n">
        <v>0</v>
      </c>
      <c r="J42" s="224" t="n">
        <v>0</v>
      </c>
      <c r="K42" s="224" t="n">
        <v>0.1588696310198291</v>
      </c>
      <c r="L42" s="224" t="n">
        <v>0</v>
      </c>
      <c r="M42" s="22" t="inlineStr">
        <is>
          <t>No</t>
        </is>
      </c>
    </row>
    <row r="43">
      <c r="A43" s="22" t="inlineStr">
        <is>
          <t>INV-0039</t>
        </is>
      </c>
      <c r="B43" s="22" t="inlineStr">
        <is>
          <t>SM-035</t>
        </is>
      </c>
      <c r="C43" s="22" t="inlineStr">
        <is>
          <t>Meridian Transit 2</t>
        </is>
      </c>
      <c r="D43" s="226" t="n">
        <v>45877</v>
      </c>
      <c r="E43" s="226" t="n">
        <v>45907</v>
      </c>
      <c r="F43" s="224" t="n">
        <v>0.2633627023568396</v>
      </c>
      <c r="G43" s="224" t="n">
        <v>145</v>
      </c>
      <c r="H43" s="224" t="n">
        <v>0</v>
      </c>
      <c r="I43" s="224" t="n">
        <v>0</v>
      </c>
      <c r="J43" s="224" t="n">
        <v>0</v>
      </c>
      <c r="K43" s="224" t="n">
        <v>0</v>
      </c>
      <c r="L43" s="224" t="n">
        <v>0.2633627023568396</v>
      </c>
      <c r="M43" s="22" t="inlineStr">
        <is>
          <t>No</t>
        </is>
      </c>
    </row>
    <row r="44">
      <c r="A44" s="22" t="inlineStr">
        <is>
          <t>INV-0040</t>
        </is>
      </c>
      <c r="B44" s="22" t="inlineStr">
        <is>
          <t>STA-01</t>
        </is>
      </c>
      <c r="C44" s="22" t="inlineStr">
        <is>
          <t>State Infrastructure Authority</t>
        </is>
      </c>
      <c r="D44" s="226" t="n">
        <v>45944</v>
      </c>
      <c r="E44" s="226" t="n">
        <v>45974</v>
      </c>
      <c r="F44" s="224" t="n">
        <v>0.08095920197861445</v>
      </c>
      <c r="G44" s="224" t="n">
        <v>78</v>
      </c>
      <c r="H44" s="224" t="n">
        <v>0</v>
      </c>
      <c r="I44" s="224" t="n">
        <v>0</v>
      </c>
      <c r="J44" s="224" t="n">
        <v>0.08095920197861445</v>
      </c>
      <c r="K44" s="224" t="n">
        <v>0</v>
      </c>
      <c r="L44" s="224" t="n">
        <v>0</v>
      </c>
      <c r="M44" s="22" t="inlineStr">
        <is>
          <t>No</t>
        </is>
      </c>
    </row>
    <row r="45">
      <c r="A45" s="22" t="inlineStr">
        <is>
          <t>INV-0041</t>
        </is>
      </c>
      <c r="B45" s="22" t="inlineStr">
        <is>
          <t>BIO-01</t>
        </is>
      </c>
      <c r="C45" s="22" t="inlineStr">
        <is>
          <t>BioHealth Laboratories</t>
        </is>
      </c>
      <c r="D45" s="226" t="n">
        <v>45883</v>
      </c>
      <c r="E45" s="226" t="n">
        <v>45913</v>
      </c>
      <c r="F45" s="224" t="n">
        <v>0.207306232403153</v>
      </c>
      <c r="G45" s="224" t="n">
        <v>139</v>
      </c>
      <c r="H45" s="224" t="n">
        <v>0</v>
      </c>
      <c r="I45" s="224" t="n">
        <v>0</v>
      </c>
      <c r="J45" s="224" t="n">
        <v>0</v>
      </c>
      <c r="K45" s="224" t="n">
        <v>0</v>
      </c>
      <c r="L45" s="224" t="n">
        <v>0.207306232403153</v>
      </c>
      <c r="M45" s="22" t="inlineStr">
        <is>
          <t>No</t>
        </is>
      </c>
    </row>
    <row r="46">
      <c r="A46" s="22" t="inlineStr">
        <is>
          <t>INV-0042</t>
        </is>
      </c>
      <c r="B46" s="22" t="inlineStr">
        <is>
          <t>MET-S</t>
        </is>
      </c>
      <c r="C46" s="22" t="inlineStr">
        <is>
          <t>Metro Utility Holdings</t>
        </is>
      </c>
      <c r="D46" s="226" t="n">
        <v>45983</v>
      </c>
      <c r="E46" s="226" t="n">
        <v>46013</v>
      </c>
      <c r="F46" s="224" t="n">
        <v>0.1949180556744882</v>
      </c>
      <c r="G46" s="224" t="n">
        <v>39</v>
      </c>
      <c r="H46" s="224" t="n">
        <v>0</v>
      </c>
      <c r="I46" s="224" t="n">
        <v>0.1949180556744882</v>
      </c>
      <c r="J46" s="224" t="n">
        <v>0</v>
      </c>
      <c r="K46" s="224" t="n">
        <v>0</v>
      </c>
      <c r="L46" s="224" t="n">
        <v>0</v>
      </c>
      <c r="M46" s="22" t="inlineStr">
        <is>
          <t>No</t>
        </is>
      </c>
    </row>
    <row r="47">
      <c r="A47" s="22" t="inlineStr">
        <is>
          <t>INV-0043</t>
        </is>
      </c>
      <c r="B47" s="22" t="inlineStr">
        <is>
          <t>RIV-CHEM</t>
        </is>
      </c>
      <c r="C47" s="22" t="inlineStr">
        <is>
          <t>Riverton Industrial Group</t>
        </is>
      </c>
      <c r="D47" s="226" t="n">
        <v>46011</v>
      </c>
      <c r="E47" s="226" t="n">
        <v>46041</v>
      </c>
      <c r="F47" s="224" t="n">
        <v>0.08449095193047886</v>
      </c>
      <c r="G47" s="224" t="n">
        <v>11</v>
      </c>
      <c r="H47" s="224" t="n">
        <v>0.08449095193047886</v>
      </c>
      <c r="I47" s="224" t="n">
        <v>0</v>
      </c>
      <c r="J47" s="224" t="n">
        <v>0</v>
      </c>
      <c r="K47" s="224" t="n">
        <v>0</v>
      </c>
      <c r="L47" s="224" t="n">
        <v>0</v>
      </c>
      <c r="M47" s="22" t="inlineStr">
        <is>
          <t>No</t>
        </is>
      </c>
    </row>
    <row r="48">
      <c r="A48" s="22" t="inlineStr">
        <is>
          <t>INV-0044</t>
        </is>
      </c>
      <c r="B48" s="22" t="inlineStr">
        <is>
          <t>MED-02</t>
        </is>
      </c>
      <c r="C48" s="22" t="inlineStr">
        <is>
          <t>MedCore Health</t>
        </is>
      </c>
      <c r="D48" s="226" t="n">
        <v>45897</v>
      </c>
      <c r="E48" s="226" t="n">
        <v>45927</v>
      </c>
      <c r="F48" s="224" t="n">
        <v>0.09541437257990501</v>
      </c>
      <c r="G48" s="224" t="n">
        <v>125</v>
      </c>
      <c r="H48" s="224" t="n">
        <v>0</v>
      </c>
      <c r="I48" s="224" t="n">
        <v>0</v>
      </c>
      <c r="J48" s="224" t="n">
        <v>0</v>
      </c>
      <c r="K48" s="224" t="n">
        <v>0</v>
      </c>
      <c r="L48" s="224" t="n">
        <v>0.09541437257990501</v>
      </c>
      <c r="M48" s="22" t="inlineStr">
        <is>
          <t>No</t>
        </is>
      </c>
    </row>
    <row r="49">
      <c r="A49" s="22" t="inlineStr">
        <is>
          <t>INV-0045</t>
        </is>
      </c>
      <c r="B49" s="22" t="inlineStr">
        <is>
          <t>HBR-02</t>
        </is>
      </c>
      <c r="C49" s="22" t="inlineStr">
        <is>
          <t>Harbor Utilities</t>
        </is>
      </c>
      <c r="D49" s="226" t="n">
        <v>45918</v>
      </c>
      <c r="E49" s="226" t="n">
        <v>45948</v>
      </c>
      <c r="F49" s="224" t="n">
        <v>0.2078485049676524</v>
      </c>
      <c r="G49" s="224" t="n">
        <v>104</v>
      </c>
      <c r="H49" s="224" t="n">
        <v>0</v>
      </c>
      <c r="I49" s="224" t="n">
        <v>0</v>
      </c>
      <c r="J49" s="224" t="n">
        <v>0</v>
      </c>
      <c r="K49" s="224" t="n">
        <v>0.2078485049676524</v>
      </c>
      <c r="L49" s="224" t="n">
        <v>0</v>
      </c>
      <c r="M49" s="22" t="inlineStr">
        <is>
          <t>No</t>
        </is>
      </c>
    </row>
    <row r="50">
      <c r="A50" s="22" t="inlineStr">
        <is>
          <t>INV-0046</t>
        </is>
      </c>
      <c r="B50" s="22" t="inlineStr">
        <is>
          <t>CLN-01</t>
        </is>
      </c>
      <c r="C50" s="22" t="inlineStr">
        <is>
          <t>Clinica Health</t>
        </is>
      </c>
      <c r="D50" s="226" t="n">
        <v>45903</v>
      </c>
      <c r="E50" s="226" t="n">
        <v>45933</v>
      </c>
      <c r="F50" s="224" t="n">
        <v>0.14939064372724</v>
      </c>
      <c r="G50" s="224" t="n">
        <v>119</v>
      </c>
      <c r="H50" s="224" t="n">
        <v>0</v>
      </c>
      <c r="I50" s="224" t="n">
        <v>0</v>
      </c>
      <c r="J50" s="224" t="n">
        <v>0</v>
      </c>
      <c r="K50" s="224" t="n">
        <v>0.14939064372724</v>
      </c>
      <c r="L50" s="224" t="n">
        <v>0</v>
      </c>
      <c r="M50" s="22" t="inlineStr">
        <is>
          <t>Yes</t>
        </is>
      </c>
    </row>
    <row r="51">
      <c r="A51" s="22" t="inlineStr">
        <is>
          <t>INV-0047</t>
        </is>
      </c>
      <c r="B51" s="22" t="inlineStr">
        <is>
          <t>PRE-02</t>
        </is>
      </c>
      <c r="C51" s="22" t="inlineStr">
        <is>
          <t>Precision Components</t>
        </is>
      </c>
      <c r="D51" s="226" t="n">
        <v>46003</v>
      </c>
      <c r="E51" s="226" t="n">
        <v>46033</v>
      </c>
      <c r="F51" s="224" t="n">
        <v>0.1423599693464023</v>
      </c>
      <c r="G51" s="224" t="n">
        <v>19</v>
      </c>
      <c r="H51" s="224" t="n">
        <v>0.1423599693464023</v>
      </c>
      <c r="I51" s="224" t="n">
        <v>0</v>
      </c>
      <c r="J51" s="224" t="n">
        <v>0</v>
      </c>
      <c r="K51" s="224" t="n">
        <v>0</v>
      </c>
      <c r="L51" s="224" t="n">
        <v>0</v>
      </c>
      <c r="M51" s="22" t="inlineStr">
        <is>
          <t>No</t>
        </is>
      </c>
    </row>
    <row r="52">
      <c r="A52" s="22" t="inlineStr">
        <is>
          <t>INV-0048</t>
        </is>
      </c>
      <c r="B52" s="22" t="inlineStr">
        <is>
          <t>SM-003</t>
        </is>
      </c>
      <c r="C52" s="22" t="inlineStr">
        <is>
          <t>Cedar Municipal</t>
        </is>
      </c>
      <c r="D52" s="226" t="n">
        <v>45977</v>
      </c>
      <c r="E52" s="226" t="n">
        <v>46007</v>
      </c>
      <c r="F52" s="224" t="n">
        <v>0.1595581804106334</v>
      </c>
      <c r="G52" s="224" t="n">
        <v>45</v>
      </c>
      <c r="H52" s="224" t="n">
        <v>0</v>
      </c>
      <c r="I52" s="224" t="n">
        <v>0.1595581804106334</v>
      </c>
      <c r="J52" s="224" t="n">
        <v>0</v>
      </c>
      <c r="K52" s="224" t="n">
        <v>0</v>
      </c>
      <c r="L52" s="224" t="n">
        <v>0</v>
      </c>
      <c r="M52" s="22" t="inlineStr">
        <is>
          <t>No</t>
        </is>
      </c>
    </row>
    <row r="53">
      <c r="A53" s="22" t="inlineStr">
        <is>
          <t>INV-0049</t>
        </is>
      </c>
      <c r="B53" s="22" t="inlineStr">
        <is>
          <t>SM-006</t>
        </is>
      </c>
      <c r="C53" s="22" t="inlineStr">
        <is>
          <t>Summit Water</t>
        </is>
      </c>
      <c r="D53" s="226" t="n">
        <v>45934</v>
      </c>
      <c r="E53" s="226" t="n">
        <v>45964</v>
      </c>
      <c r="F53" s="224" t="n">
        <v>0.07064462461342193</v>
      </c>
      <c r="G53" s="224" t="n">
        <v>88</v>
      </c>
      <c r="H53" s="224" t="n">
        <v>0</v>
      </c>
      <c r="I53" s="224" t="n">
        <v>0</v>
      </c>
      <c r="J53" s="224" t="n">
        <v>0.07064462461342193</v>
      </c>
      <c r="K53" s="224" t="n">
        <v>0</v>
      </c>
      <c r="L53" s="224" t="n">
        <v>0</v>
      </c>
      <c r="M53" s="22" t="inlineStr">
        <is>
          <t>No</t>
        </is>
      </c>
    </row>
    <row r="54">
      <c r="A54" s="22" t="inlineStr">
        <is>
          <t>INV-0050</t>
        </is>
      </c>
      <c r="B54" s="22" t="inlineStr">
        <is>
          <t>SM-009</t>
        </is>
      </c>
      <c r="C54" s="22" t="inlineStr">
        <is>
          <t>Blue Ridge Metals</t>
        </is>
      </c>
      <c r="D54" s="226" t="n">
        <v>46013</v>
      </c>
      <c r="E54" s="226" t="n">
        <v>46043</v>
      </c>
      <c r="F54" s="224" t="n">
        <v>0.2121529531921225</v>
      </c>
      <c r="G54" s="224" t="n">
        <v>9</v>
      </c>
      <c r="H54" s="224" t="n">
        <v>0.2121529531921225</v>
      </c>
      <c r="I54" s="224" t="n">
        <v>0</v>
      </c>
      <c r="J54" s="224" t="n">
        <v>0</v>
      </c>
      <c r="K54" s="224" t="n">
        <v>0</v>
      </c>
      <c r="L54" s="224" t="n">
        <v>0</v>
      </c>
      <c r="M54" s="22" t="inlineStr">
        <is>
          <t>No</t>
        </is>
      </c>
    </row>
    <row r="55">
      <c r="A55" s="22" t="inlineStr">
        <is>
          <t>INV-0051</t>
        </is>
      </c>
      <c r="B55" s="22" t="inlineStr">
        <is>
          <t>SM-012</t>
        </is>
      </c>
      <c r="C55" s="22" t="inlineStr">
        <is>
          <t>Redwood Utilities</t>
        </is>
      </c>
      <c r="D55" s="226" t="n">
        <v>45973</v>
      </c>
      <c r="E55" s="226" t="n">
        <v>46003</v>
      </c>
      <c r="F55" s="224" t="n">
        <v>0.1848961561350671</v>
      </c>
      <c r="G55" s="224" t="n">
        <v>49</v>
      </c>
      <c r="H55" s="224" t="n">
        <v>0</v>
      </c>
      <c r="I55" s="224" t="n">
        <v>0.1848961561350671</v>
      </c>
      <c r="J55" s="224" t="n">
        <v>0</v>
      </c>
      <c r="K55" s="224" t="n">
        <v>0</v>
      </c>
      <c r="L55" s="224" t="n">
        <v>0</v>
      </c>
      <c r="M55" s="22" t="inlineStr">
        <is>
          <t>No</t>
        </is>
      </c>
    </row>
    <row r="56">
      <c r="A56" s="22" t="inlineStr">
        <is>
          <t>INV-0052</t>
        </is>
      </c>
      <c r="B56" s="22" t="inlineStr">
        <is>
          <t>SM-015</t>
        </is>
      </c>
      <c r="C56" s="22" t="inlineStr">
        <is>
          <t>Atlas Manufacturing</t>
        </is>
      </c>
      <c r="D56" s="226" t="n">
        <v>45932</v>
      </c>
      <c r="E56" s="226" t="n">
        <v>45962</v>
      </c>
      <c r="F56" s="224" t="n">
        <v>0.1721924576919836</v>
      </c>
      <c r="G56" s="224" t="n">
        <v>90</v>
      </c>
      <c r="H56" s="224" t="n">
        <v>0</v>
      </c>
      <c r="I56" s="224" t="n">
        <v>0</v>
      </c>
      <c r="J56" s="224" t="n">
        <v>0.1721924576919836</v>
      </c>
      <c r="K56" s="224" t="n">
        <v>0</v>
      </c>
      <c r="L56" s="224" t="n">
        <v>0</v>
      </c>
      <c r="M56" s="22" t="inlineStr">
        <is>
          <t>No</t>
        </is>
      </c>
    </row>
    <row r="57">
      <c r="A57" s="22" t="inlineStr">
        <is>
          <t>INV-0053</t>
        </is>
      </c>
      <c r="B57" s="22" t="inlineStr">
        <is>
          <t>SM-018</t>
        </is>
      </c>
      <c r="C57" s="22" t="inlineStr">
        <is>
          <t>Frontier Foods</t>
        </is>
      </c>
      <c r="D57" s="226" t="n">
        <v>45882</v>
      </c>
      <c r="E57" s="226" t="n">
        <v>45912</v>
      </c>
      <c r="F57" s="224" t="n">
        <v>0.1265588981172684</v>
      </c>
      <c r="G57" s="224" t="n">
        <v>140</v>
      </c>
      <c r="H57" s="224" t="n">
        <v>0</v>
      </c>
      <c r="I57" s="224" t="n">
        <v>0</v>
      </c>
      <c r="J57" s="224" t="n">
        <v>0</v>
      </c>
      <c r="K57" s="224" t="n">
        <v>0</v>
      </c>
      <c r="L57" s="224" t="n">
        <v>0.1265588981172684</v>
      </c>
      <c r="M57" s="22" t="inlineStr">
        <is>
          <t>No</t>
        </is>
      </c>
    </row>
    <row r="58">
      <c r="A58" s="22" t="inlineStr">
        <is>
          <t>INV-0054</t>
        </is>
      </c>
      <c r="B58" s="22" t="inlineStr">
        <is>
          <t>SM-021</t>
        </is>
      </c>
      <c r="C58" s="22" t="inlineStr">
        <is>
          <t>Cedar Municipal 2</t>
        </is>
      </c>
      <c r="D58" s="226" t="n">
        <v>45915</v>
      </c>
      <c r="E58" s="226" t="n">
        <v>45945</v>
      </c>
      <c r="F58" s="224" t="n">
        <v>0.2372440756279518</v>
      </c>
      <c r="G58" s="224" t="n">
        <v>107</v>
      </c>
      <c r="H58" s="224" t="n">
        <v>0</v>
      </c>
      <c r="I58" s="224" t="n">
        <v>0</v>
      </c>
      <c r="J58" s="224" t="n">
        <v>0</v>
      </c>
      <c r="K58" s="224" t="n">
        <v>0.2372440756279518</v>
      </c>
      <c r="L58" s="224" t="n">
        <v>0</v>
      </c>
      <c r="M58" s="22" t="inlineStr">
        <is>
          <t>No</t>
        </is>
      </c>
    </row>
    <row r="59">
      <c r="A59" s="22" t="inlineStr">
        <is>
          <t>INV-0055</t>
        </is>
      </c>
      <c r="B59" s="22" t="inlineStr">
        <is>
          <t>SM-024</t>
        </is>
      </c>
      <c r="C59" s="22" t="inlineStr">
        <is>
          <t>Summit Water 2</t>
        </is>
      </c>
      <c r="D59" s="226" t="n">
        <v>45963</v>
      </c>
      <c r="E59" s="226" t="n">
        <v>45993</v>
      </c>
      <c r="F59" s="224" t="n">
        <v>0.2401473943850861</v>
      </c>
      <c r="G59" s="224" t="n">
        <v>59</v>
      </c>
      <c r="H59" s="224" t="n">
        <v>0</v>
      </c>
      <c r="I59" s="224" t="n">
        <v>0.2401473943850861</v>
      </c>
      <c r="J59" s="224" t="n">
        <v>0</v>
      </c>
      <c r="K59" s="224" t="n">
        <v>0</v>
      </c>
      <c r="L59" s="224" t="n">
        <v>0</v>
      </c>
      <c r="M59" s="22" t="inlineStr">
        <is>
          <t>No</t>
        </is>
      </c>
    </row>
    <row r="60">
      <c r="A60" s="22" t="inlineStr">
        <is>
          <t>INV-0056</t>
        </is>
      </c>
      <c r="B60" s="22" t="inlineStr">
        <is>
          <t>SM-027</t>
        </is>
      </c>
      <c r="C60" s="22" t="inlineStr">
        <is>
          <t>Blue Ridge Metals 2</t>
        </is>
      </c>
      <c r="D60" s="226" t="n">
        <v>45961</v>
      </c>
      <c r="E60" s="226" t="n">
        <v>45991</v>
      </c>
      <c r="F60" s="224" t="n">
        <v>0.174690335910227</v>
      </c>
      <c r="G60" s="224" t="n">
        <v>61</v>
      </c>
      <c r="H60" s="224" t="n">
        <v>0</v>
      </c>
      <c r="I60" s="224" t="n">
        <v>0</v>
      </c>
      <c r="J60" s="224" t="n">
        <v>0.174690335910227</v>
      </c>
      <c r="K60" s="224" t="n">
        <v>0</v>
      </c>
      <c r="L60" s="224" t="n">
        <v>0</v>
      </c>
      <c r="M60" s="22" t="inlineStr">
        <is>
          <t>No</t>
        </is>
      </c>
    </row>
    <row r="61">
      <c r="A61" s="22" t="inlineStr">
        <is>
          <t>INV-0057</t>
        </is>
      </c>
      <c r="B61" s="22" t="inlineStr">
        <is>
          <t>SM-030</t>
        </is>
      </c>
      <c r="C61" s="22" t="inlineStr">
        <is>
          <t>Redwood Utilities 2</t>
        </is>
      </c>
      <c r="D61" s="226" t="n">
        <v>45946</v>
      </c>
      <c r="E61" s="226" t="n">
        <v>45976</v>
      </c>
      <c r="F61" s="224" t="n">
        <v>0.06770434463265754</v>
      </c>
      <c r="G61" s="224" t="n">
        <v>76</v>
      </c>
      <c r="H61" s="224" t="n">
        <v>0</v>
      </c>
      <c r="I61" s="224" t="n">
        <v>0</v>
      </c>
      <c r="J61" s="224" t="n">
        <v>0.06770434463265754</v>
      </c>
      <c r="K61" s="224" t="n">
        <v>0</v>
      </c>
      <c r="L61" s="224" t="n">
        <v>0</v>
      </c>
      <c r="M61" s="22" t="inlineStr">
        <is>
          <t>No</t>
        </is>
      </c>
    </row>
    <row r="62">
      <c r="A62" s="22" t="inlineStr">
        <is>
          <t>INV-0058</t>
        </is>
      </c>
      <c r="B62" s="22" t="inlineStr">
        <is>
          <t>SM-033</t>
        </is>
      </c>
      <c r="C62" s="22" t="inlineStr">
        <is>
          <t>Atlas Manufacturing 2</t>
        </is>
      </c>
      <c r="D62" s="226" t="n">
        <v>45911</v>
      </c>
      <c r="E62" s="226" t="n">
        <v>45941</v>
      </c>
      <c r="F62" s="224" t="n">
        <v>0.08159466474997963</v>
      </c>
      <c r="G62" s="224" t="n">
        <v>111</v>
      </c>
      <c r="H62" s="224" t="n">
        <v>0</v>
      </c>
      <c r="I62" s="224" t="n">
        <v>0</v>
      </c>
      <c r="J62" s="224" t="n">
        <v>0</v>
      </c>
      <c r="K62" s="224" t="n">
        <v>0.08159466474997963</v>
      </c>
      <c r="L62" s="224" t="n">
        <v>0</v>
      </c>
      <c r="M62" s="22" t="inlineStr">
        <is>
          <t>No</t>
        </is>
      </c>
    </row>
    <row r="63">
      <c r="A63" s="22" t="inlineStr">
        <is>
          <t>INV-0059</t>
        </is>
      </c>
      <c r="B63" s="22" t="inlineStr">
        <is>
          <t>RIV-DEC</t>
        </is>
      </c>
      <c r="C63" s="22" t="inlineStr">
        <is>
          <t>Riverton Industrial Group</t>
        </is>
      </c>
      <c r="D63" s="226" t="n">
        <v>45873</v>
      </c>
      <c r="E63" s="226" t="n">
        <v>45903</v>
      </c>
      <c r="F63" s="224" t="n">
        <v>0.08259771118790013</v>
      </c>
      <c r="G63" s="224" t="n">
        <v>149</v>
      </c>
      <c r="H63" s="224" t="n">
        <v>0</v>
      </c>
      <c r="I63" s="224" t="n">
        <v>0</v>
      </c>
      <c r="J63" s="224" t="n">
        <v>0</v>
      </c>
      <c r="K63" s="224" t="n">
        <v>0</v>
      </c>
      <c r="L63" s="224" t="n">
        <v>0.08259771118790013</v>
      </c>
      <c r="M63" s="22" t="inlineStr">
        <is>
          <t>No</t>
        </is>
      </c>
    </row>
    <row r="64">
      <c r="A64" s="22" t="inlineStr">
        <is>
          <t>INV-0060</t>
        </is>
      </c>
      <c r="B64" s="22" t="inlineStr">
        <is>
          <t>MED-01</t>
        </is>
      </c>
      <c r="C64" s="22" t="inlineStr">
        <is>
          <t>MedCore Health</t>
        </is>
      </c>
      <c r="D64" s="226" t="n">
        <v>46021</v>
      </c>
      <c r="E64" s="226" t="n">
        <v>46051</v>
      </c>
      <c r="F64" s="224" t="n">
        <v>0.06539601731908555</v>
      </c>
      <c r="G64" s="224" t="n">
        <v>1</v>
      </c>
      <c r="H64" s="224" t="n">
        <v>0.06539601731908555</v>
      </c>
      <c r="I64" s="224" t="n">
        <v>0</v>
      </c>
      <c r="J64" s="224" t="n">
        <v>0</v>
      </c>
      <c r="K64" s="224" t="n">
        <v>0</v>
      </c>
      <c r="L64" s="224" t="n">
        <v>0</v>
      </c>
      <c r="M64" s="22" t="inlineStr">
        <is>
          <t>No</t>
        </is>
      </c>
    </row>
    <row r="65">
      <c r="A65" s="22" t="inlineStr">
        <is>
          <t>INV-0061</t>
        </is>
      </c>
      <c r="B65" s="22" t="inlineStr">
        <is>
          <t>APX-01</t>
        </is>
      </c>
      <c r="C65" s="22" t="inlineStr">
        <is>
          <t>Apex Manufacturing</t>
        </is>
      </c>
      <c r="D65" s="226" t="n">
        <v>45884</v>
      </c>
      <c r="E65" s="226" t="n">
        <v>45914</v>
      </c>
      <c r="F65" s="224" t="n">
        <v>0.198951178746198</v>
      </c>
      <c r="G65" s="224" t="n">
        <v>138</v>
      </c>
      <c r="H65" s="224" t="n">
        <v>0</v>
      </c>
      <c r="I65" s="224" t="n">
        <v>0</v>
      </c>
      <c r="J65" s="224" t="n">
        <v>0</v>
      </c>
      <c r="K65" s="224" t="n">
        <v>0</v>
      </c>
      <c r="L65" s="224" t="n">
        <v>0.198951178746198</v>
      </c>
      <c r="M65" s="22" t="inlineStr">
        <is>
          <t>No</t>
        </is>
      </c>
    </row>
    <row r="66">
      <c r="A66" s="22" t="inlineStr">
        <is>
          <t>INV-0062</t>
        </is>
      </c>
      <c r="B66" s="22" t="inlineStr">
        <is>
          <t>STA-02</t>
        </is>
      </c>
      <c r="C66" s="22" t="inlineStr">
        <is>
          <t>State Infrastructure Authority</t>
        </is>
      </c>
      <c r="D66" s="226" t="n">
        <v>45902</v>
      </c>
      <c r="E66" s="226" t="n">
        <v>45932</v>
      </c>
      <c r="F66" s="224" t="n">
        <v>0.1743667349182726</v>
      </c>
      <c r="G66" s="224" t="n">
        <v>120</v>
      </c>
      <c r="H66" s="224" t="n">
        <v>0</v>
      </c>
      <c r="I66" s="224" t="n">
        <v>0</v>
      </c>
      <c r="J66" s="224" t="n">
        <v>0</v>
      </c>
      <c r="K66" s="224" t="n">
        <v>0.1743667349182726</v>
      </c>
      <c r="L66" s="224" t="n">
        <v>0</v>
      </c>
      <c r="M66" s="22" t="inlineStr">
        <is>
          <t>No</t>
        </is>
      </c>
    </row>
    <row r="67">
      <c r="A67" s="22" t="inlineStr">
        <is>
          <t>INV-0063</t>
        </is>
      </c>
      <c r="B67" s="22" t="inlineStr">
        <is>
          <t>RIV-LOG</t>
        </is>
      </c>
      <c r="C67" s="22" t="inlineStr">
        <is>
          <t>Riverton Industrial Group</t>
        </is>
      </c>
      <c r="D67" s="226" t="n">
        <v>46016</v>
      </c>
      <c r="E67" s="226" t="n">
        <v>46046</v>
      </c>
      <c r="F67" s="224" t="n">
        <v>0.09471746432228118</v>
      </c>
      <c r="G67" s="224" t="n">
        <v>6</v>
      </c>
      <c r="H67" s="224" t="n">
        <v>0.09471746432228118</v>
      </c>
      <c r="I67" s="224" t="n">
        <v>0</v>
      </c>
      <c r="J67" s="224" t="n">
        <v>0</v>
      </c>
      <c r="K67" s="224" t="n">
        <v>0</v>
      </c>
      <c r="L67" s="224" t="n">
        <v>0</v>
      </c>
      <c r="M67" s="22" t="inlineStr">
        <is>
          <t>No</t>
        </is>
      </c>
    </row>
    <row r="68">
      <c r="A68" s="22" t="inlineStr">
        <is>
          <t>INV-0064</t>
        </is>
      </c>
      <c r="B68" s="22" t="inlineStr">
        <is>
          <t>APX-02</t>
        </is>
      </c>
      <c r="C68" s="22" t="inlineStr">
        <is>
          <t>Apex Manufacturing</t>
        </is>
      </c>
      <c r="D68" s="226" t="n">
        <v>45984</v>
      </c>
      <c r="E68" s="226" t="n">
        <v>46014</v>
      </c>
      <c r="F68" s="224" t="n">
        <v>0.2604085111164144</v>
      </c>
      <c r="G68" s="224" t="n">
        <v>38</v>
      </c>
      <c r="H68" s="224" t="n">
        <v>0</v>
      </c>
      <c r="I68" s="224" t="n">
        <v>0.2604085111164144</v>
      </c>
      <c r="J68" s="224" t="n">
        <v>0</v>
      </c>
      <c r="K68" s="224" t="n">
        <v>0</v>
      </c>
      <c r="L68" s="224" t="n">
        <v>0</v>
      </c>
      <c r="M68" s="22" t="inlineStr">
        <is>
          <t>No</t>
        </is>
      </c>
    </row>
    <row r="69">
      <c r="A69" s="22" t="inlineStr">
        <is>
          <t>INV-0065</t>
        </is>
      </c>
      <c r="B69" s="22" t="inlineStr">
        <is>
          <t>CTY-01</t>
        </is>
      </c>
      <c r="C69" s="22" t="inlineStr">
        <is>
          <t>CityWorks Municipal Group</t>
        </is>
      </c>
      <c r="D69" s="226" t="n">
        <v>45981</v>
      </c>
      <c r="E69" s="226" t="n">
        <v>46011</v>
      </c>
      <c r="F69" s="224" t="n">
        <v>0.1946071470187947</v>
      </c>
      <c r="G69" s="224" t="n">
        <v>41</v>
      </c>
      <c r="H69" s="224" t="n">
        <v>0</v>
      </c>
      <c r="I69" s="224" t="n">
        <v>0.1946071470187947</v>
      </c>
      <c r="J69" s="224" t="n">
        <v>0</v>
      </c>
      <c r="K69" s="224" t="n">
        <v>0</v>
      </c>
      <c r="L69" s="224" t="n">
        <v>0</v>
      </c>
      <c r="M69" s="22" t="inlineStr">
        <is>
          <t>No</t>
        </is>
      </c>
    </row>
    <row r="70">
      <c r="A70" s="22" t="inlineStr">
        <is>
          <t>INV-0066</t>
        </is>
      </c>
      <c r="B70" s="22" t="inlineStr">
        <is>
          <t>CLN-02</t>
        </is>
      </c>
      <c r="C70" s="22" t="inlineStr">
        <is>
          <t>Clinica Health</t>
        </is>
      </c>
      <c r="D70" s="226" t="n">
        <v>45990</v>
      </c>
      <c r="E70" s="226" t="n">
        <v>46020</v>
      </c>
      <c r="F70" s="224" t="n">
        <v>0.232689111985722</v>
      </c>
      <c r="G70" s="224" t="n">
        <v>32</v>
      </c>
      <c r="H70" s="224" t="n">
        <v>0</v>
      </c>
      <c r="I70" s="224" t="n">
        <v>0.232689111985722</v>
      </c>
      <c r="J70" s="224" t="n">
        <v>0</v>
      </c>
      <c r="K70" s="224" t="n">
        <v>0</v>
      </c>
      <c r="L70" s="224" t="n">
        <v>0</v>
      </c>
      <c r="M70" s="22" t="inlineStr">
        <is>
          <t>No</t>
        </is>
      </c>
    </row>
    <row r="71">
      <c r="A71" s="22" t="inlineStr">
        <is>
          <t>INV-0067</t>
        </is>
      </c>
      <c r="B71" s="22" t="inlineStr">
        <is>
          <t>SM-001</t>
        </is>
      </c>
      <c r="C71" s="22" t="inlineStr">
        <is>
          <t>Northfield Foods</t>
        </is>
      </c>
      <c r="D71" s="226" t="n">
        <v>45998</v>
      </c>
      <c r="E71" s="226" t="n">
        <v>46028</v>
      </c>
      <c r="F71" s="224" t="n">
        <v>0.2387584378139549</v>
      </c>
      <c r="G71" s="224" t="n">
        <v>24</v>
      </c>
      <c r="H71" s="224" t="n">
        <v>0.2387584378139549</v>
      </c>
      <c r="I71" s="224" t="n">
        <v>0</v>
      </c>
      <c r="J71" s="224" t="n">
        <v>0</v>
      </c>
      <c r="K71" s="224" t="n">
        <v>0</v>
      </c>
      <c r="L71" s="224" t="n">
        <v>0</v>
      </c>
      <c r="M71" s="22" t="inlineStr">
        <is>
          <t>No</t>
        </is>
      </c>
    </row>
    <row r="72">
      <c r="A72" s="22" t="inlineStr">
        <is>
          <t>INV-0068</t>
        </is>
      </c>
      <c r="B72" s="22" t="inlineStr">
        <is>
          <t>SM-004</t>
        </is>
      </c>
      <c r="C72" s="22" t="inlineStr">
        <is>
          <t>Granite Bio</t>
        </is>
      </c>
      <c r="D72" s="226" t="n">
        <v>46002</v>
      </c>
      <c r="E72" s="226" t="n">
        <v>46032</v>
      </c>
      <c r="F72" s="224" t="n">
        <v>0.2067420880792651</v>
      </c>
      <c r="G72" s="224" t="n">
        <v>20</v>
      </c>
      <c r="H72" s="224" t="n">
        <v>0.2067420880792651</v>
      </c>
      <c r="I72" s="224" t="n">
        <v>0</v>
      </c>
      <c r="J72" s="224" t="n">
        <v>0</v>
      </c>
      <c r="K72" s="224" t="n">
        <v>0</v>
      </c>
      <c r="L72" s="224" t="n">
        <v>0</v>
      </c>
      <c r="M72" s="22" t="inlineStr">
        <is>
          <t>No</t>
        </is>
      </c>
    </row>
    <row r="73">
      <c r="A73" s="22" t="inlineStr">
        <is>
          <t>INV-0069</t>
        </is>
      </c>
      <c r="B73" s="22" t="inlineStr">
        <is>
          <t>SM-007</t>
        </is>
      </c>
      <c r="C73" s="22" t="inlineStr">
        <is>
          <t>Keystone Health</t>
        </is>
      </c>
      <c r="D73" s="226" t="n">
        <v>45921</v>
      </c>
      <c r="E73" s="226" t="n">
        <v>45951</v>
      </c>
      <c r="F73" s="224" t="n">
        <v>0.1704486824813044</v>
      </c>
      <c r="G73" s="224" t="n">
        <v>101</v>
      </c>
      <c r="H73" s="224" t="n">
        <v>0</v>
      </c>
      <c r="I73" s="224" t="n">
        <v>0</v>
      </c>
      <c r="J73" s="224" t="n">
        <v>0</v>
      </c>
      <c r="K73" s="224" t="n">
        <v>0.1704486824813044</v>
      </c>
      <c r="L73" s="224" t="n">
        <v>0</v>
      </c>
      <c r="M73" s="22" t="inlineStr">
        <is>
          <t>Yes</t>
        </is>
      </c>
    </row>
    <row r="74">
      <c r="A74" s="22" t="inlineStr">
        <is>
          <t>INV-0070</t>
        </is>
      </c>
      <c r="B74" s="22" t="inlineStr">
        <is>
          <t>SM-010</t>
        </is>
      </c>
      <c r="C74" s="22" t="inlineStr">
        <is>
          <t>Pioneer Components</t>
        </is>
      </c>
      <c r="D74" s="226" t="n">
        <v>45957</v>
      </c>
      <c r="E74" s="226" t="n">
        <v>45987</v>
      </c>
      <c r="F74" s="224" t="n">
        <v>0.277851843994406</v>
      </c>
      <c r="G74" s="224" t="n">
        <v>65</v>
      </c>
      <c r="H74" s="224" t="n">
        <v>0</v>
      </c>
      <c r="I74" s="224" t="n">
        <v>0</v>
      </c>
      <c r="J74" s="224" t="n">
        <v>0.277851843994406</v>
      </c>
      <c r="K74" s="224" t="n">
        <v>0</v>
      </c>
      <c r="L74" s="224" t="n">
        <v>0</v>
      </c>
      <c r="M74" s="22" t="inlineStr">
        <is>
          <t>No</t>
        </is>
      </c>
    </row>
    <row r="75">
      <c r="A75" s="22" t="inlineStr">
        <is>
          <t>INV-0071</t>
        </is>
      </c>
      <c r="B75" s="22" t="inlineStr">
        <is>
          <t>SM-013</t>
        </is>
      </c>
      <c r="C75" s="22" t="inlineStr">
        <is>
          <t>Silverline Medical</t>
        </is>
      </c>
      <c r="D75" s="226" t="n">
        <v>46006</v>
      </c>
      <c r="E75" s="226" t="n">
        <v>46036</v>
      </c>
      <c r="F75" s="224" t="n">
        <v>0.07807363483959029</v>
      </c>
      <c r="G75" s="224" t="n">
        <v>16</v>
      </c>
      <c r="H75" s="224" t="n">
        <v>0.07807363483959029</v>
      </c>
      <c r="I75" s="224" t="n">
        <v>0</v>
      </c>
      <c r="J75" s="224" t="n">
        <v>0</v>
      </c>
      <c r="K75" s="224" t="n">
        <v>0</v>
      </c>
      <c r="L75" s="224" t="n">
        <v>0</v>
      </c>
      <c r="M75" s="22" t="inlineStr">
        <is>
          <t>No</t>
        </is>
      </c>
    </row>
    <row r="76">
      <c r="A76" s="22" t="inlineStr">
        <is>
          <t>INV-0072</t>
        </is>
      </c>
      <c r="B76" s="22" t="inlineStr">
        <is>
          <t>SM-016</t>
        </is>
      </c>
      <c r="C76" s="22" t="inlineStr">
        <is>
          <t>Cobalt Industries</t>
        </is>
      </c>
      <c r="D76" s="226" t="n">
        <v>45896</v>
      </c>
      <c r="E76" s="226" t="n">
        <v>45926</v>
      </c>
      <c r="F76" s="224" t="n">
        <v>0.2085586186026541</v>
      </c>
      <c r="G76" s="224" t="n">
        <v>126</v>
      </c>
      <c r="H76" s="224" t="n">
        <v>0</v>
      </c>
      <c r="I76" s="224" t="n">
        <v>0</v>
      </c>
      <c r="J76" s="224" t="n">
        <v>0</v>
      </c>
      <c r="K76" s="224" t="n">
        <v>0</v>
      </c>
      <c r="L76" s="224" t="n">
        <v>0.2085586186026541</v>
      </c>
      <c r="M76" s="22" t="inlineStr">
        <is>
          <t>No</t>
        </is>
      </c>
    </row>
    <row r="77">
      <c r="A77" s="22" t="inlineStr">
        <is>
          <t>INV-0073</t>
        </is>
      </c>
      <c r="B77" s="22" t="inlineStr">
        <is>
          <t>SM-019</t>
        </is>
      </c>
      <c r="C77" s="22" t="inlineStr">
        <is>
          <t>Northfield Foods 2</t>
        </is>
      </c>
      <c r="D77" s="226" t="n">
        <v>45897</v>
      </c>
      <c r="E77" s="226" t="n">
        <v>45927</v>
      </c>
      <c r="F77" s="224" t="n">
        <v>0.2542832963938061</v>
      </c>
      <c r="G77" s="224" t="n">
        <v>125</v>
      </c>
      <c r="H77" s="224" t="n">
        <v>0</v>
      </c>
      <c r="I77" s="224" t="n">
        <v>0</v>
      </c>
      <c r="J77" s="224" t="n">
        <v>0</v>
      </c>
      <c r="K77" s="224" t="n">
        <v>0</v>
      </c>
      <c r="L77" s="224" t="n">
        <v>0.2542832963938061</v>
      </c>
      <c r="M77" s="22" t="inlineStr">
        <is>
          <t>No</t>
        </is>
      </c>
    </row>
    <row r="78">
      <c r="A78" s="22" t="inlineStr">
        <is>
          <t>INV-0074</t>
        </is>
      </c>
      <c r="B78" s="22" t="inlineStr">
        <is>
          <t>SM-022</t>
        </is>
      </c>
      <c r="C78" s="22" t="inlineStr">
        <is>
          <t>Granite Bio 2</t>
        </is>
      </c>
      <c r="D78" s="226" t="n">
        <v>45983</v>
      </c>
      <c r="E78" s="226" t="n">
        <v>46013</v>
      </c>
      <c r="F78" s="224" t="n">
        <v>0.1591005654617443</v>
      </c>
      <c r="G78" s="224" t="n">
        <v>39</v>
      </c>
      <c r="H78" s="224" t="n">
        <v>0</v>
      </c>
      <c r="I78" s="224" t="n">
        <v>0.1591005654617443</v>
      </c>
      <c r="J78" s="224" t="n">
        <v>0</v>
      </c>
      <c r="K78" s="224" t="n">
        <v>0</v>
      </c>
      <c r="L78" s="224" t="n">
        <v>0</v>
      </c>
      <c r="M78" s="22" t="inlineStr">
        <is>
          <t>No</t>
        </is>
      </c>
    </row>
    <row r="79">
      <c r="A79" s="22" t="inlineStr">
        <is>
          <t>INV-0075</t>
        </is>
      </c>
      <c r="B79" s="22" t="inlineStr">
        <is>
          <t>SM-025</t>
        </is>
      </c>
      <c r="C79" s="22" t="inlineStr">
        <is>
          <t>Keystone Health 2</t>
        </is>
      </c>
      <c r="D79" s="226" t="n">
        <v>45898</v>
      </c>
      <c r="E79" s="226" t="n">
        <v>45928</v>
      </c>
      <c r="F79" s="224" t="n">
        <v>0.2385593292901866</v>
      </c>
      <c r="G79" s="224" t="n">
        <v>124</v>
      </c>
      <c r="H79" s="224" t="n">
        <v>0</v>
      </c>
      <c r="I79" s="224" t="n">
        <v>0</v>
      </c>
      <c r="J79" s="224" t="n">
        <v>0</v>
      </c>
      <c r="K79" s="224" t="n">
        <v>0</v>
      </c>
      <c r="L79" s="224" t="n">
        <v>0.2385593292901866</v>
      </c>
      <c r="M79" s="22" t="inlineStr">
        <is>
          <t>No</t>
        </is>
      </c>
    </row>
    <row r="80">
      <c r="A80" s="22" t="inlineStr">
        <is>
          <t>INV-0076</t>
        </is>
      </c>
      <c r="B80" s="22" t="inlineStr">
        <is>
          <t>SM-028</t>
        </is>
      </c>
      <c r="C80" s="22" t="inlineStr">
        <is>
          <t>Pioneer Components 2</t>
        </is>
      </c>
      <c r="D80" s="226" t="n">
        <v>45906</v>
      </c>
      <c r="E80" s="226" t="n">
        <v>45936</v>
      </c>
      <c r="F80" s="224" t="n">
        <v>0.08943863662012391</v>
      </c>
      <c r="G80" s="224" t="n">
        <v>116</v>
      </c>
      <c r="H80" s="224" t="n">
        <v>0</v>
      </c>
      <c r="I80" s="224" t="n">
        <v>0</v>
      </c>
      <c r="J80" s="224" t="n">
        <v>0</v>
      </c>
      <c r="K80" s="224" t="n">
        <v>0.08943863662012391</v>
      </c>
      <c r="L80" s="224" t="n">
        <v>0</v>
      </c>
      <c r="M80" s="22" t="inlineStr">
        <is>
          <t>No</t>
        </is>
      </c>
    </row>
    <row r="81">
      <c r="A81" s="22" t="inlineStr">
        <is>
          <t>INV-0077</t>
        </is>
      </c>
      <c r="B81" s="22" t="inlineStr">
        <is>
          <t>SM-031</t>
        </is>
      </c>
      <c r="C81" s="22" t="inlineStr">
        <is>
          <t>Silverline Medical 2</t>
        </is>
      </c>
      <c r="D81" s="226" t="n">
        <v>45943</v>
      </c>
      <c r="E81" s="226" t="n">
        <v>45973</v>
      </c>
      <c r="F81" s="224" t="n">
        <v>0.1445243322335835</v>
      </c>
      <c r="G81" s="224" t="n">
        <v>79</v>
      </c>
      <c r="H81" s="224" t="n">
        <v>0</v>
      </c>
      <c r="I81" s="224" t="n">
        <v>0</v>
      </c>
      <c r="J81" s="224" t="n">
        <v>0.1445243322335835</v>
      </c>
      <c r="K81" s="224" t="n">
        <v>0</v>
      </c>
      <c r="L81" s="224" t="n">
        <v>0</v>
      </c>
      <c r="M81" s="22" t="inlineStr">
        <is>
          <t>No</t>
        </is>
      </c>
    </row>
    <row r="82">
      <c r="A82" s="22" t="inlineStr">
        <is>
          <t>INV-0078</t>
        </is>
      </c>
      <c r="B82" s="22" t="inlineStr">
        <is>
          <t>SM-034</t>
        </is>
      </c>
      <c r="C82" s="22" t="inlineStr">
        <is>
          <t>Cobalt Industries 2</t>
        </is>
      </c>
      <c r="D82" s="226" t="n">
        <v>46009</v>
      </c>
      <c r="E82" s="226" t="n">
        <v>46039</v>
      </c>
      <c r="F82" s="224" t="n">
        <v>0.1104346990053899</v>
      </c>
      <c r="G82" s="224" t="n">
        <v>13</v>
      </c>
      <c r="H82" s="224" t="n">
        <v>0.1104346990053899</v>
      </c>
      <c r="I82" s="224" t="n">
        <v>0</v>
      </c>
      <c r="J82" s="224" t="n">
        <v>0</v>
      </c>
      <c r="K82" s="224" t="n">
        <v>0</v>
      </c>
      <c r="L82" s="224" t="n">
        <v>0</v>
      </c>
      <c r="M82" s="22" t="inlineStr">
        <is>
          <t>No</t>
        </is>
      </c>
    </row>
    <row r="83">
      <c r="A83" s="22" t="inlineStr">
        <is>
          <t>INV-0079</t>
        </is>
      </c>
      <c r="B83" s="22" t="inlineStr">
        <is>
          <t>MET-N</t>
        </is>
      </c>
      <c r="C83" s="22" t="inlineStr">
        <is>
          <t>Metro Utility Holdings</t>
        </is>
      </c>
      <c r="D83" s="226" t="n">
        <v>45916</v>
      </c>
      <c r="E83" s="226" t="n">
        <v>45946</v>
      </c>
      <c r="F83" s="224" t="n">
        <v>0.1400013239897477</v>
      </c>
      <c r="G83" s="224" t="n">
        <v>106</v>
      </c>
      <c r="H83" s="224" t="n">
        <v>0</v>
      </c>
      <c r="I83" s="224" t="n">
        <v>0</v>
      </c>
      <c r="J83" s="224" t="n">
        <v>0</v>
      </c>
      <c r="K83" s="224" t="n">
        <v>0.1400013239897477</v>
      </c>
      <c r="L83" s="224" t="n">
        <v>0</v>
      </c>
      <c r="M83" s="22" t="inlineStr">
        <is>
          <t>No</t>
        </is>
      </c>
    </row>
    <row r="84">
      <c r="A84" s="22" t="inlineStr">
        <is>
          <t>INV-0080</t>
        </is>
      </c>
      <c r="B84" s="22" t="inlineStr">
        <is>
          <t>RIV-CORP</t>
        </is>
      </c>
      <c r="C84" s="22" t="inlineStr">
        <is>
          <t>Riverton Industrial Group</t>
        </is>
      </c>
      <c r="D84" s="226" t="n">
        <v>45891</v>
      </c>
      <c r="E84" s="226" t="n">
        <v>45921</v>
      </c>
      <c r="F84" s="224" t="n">
        <v>0.2115139208082644</v>
      </c>
      <c r="G84" s="224" t="n">
        <v>131</v>
      </c>
      <c r="H84" s="224" t="n">
        <v>0</v>
      </c>
      <c r="I84" s="224" t="n">
        <v>0</v>
      </c>
      <c r="J84" s="224" t="n">
        <v>0</v>
      </c>
      <c r="K84" s="224" t="n">
        <v>0</v>
      </c>
      <c r="L84" s="224" t="n">
        <v>0.2115139208082644</v>
      </c>
      <c r="M84" s="22" t="inlineStr">
        <is>
          <t>No</t>
        </is>
      </c>
    </row>
    <row r="85"/>
    <row r="86" ht="20" customHeight="1">
      <c r="A86" s="39" t="inlineStr">
        <is>
          <t>Unbilled WIP Detail</t>
        </is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5" t="inlineStr">
        <is>
          <t>WIP ID</t>
        </is>
      </c>
      <c r="B87" s="15" t="inlineStr">
        <is>
          <t>Project ID</t>
        </is>
      </c>
      <c r="C87" s="15" t="inlineStr">
        <is>
          <t>Billing Account ID</t>
        </is>
      </c>
      <c r="D87" s="15" t="inlineStr">
        <is>
          <t>Ultimate Parent</t>
        </is>
      </c>
      <c r="E87" s="15" t="inlineStr">
        <is>
          <t>Service Line</t>
        </is>
      </c>
      <c r="F87" s="15" t="inlineStr">
        <is>
          <t>Amount ($mm)</t>
        </is>
      </c>
      <c r="G87" s="15" t="inlineStr">
        <is>
          <t>Age (days)</t>
        </is>
      </c>
      <c r="H87" s="15" t="inlineStr">
        <is>
          <t>Customer Approval Required?</t>
        </is>
      </c>
      <c r="I87" s="15" t="inlineStr">
        <is>
          <t>PO / Change Order Status</t>
        </is>
      </c>
      <c r="J87" s="15" t="inlineStr">
        <is>
          <t>Expected Bill Date</t>
        </is>
      </c>
      <c r="K87" s="15" t="inlineStr">
        <is>
          <t>Collectibility</t>
        </is>
      </c>
      <c r="L87" s="15" t="inlineStr">
        <is>
          <t>System</t>
        </is>
      </c>
      <c r="M87" s="15" t="inlineStr">
        <is>
          <t>Source</t>
        </is>
      </c>
    </row>
    <row r="88">
      <c r="A88" s="22" t="inlineStr">
        <is>
          <t>WIP-0001</t>
        </is>
      </c>
      <c r="B88" s="22" t="inlineStr">
        <is>
          <t>MET-N-P3</t>
        </is>
      </c>
      <c r="C88" s="22" t="inlineStr">
        <is>
          <t>MET-N</t>
        </is>
      </c>
      <c r="D88" s="22" t="inlineStr">
        <is>
          <t>Metro Utility Holdings</t>
        </is>
      </c>
      <c r="E88" s="22" t="inlineStr">
        <is>
          <t>Field Inspection</t>
        </is>
      </c>
      <c r="F88" s="224" t="n">
        <v>0.112573581799679</v>
      </c>
      <c r="G88" s="22" t="n">
        <v>39</v>
      </c>
      <c r="H88" s="22" t="inlineStr">
        <is>
          <t>No</t>
        </is>
      </c>
      <c r="I88" s="22" t="inlineStr">
        <is>
          <t>Approved</t>
        </is>
      </c>
      <c r="J88" s="226" t="n">
        <v>46038</v>
      </c>
      <c r="K88" s="22" t="inlineStr">
        <is>
          <t>High</t>
        </is>
      </c>
      <c r="L88" s="22" t="inlineStr">
        <is>
          <t>Legacy A</t>
        </is>
      </c>
      <c r="M88" s="22" t="inlineStr">
        <is>
          <t>WIP ledger / data room</t>
        </is>
      </c>
    </row>
    <row r="89">
      <c r="A89" s="22" t="inlineStr">
        <is>
          <t>WIP-0002</t>
        </is>
      </c>
      <c r="B89" s="22" t="inlineStr">
        <is>
          <t>MED-01-P2</t>
        </is>
      </c>
      <c r="C89" s="22" t="inlineStr">
        <is>
          <t>MED-01</t>
        </is>
      </c>
      <c r="D89" s="22" t="inlineStr">
        <is>
          <t>MedCore Health</t>
        </is>
      </c>
      <c r="E89" s="22" t="inlineStr">
        <is>
          <t>Industrial Hygiene</t>
        </is>
      </c>
      <c r="F89" s="224" t="n">
        <v>0.1264071763960867</v>
      </c>
      <c r="G89" s="22" t="n">
        <v>56</v>
      </c>
      <c r="H89" s="22" t="inlineStr">
        <is>
          <t>No</t>
        </is>
      </c>
      <c r="I89" s="22" t="inlineStr">
        <is>
          <t>Approved</t>
        </is>
      </c>
      <c r="J89" s="226" t="n">
        <v>46039</v>
      </c>
      <c r="K89" s="22" t="inlineStr">
        <is>
          <t>High</t>
        </is>
      </c>
      <c r="L89" s="22" t="inlineStr">
        <is>
          <t>Central PSA</t>
        </is>
      </c>
      <c r="M89" s="22" t="inlineStr">
        <is>
          <t>WIP ledger / data room</t>
        </is>
      </c>
    </row>
    <row r="90">
      <c r="A90" s="22" t="inlineStr">
        <is>
          <t>WIP-0003</t>
        </is>
      </c>
      <c r="B90" s="22" t="inlineStr">
        <is>
          <t>BIO-01-P2</t>
        </is>
      </c>
      <c r="C90" s="22" t="inlineStr">
        <is>
          <t>BIO-01</t>
        </is>
      </c>
      <c r="D90" s="22" t="inlineStr">
        <is>
          <t>BioHealth Laboratories</t>
        </is>
      </c>
      <c r="E90" s="22" t="inlineStr">
        <is>
          <t>Industrial Hygiene</t>
        </is>
      </c>
      <c r="F90" s="224" t="n">
        <v>0.09246729876564216</v>
      </c>
      <c r="G90" s="22" t="n">
        <v>102</v>
      </c>
      <c r="H90" s="22" t="inlineStr">
        <is>
          <t>No</t>
        </is>
      </c>
      <c r="I90" s="22" t="inlineStr">
        <is>
          <t>Approved</t>
        </is>
      </c>
      <c r="J90" s="226" t="n">
        <v>46040</v>
      </c>
      <c r="K90" s="22" t="inlineStr">
        <is>
          <t>Review</t>
        </is>
      </c>
      <c r="L90" s="22" t="inlineStr">
        <is>
          <t>Central PSA</t>
        </is>
      </c>
      <c r="M90" s="22" t="inlineStr">
        <is>
          <t>WIP ledger / data room</t>
        </is>
      </c>
    </row>
    <row r="91">
      <c r="A91" s="22" t="inlineStr">
        <is>
          <t>WIP-0004</t>
        </is>
      </c>
      <c r="B91" s="22" t="inlineStr">
        <is>
          <t>MET-S-P1</t>
        </is>
      </c>
      <c r="C91" s="22" t="inlineStr">
        <is>
          <t>MET-S</t>
        </is>
      </c>
      <c r="D91" s="22" t="inlineStr">
        <is>
          <t>Metro Utility Holdings</t>
        </is>
      </c>
      <c r="E91" s="22" t="inlineStr">
        <is>
          <t>Field Inspection</t>
        </is>
      </c>
      <c r="F91" s="224" t="n">
        <v>0.09131548396266334</v>
      </c>
      <c r="G91" s="22" t="n">
        <v>64</v>
      </c>
      <c r="H91" s="22" t="inlineStr">
        <is>
          <t>Yes</t>
        </is>
      </c>
      <c r="I91" s="22" t="inlineStr">
        <is>
          <t>Approved</t>
        </is>
      </c>
      <c r="J91" s="226" t="n">
        <v>46041</v>
      </c>
      <c r="K91" s="22" t="inlineStr">
        <is>
          <t>High</t>
        </is>
      </c>
      <c r="L91" s="22" t="inlineStr">
        <is>
          <t>Central PSA</t>
        </is>
      </c>
      <c r="M91" s="22" t="inlineStr">
        <is>
          <t>WIP ledger / data room</t>
        </is>
      </c>
    </row>
    <row r="92">
      <c r="A92" s="22" t="inlineStr">
        <is>
          <t>WIP-0005</t>
        </is>
      </c>
      <c r="B92" s="22" t="inlineStr">
        <is>
          <t>RIV-MIL-P2</t>
        </is>
      </c>
      <c r="C92" s="22" t="inlineStr">
        <is>
          <t>RIV-MIL</t>
        </is>
      </c>
      <c r="D92" s="22" t="inlineStr">
        <is>
          <t>Riverton Industrial Group</t>
        </is>
      </c>
      <c r="E92" s="22" t="inlineStr">
        <is>
          <t>Industrial Hygiene</t>
        </is>
      </c>
      <c r="F92" s="224" t="n">
        <v>0.07617644001156029</v>
      </c>
      <c r="G92" s="22" t="n">
        <v>42</v>
      </c>
      <c r="H92" s="22" t="inlineStr">
        <is>
          <t>No</t>
        </is>
      </c>
      <c r="I92" s="22" t="inlineStr">
        <is>
          <t>Pending</t>
        </is>
      </c>
      <c r="J92" s="226" t="n">
        <v>46042</v>
      </c>
      <c r="K92" s="22" t="inlineStr">
        <is>
          <t>High</t>
        </is>
      </c>
      <c r="L92" s="22" t="inlineStr">
        <is>
          <t>Legacy B</t>
        </is>
      </c>
      <c r="M92" s="22" t="inlineStr">
        <is>
          <t>WIP ledger / data room</t>
        </is>
      </c>
    </row>
    <row r="93">
      <c r="A93" s="22" t="inlineStr">
        <is>
          <t>WIP-0006</t>
        </is>
      </c>
      <c r="B93" s="22" t="inlineStr">
        <is>
          <t>RIV-WST-P1</t>
        </is>
      </c>
      <c r="C93" s="22" t="inlineStr">
        <is>
          <t>RIV-WST</t>
        </is>
      </c>
      <c r="D93" s="22" t="inlineStr">
        <is>
          <t>Riverton Industrial Group</t>
        </is>
      </c>
      <c r="E93" s="22" t="inlineStr">
        <is>
          <t>Permitting &amp; Advisory</t>
        </is>
      </c>
      <c r="F93" s="224" t="n">
        <v>0.1536039246035232</v>
      </c>
      <c r="G93" s="22" t="n">
        <v>94</v>
      </c>
      <c r="H93" s="22" t="inlineStr">
        <is>
          <t>No</t>
        </is>
      </c>
      <c r="I93" s="22" t="inlineStr">
        <is>
          <t>Approved</t>
        </is>
      </c>
      <c r="J93" s="226" t="n">
        <v>46043</v>
      </c>
      <c r="K93" s="22" t="inlineStr">
        <is>
          <t>Review</t>
        </is>
      </c>
      <c r="L93" s="22" t="inlineStr">
        <is>
          <t>Central PSA</t>
        </is>
      </c>
      <c r="M93" s="22" t="inlineStr">
        <is>
          <t>WIP ledger / data room</t>
        </is>
      </c>
    </row>
    <row r="94">
      <c r="A94" s="22" t="inlineStr">
        <is>
          <t>WIP-0007</t>
        </is>
      </c>
      <c r="B94" s="22" t="inlineStr">
        <is>
          <t>APX-02-P2</t>
        </is>
      </c>
      <c r="C94" s="22" t="inlineStr">
        <is>
          <t>APX-02</t>
        </is>
      </c>
      <c r="D94" s="22" t="inlineStr">
        <is>
          <t>Apex Manufacturing</t>
        </is>
      </c>
      <c r="E94" s="22" t="inlineStr">
        <is>
          <t>Field Inspection</t>
        </is>
      </c>
      <c r="F94" s="224" t="n">
        <v>0.06280691215536802</v>
      </c>
      <c r="G94" s="22" t="n">
        <v>6</v>
      </c>
      <c r="H94" s="22" t="inlineStr">
        <is>
          <t>No</t>
        </is>
      </c>
      <c r="I94" s="22" t="inlineStr">
        <is>
          <t>Approved</t>
        </is>
      </c>
      <c r="J94" s="226" t="n">
        <v>46044</v>
      </c>
      <c r="K94" s="22" t="inlineStr">
        <is>
          <t>High</t>
        </is>
      </c>
      <c r="L94" s="22" t="inlineStr">
        <is>
          <t>Central PSA</t>
        </is>
      </c>
      <c r="M94" s="22" t="inlineStr">
        <is>
          <t>WIP ledger / data room</t>
        </is>
      </c>
    </row>
    <row r="95">
      <c r="A95" s="22" t="inlineStr">
        <is>
          <t>WIP-0008</t>
        </is>
      </c>
      <c r="B95" s="22" t="inlineStr">
        <is>
          <t>CTY-01-P1</t>
        </is>
      </c>
      <c r="C95" s="22" t="inlineStr">
        <is>
          <t>CTY-01</t>
        </is>
      </c>
      <c r="D95" s="22" t="inlineStr">
        <is>
          <t>CityWorks Municipal Group</t>
        </is>
      </c>
      <c r="E95" s="22" t="inlineStr">
        <is>
          <t>Permitting &amp; Advisory</t>
        </is>
      </c>
      <c r="F95" s="224" t="n">
        <v>0.04469695352448427</v>
      </c>
      <c r="G95" s="22" t="n">
        <v>29</v>
      </c>
      <c r="H95" s="22" t="inlineStr">
        <is>
          <t>Yes</t>
        </is>
      </c>
      <c r="I95" s="22" t="inlineStr">
        <is>
          <t>Approved</t>
        </is>
      </c>
      <c r="J95" s="226" t="n">
        <v>46045</v>
      </c>
      <c r="K95" s="22" t="inlineStr">
        <is>
          <t>High</t>
        </is>
      </c>
      <c r="L95" s="22" t="inlineStr">
        <is>
          <t>Central PSA</t>
        </is>
      </c>
      <c r="M95" s="22" t="inlineStr">
        <is>
          <t>WIP ledger / data room</t>
        </is>
      </c>
    </row>
    <row r="96">
      <c r="A96" s="22" t="inlineStr">
        <is>
          <t>WIP-0009</t>
        </is>
      </c>
      <c r="B96" s="22" t="inlineStr">
        <is>
          <t>CLN-01-P2</t>
        </is>
      </c>
      <c r="C96" s="22" t="inlineStr">
        <is>
          <t>CLN-01</t>
        </is>
      </c>
      <c r="D96" s="22" t="inlineStr">
        <is>
          <t>Clinica Health</t>
        </is>
      </c>
      <c r="E96" s="22" t="inlineStr">
        <is>
          <t>Industrial Hygiene</t>
        </is>
      </c>
      <c r="F96" s="224" t="n">
        <v>0.05917653436256026</v>
      </c>
      <c r="G96" s="22" t="n">
        <v>96</v>
      </c>
      <c r="H96" s="22" t="inlineStr">
        <is>
          <t>No</t>
        </is>
      </c>
      <c r="I96" s="22" t="inlineStr">
        <is>
          <t>Approved</t>
        </is>
      </c>
      <c r="J96" s="226" t="n">
        <v>46046</v>
      </c>
      <c r="K96" s="22" t="inlineStr">
        <is>
          <t>Review</t>
        </is>
      </c>
      <c r="L96" s="22" t="inlineStr">
        <is>
          <t>Central PSA</t>
        </is>
      </c>
      <c r="M96" s="22" t="inlineStr">
        <is>
          <t>WIP ledger / data room</t>
        </is>
      </c>
    </row>
    <row r="97">
      <c r="A97" s="22" t="inlineStr">
        <is>
          <t>WIP-0010</t>
        </is>
      </c>
      <c r="B97" s="22" t="inlineStr">
        <is>
          <t>SM-001-P1</t>
        </is>
      </c>
      <c r="C97" s="22" t="inlineStr">
        <is>
          <t>SM-001</t>
        </is>
      </c>
      <c r="D97" s="22" t="inlineStr">
        <is>
          <t>Northfield Foods</t>
        </is>
      </c>
      <c r="E97" s="22" t="inlineStr">
        <is>
          <t>EHS Compliance</t>
        </is>
      </c>
      <c r="F97" s="224" t="n">
        <v>0.0590942171507814</v>
      </c>
      <c r="G97" s="22" t="n">
        <v>105</v>
      </c>
      <c r="H97" s="22" t="inlineStr">
        <is>
          <t>No</t>
        </is>
      </c>
      <c r="I97" s="22" t="inlineStr">
        <is>
          <t>Pending</t>
        </is>
      </c>
      <c r="J97" s="226" t="n">
        <v>46047</v>
      </c>
      <c r="K97" s="22" t="inlineStr">
        <is>
          <t>Review</t>
        </is>
      </c>
      <c r="L97" s="22" t="inlineStr">
        <is>
          <t>Legacy A</t>
        </is>
      </c>
      <c r="M97" s="22" t="inlineStr">
        <is>
          <t>WIP ledger / data room</t>
        </is>
      </c>
    </row>
    <row r="98">
      <c r="A98" s="22" t="inlineStr">
        <is>
          <t>WIP-0011</t>
        </is>
      </c>
      <c r="B98" s="22" t="inlineStr">
        <is>
          <t>SM-003-P2</t>
        </is>
      </c>
      <c r="C98" s="22" t="inlineStr">
        <is>
          <t>SM-003</t>
        </is>
      </c>
      <c r="D98" s="22" t="inlineStr">
        <is>
          <t>Cedar Municipal</t>
        </is>
      </c>
      <c r="E98" s="22" t="inlineStr">
        <is>
          <t>Field Inspection</t>
        </is>
      </c>
      <c r="F98" s="224" t="n">
        <v>0.06768423865922515</v>
      </c>
      <c r="G98" s="22" t="n">
        <v>14</v>
      </c>
      <c r="H98" s="22" t="inlineStr">
        <is>
          <t>No</t>
        </is>
      </c>
      <c r="I98" s="22" t="inlineStr">
        <is>
          <t>Approved</t>
        </is>
      </c>
      <c r="J98" s="226" t="n">
        <v>46048</v>
      </c>
      <c r="K98" s="22" t="inlineStr">
        <is>
          <t>High</t>
        </is>
      </c>
      <c r="L98" s="22" t="inlineStr">
        <is>
          <t>Central PSA</t>
        </is>
      </c>
      <c r="M98" s="22" t="inlineStr">
        <is>
          <t>WIP ledger / data room</t>
        </is>
      </c>
    </row>
    <row r="99">
      <c r="A99" s="22" t="inlineStr">
        <is>
          <t>WIP-0012</t>
        </is>
      </c>
      <c r="B99" s="22" t="inlineStr">
        <is>
          <t>SM-006-P1</t>
        </is>
      </c>
      <c r="C99" s="22" t="inlineStr">
        <is>
          <t>SM-006</t>
        </is>
      </c>
      <c r="D99" s="22" t="inlineStr">
        <is>
          <t>Summit Water</t>
        </is>
      </c>
      <c r="E99" s="22" t="inlineStr">
        <is>
          <t>Industrial Hygiene</t>
        </is>
      </c>
      <c r="F99" s="224" t="n">
        <v>0.06005341320634822</v>
      </c>
      <c r="G99" s="22" t="n">
        <v>9</v>
      </c>
      <c r="H99" s="22" t="inlineStr">
        <is>
          <t>Yes</t>
        </is>
      </c>
      <c r="I99" s="22" t="inlineStr">
        <is>
          <t>Approved</t>
        </is>
      </c>
      <c r="J99" s="226" t="n">
        <v>46049</v>
      </c>
      <c r="K99" s="22" t="inlineStr">
        <is>
          <t>High</t>
        </is>
      </c>
      <c r="L99" s="22" t="inlineStr">
        <is>
          <t>Legacy A</t>
        </is>
      </c>
      <c r="M99" s="22" t="inlineStr">
        <is>
          <t>WIP ledger / data room</t>
        </is>
      </c>
    </row>
    <row r="100">
      <c r="A100" s="22" t="inlineStr">
        <is>
          <t>WIP-0013</t>
        </is>
      </c>
      <c r="B100" s="22" t="inlineStr">
        <is>
          <t>SM-008-P2</t>
        </is>
      </c>
      <c r="C100" s="22" t="inlineStr">
        <is>
          <t>SM-008</t>
        </is>
      </c>
      <c r="D100" s="22" t="inlineStr">
        <is>
          <t>Lakefront Infrastructure</t>
        </is>
      </c>
      <c r="E100" s="22" t="inlineStr">
        <is>
          <t>Permitting &amp; Advisory</t>
        </is>
      </c>
      <c r="F100" s="224" t="n">
        <v>0.03948416401194375</v>
      </c>
      <c r="G100" s="22" t="n">
        <v>70</v>
      </c>
      <c r="H100" s="22" t="inlineStr">
        <is>
          <t>No</t>
        </is>
      </c>
      <c r="I100" s="22" t="inlineStr">
        <is>
          <t>Approved</t>
        </is>
      </c>
      <c r="J100" s="226" t="n">
        <v>46050</v>
      </c>
      <c r="K100" s="22" t="inlineStr">
        <is>
          <t>High</t>
        </is>
      </c>
      <c r="L100" s="22" t="inlineStr">
        <is>
          <t>Central PSA</t>
        </is>
      </c>
      <c r="M100" s="22" t="inlineStr">
        <is>
          <t>WIP ledger / data room</t>
        </is>
      </c>
    </row>
    <row r="101">
      <c r="A101" s="22" t="inlineStr">
        <is>
          <t>WIP-0014</t>
        </is>
      </c>
      <c r="B101" s="22" t="inlineStr">
        <is>
          <t>SM-011-P1</t>
        </is>
      </c>
      <c r="C101" s="22" t="inlineStr">
        <is>
          <t>SM-011</t>
        </is>
      </c>
      <c r="D101" s="22" t="inlineStr">
        <is>
          <t>Evergreen Chemicals</t>
        </is>
      </c>
      <c r="E101" s="22" t="inlineStr">
        <is>
          <t>Field Inspection</t>
        </is>
      </c>
      <c r="F101" s="224" t="n">
        <v>0.06744458598263997</v>
      </c>
      <c r="G101" s="22" t="n">
        <v>91</v>
      </c>
      <c r="H101" s="22" t="inlineStr">
        <is>
          <t>No</t>
        </is>
      </c>
      <c r="I101" s="22" t="inlineStr">
        <is>
          <t>Approved</t>
        </is>
      </c>
      <c r="J101" s="226" t="n">
        <v>46051</v>
      </c>
      <c r="K101" s="22" t="inlineStr">
        <is>
          <t>Review</t>
        </is>
      </c>
      <c r="L101" s="22" t="inlineStr">
        <is>
          <t>Legacy B</t>
        </is>
      </c>
      <c r="M101" s="22" t="inlineStr">
        <is>
          <t>WIP ledger / data room</t>
        </is>
      </c>
    </row>
    <row r="102">
      <c r="A102" s="22" t="inlineStr">
        <is>
          <t>WIP-0015</t>
        </is>
      </c>
      <c r="B102" s="22" t="inlineStr">
        <is>
          <t>SM-013-P2</t>
        </is>
      </c>
      <c r="C102" s="22" t="inlineStr">
        <is>
          <t>SM-013</t>
        </is>
      </c>
      <c r="D102" s="22" t="inlineStr">
        <is>
          <t>Silverline Medical</t>
        </is>
      </c>
      <c r="E102" s="22" t="inlineStr">
        <is>
          <t>EHS Compliance</t>
        </is>
      </c>
      <c r="F102" s="224" t="n">
        <v>0.06559198664680428</v>
      </c>
      <c r="G102" s="22" t="n">
        <v>2</v>
      </c>
      <c r="H102" s="22" t="inlineStr">
        <is>
          <t>No</t>
        </is>
      </c>
      <c r="I102" s="22" t="inlineStr">
        <is>
          <t>Pending</t>
        </is>
      </c>
      <c r="J102" s="226" t="n">
        <v>46052</v>
      </c>
      <c r="K102" s="22" t="inlineStr">
        <is>
          <t>High</t>
        </is>
      </c>
      <c r="L102" s="22" t="inlineStr">
        <is>
          <t>Legacy A</t>
        </is>
      </c>
      <c r="M102" s="22" t="inlineStr">
        <is>
          <t>WIP ledger / data room</t>
        </is>
      </c>
    </row>
    <row r="103">
      <c r="A103" s="22" t="inlineStr">
        <is>
          <t>WIP-0016</t>
        </is>
      </c>
      <c r="B103" s="22" t="inlineStr">
        <is>
          <t>SM-016-P1</t>
        </is>
      </c>
      <c r="C103" s="22" t="inlineStr">
        <is>
          <t>SM-016</t>
        </is>
      </c>
      <c r="D103" s="22" t="inlineStr">
        <is>
          <t>Cobalt Industries</t>
        </is>
      </c>
      <c r="E103" s="22" t="inlineStr">
        <is>
          <t>Permitting &amp; Advisory</t>
        </is>
      </c>
      <c r="F103" s="224" t="n">
        <v>0.09872711668602818</v>
      </c>
      <c r="G103" s="22" t="n">
        <v>61</v>
      </c>
      <c r="H103" s="22" t="inlineStr">
        <is>
          <t>Yes</t>
        </is>
      </c>
      <c r="I103" s="22" t="inlineStr">
        <is>
          <t>Approved</t>
        </is>
      </c>
      <c r="J103" s="226" t="n">
        <v>46053</v>
      </c>
      <c r="K103" s="22" t="inlineStr">
        <is>
          <t>High</t>
        </is>
      </c>
      <c r="L103" s="22" t="inlineStr">
        <is>
          <t>Legacy B</t>
        </is>
      </c>
      <c r="M103" s="22" t="inlineStr">
        <is>
          <t>WIP ledger / data room</t>
        </is>
      </c>
    </row>
    <row r="104">
      <c r="A104" s="22" t="inlineStr">
        <is>
          <t>WIP-0017</t>
        </is>
      </c>
      <c r="B104" s="22" t="inlineStr">
        <is>
          <t>SM-018-P2</t>
        </is>
      </c>
      <c r="C104" s="22" t="inlineStr">
        <is>
          <t>SM-018</t>
        </is>
      </c>
      <c r="D104" s="22" t="inlineStr">
        <is>
          <t>Frontier Foods</t>
        </is>
      </c>
      <c r="E104" s="22" t="inlineStr">
        <is>
          <t>Industrial Hygiene</t>
        </is>
      </c>
      <c r="F104" s="224" t="n">
        <v>0.0515468037080621</v>
      </c>
      <c r="G104" s="22" t="n">
        <v>38</v>
      </c>
      <c r="H104" s="22" t="inlineStr">
        <is>
          <t>No</t>
        </is>
      </c>
      <c r="I104" s="22" t="inlineStr">
        <is>
          <t>Approved</t>
        </is>
      </c>
      <c r="J104" s="226" t="n">
        <v>46054</v>
      </c>
      <c r="K104" s="22" t="inlineStr">
        <is>
          <t>High</t>
        </is>
      </c>
      <c r="L104" s="22" t="inlineStr">
        <is>
          <t>Central PSA</t>
        </is>
      </c>
      <c r="M104" s="22" t="inlineStr">
        <is>
          <t>WIP ledger / data room</t>
        </is>
      </c>
    </row>
    <row r="105">
      <c r="A105" s="22" t="inlineStr">
        <is>
          <t>WIP-0018</t>
        </is>
      </c>
      <c r="B105" s="22" t="inlineStr">
        <is>
          <t>SM-021-P1</t>
        </is>
      </c>
      <c r="C105" s="22" t="inlineStr">
        <is>
          <t>SM-021</t>
        </is>
      </c>
      <c r="D105" s="22" t="inlineStr">
        <is>
          <t>Cedar Municipal 2</t>
        </is>
      </c>
      <c r="E105" s="22" t="inlineStr">
        <is>
          <t>EHS Compliance</t>
        </is>
      </c>
      <c r="F105" s="224" t="n">
        <v>0.03475390028730033</v>
      </c>
      <c r="G105" s="22" t="n">
        <v>11</v>
      </c>
      <c r="H105" s="22" t="inlineStr">
        <is>
          <t>No</t>
        </is>
      </c>
      <c r="I105" s="22" t="inlineStr">
        <is>
          <t>Approved</t>
        </is>
      </c>
      <c r="J105" s="226" t="n">
        <v>46055</v>
      </c>
      <c r="K105" s="22" t="inlineStr">
        <is>
          <t>High</t>
        </is>
      </c>
      <c r="L105" s="22" t="inlineStr">
        <is>
          <t>Central PSA</t>
        </is>
      </c>
      <c r="M105" s="22" t="inlineStr">
        <is>
          <t>WIP ledger / data room</t>
        </is>
      </c>
    </row>
    <row r="106">
      <c r="A106" s="22" t="inlineStr">
        <is>
          <t>WIP-0019</t>
        </is>
      </c>
      <c r="B106" s="22" t="inlineStr">
        <is>
          <t>SM-023-P2</t>
        </is>
      </c>
      <c r="C106" s="22" t="inlineStr">
        <is>
          <t>SM-023</t>
        </is>
      </c>
      <c r="D106" s="22" t="inlineStr">
        <is>
          <t>Oak Ridge Manufacturing 2</t>
        </is>
      </c>
      <c r="E106" s="22" t="inlineStr">
        <is>
          <t>Field Inspection</t>
        </is>
      </c>
      <c r="F106" s="224" t="n">
        <v>0.05166502041510277</v>
      </c>
      <c r="G106" s="22" t="n">
        <v>23</v>
      </c>
      <c r="H106" s="22" t="inlineStr">
        <is>
          <t>No</t>
        </is>
      </c>
      <c r="I106" s="22" t="inlineStr">
        <is>
          <t>Approved</t>
        </is>
      </c>
      <c r="J106" s="226" t="n">
        <v>46056</v>
      </c>
      <c r="K106" s="22" t="inlineStr">
        <is>
          <t>High</t>
        </is>
      </c>
      <c r="L106" s="22" t="inlineStr">
        <is>
          <t>Central PSA</t>
        </is>
      </c>
      <c r="M106" s="22" t="inlineStr">
        <is>
          <t>WIP ledger / data room</t>
        </is>
      </c>
    </row>
    <row r="107">
      <c r="A107" s="22" t="inlineStr">
        <is>
          <t>WIP-0020</t>
        </is>
      </c>
      <c r="B107" s="22" t="inlineStr">
        <is>
          <t>SM-026-P1</t>
        </is>
      </c>
      <c r="C107" s="22" t="inlineStr">
        <is>
          <t>SM-026</t>
        </is>
      </c>
      <c r="D107" s="22" t="inlineStr">
        <is>
          <t>Lakefront Infrastructure 2</t>
        </is>
      </c>
      <c r="E107" s="22" t="inlineStr">
        <is>
          <t>Industrial Hygiene</t>
        </is>
      </c>
      <c r="F107" s="224" t="n">
        <v>0.09528783609503719</v>
      </c>
      <c r="G107" s="22" t="n">
        <v>40</v>
      </c>
      <c r="H107" s="22" t="inlineStr">
        <is>
          <t>Yes</t>
        </is>
      </c>
      <c r="I107" s="22" t="inlineStr">
        <is>
          <t>Pending</t>
        </is>
      </c>
      <c r="J107" s="226" t="n">
        <v>46057</v>
      </c>
      <c r="K107" s="22" t="inlineStr">
        <is>
          <t>High</t>
        </is>
      </c>
      <c r="L107" s="22" t="inlineStr">
        <is>
          <t>Legacy A</t>
        </is>
      </c>
      <c r="M107" s="22" t="inlineStr">
        <is>
          <t>WIP ledger / data room</t>
        </is>
      </c>
    </row>
    <row r="108">
      <c r="A108" s="22" t="inlineStr">
        <is>
          <t>WIP-0021</t>
        </is>
      </c>
      <c r="B108" s="22" t="inlineStr">
        <is>
          <t>SM-028-P2</t>
        </is>
      </c>
      <c r="C108" s="22" t="inlineStr">
        <is>
          <t>SM-028</t>
        </is>
      </c>
      <c r="D108" s="22" t="inlineStr">
        <is>
          <t>Pioneer Components 2</t>
        </is>
      </c>
      <c r="E108" s="22" t="inlineStr">
        <is>
          <t>Permitting &amp; Advisory</t>
        </is>
      </c>
      <c r="F108" s="224" t="n">
        <v>0.07553820613981578</v>
      </c>
      <c r="G108" s="22" t="n">
        <v>65</v>
      </c>
      <c r="H108" s="22" t="inlineStr">
        <is>
          <t>No</t>
        </is>
      </c>
      <c r="I108" s="22" t="inlineStr">
        <is>
          <t>Approved</t>
        </is>
      </c>
      <c r="J108" s="226" t="n">
        <v>46058</v>
      </c>
      <c r="K108" s="22" t="inlineStr">
        <is>
          <t>High</t>
        </is>
      </c>
      <c r="L108" s="22" t="inlineStr">
        <is>
          <t>Legacy B</t>
        </is>
      </c>
      <c r="M108" s="22" t="inlineStr">
        <is>
          <t>WIP ledger / data room</t>
        </is>
      </c>
    </row>
    <row r="109">
      <c r="A109" s="22" t="inlineStr">
        <is>
          <t>WIP-0022</t>
        </is>
      </c>
      <c r="B109" s="22" t="inlineStr">
        <is>
          <t>SM-031-P1</t>
        </is>
      </c>
      <c r="C109" s="22" t="inlineStr">
        <is>
          <t>SM-031</t>
        </is>
      </c>
      <c r="D109" s="22" t="inlineStr">
        <is>
          <t>Silverline Medical 2</t>
        </is>
      </c>
      <c r="E109" s="22" t="inlineStr">
        <is>
          <t>Field Inspection</t>
        </is>
      </c>
      <c r="F109" s="224" t="n">
        <v>0.1198050757065777</v>
      </c>
      <c r="G109" s="22" t="n">
        <v>15</v>
      </c>
      <c r="H109" s="22" t="inlineStr">
        <is>
          <t>No</t>
        </is>
      </c>
      <c r="I109" s="22" t="inlineStr">
        <is>
          <t>Approved</t>
        </is>
      </c>
      <c r="J109" s="226" t="n">
        <v>46059</v>
      </c>
      <c r="K109" s="22" t="inlineStr">
        <is>
          <t>High</t>
        </is>
      </c>
      <c r="L109" s="22" t="inlineStr">
        <is>
          <t>Central PSA</t>
        </is>
      </c>
      <c r="M109" s="22" t="inlineStr">
        <is>
          <t>WIP ledger / data room</t>
        </is>
      </c>
    </row>
    <row r="110">
      <c r="A110" s="22" t="inlineStr">
        <is>
          <t>WIP-0023</t>
        </is>
      </c>
      <c r="B110" s="22" t="inlineStr">
        <is>
          <t>RIV-DEC-P1</t>
        </is>
      </c>
      <c r="C110" s="22" t="inlineStr">
        <is>
          <t>RIV-DEC</t>
        </is>
      </c>
      <c r="D110" s="22" t="inlineStr">
        <is>
          <t>Riverton Industrial Group</t>
        </is>
      </c>
      <c r="E110" s="22" t="inlineStr">
        <is>
          <t>EHS Compliance</t>
        </is>
      </c>
      <c r="F110" s="224" t="n">
        <v>0.128736380855974</v>
      </c>
      <c r="G110" s="22" t="n">
        <v>86</v>
      </c>
      <c r="H110" s="22" t="inlineStr">
        <is>
          <t>No</t>
        </is>
      </c>
      <c r="I110" s="22" t="inlineStr">
        <is>
          <t>Approved</t>
        </is>
      </c>
      <c r="J110" s="226" t="n">
        <v>46060</v>
      </c>
      <c r="K110" s="22" t="inlineStr">
        <is>
          <t>High</t>
        </is>
      </c>
      <c r="L110" s="22" t="inlineStr">
        <is>
          <t>Central PSA</t>
        </is>
      </c>
      <c r="M110" s="22" t="inlineStr">
        <is>
          <t>WIP ledger / data room</t>
        </is>
      </c>
    </row>
    <row r="111">
      <c r="A111" s="22" t="inlineStr">
        <is>
          <t>WIP-0024</t>
        </is>
      </c>
      <c r="B111" s="22" t="inlineStr">
        <is>
          <t>MET-N-P3</t>
        </is>
      </c>
      <c r="C111" s="22" t="inlineStr">
        <is>
          <t>MET-N</t>
        </is>
      </c>
      <c r="D111" s="22" t="inlineStr">
        <is>
          <t>Metro Utility Holdings</t>
        </is>
      </c>
      <c r="E111" s="22" t="inlineStr">
        <is>
          <t>Field Inspection</t>
        </is>
      </c>
      <c r="F111" s="224" t="n">
        <v>0.07885919947604311</v>
      </c>
      <c r="G111" s="22" t="n">
        <v>123</v>
      </c>
      <c r="H111" s="22" t="inlineStr">
        <is>
          <t>Yes</t>
        </is>
      </c>
      <c r="I111" s="22" t="inlineStr">
        <is>
          <t>Approved</t>
        </is>
      </c>
      <c r="J111" s="226" t="n">
        <v>46061</v>
      </c>
      <c r="K111" s="22" t="inlineStr">
        <is>
          <t>Review</t>
        </is>
      </c>
      <c r="L111" s="22" t="inlineStr">
        <is>
          <t>Legacy A</t>
        </is>
      </c>
      <c r="M111" s="22" t="inlineStr">
        <is>
          <t>WIP ledger / data room</t>
        </is>
      </c>
    </row>
    <row r="112">
      <c r="A112" s="22" t="inlineStr">
        <is>
          <t>WIP-0025</t>
        </is>
      </c>
      <c r="B112" s="22" t="inlineStr">
        <is>
          <t>MED-01-P2</t>
        </is>
      </c>
      <c r="C112" s="22" t="inlineStr">
        <is>
          <t>MED-01</t>
        </is>
      </c>
      <c r="D112" s="22" t="inlineStr">
        <is>
          <t>MedCore Health</t>
        </is>
      </c>
      <c r="E112" s="22" t="inlineStr">
        <is>
          <t>Industrial Hygiene</t>
        </is>
      </c>
      <c r="F112" s="224" t="n">
        <v>0.03842076914327658</v>
      </c>
      <c r="G112" s="22" t="n">
        <v>95</v>
      </c>
      <c r="H112" s="22" t="inlineStr">
        <is>
          <t>No</t>
        </is>
      </c>
      <c r="I112" s="22" t="inlineStr">
        <is>
          <t>Pending</t>
        </is>
      </c>
      <c r="J112" s="226" t="n">
        <v>46062</v>
      </c>
      <c r="K112" s="22" t="inlineStr">
        <is>
          <t>Review</t>
        </is>
      </c>
      <c r="L112" s="22" t="inlineStr">
        <is>
          <t>Central PSA</t>
        </is>
      </c>
      <c r="M112" s="22" t="inlineStr">
        <is>
          <t>WIP ledger / data room</t>
        </is>
      </c>
    </row>
    <row r="113">
      <c r="A113" s="22" t="inlineStr">
        <is>
          <t>WIP-0026</t>
        </is>
      </c>
      <c r="B113" s="22" t="inlineStr">
        <is>
          <t>BIO-01-P2</t>
        </is>
      </c>
      <c r="C113" s="22" t="inlineStr">
        <is>
          <t>BIO-01</t>
        </is>
      </c>
      <c r="D113" s="22" t="inlineStr">
        <is>
          <t>BioHealth Laboratories</t>
        </is>
      </c>
      <c r="E113" s="22" t="inlineStr">
        <is>
          <t>Industrial Hygiene</t>
        </is>
      </c>
      <c r="F113" s="224" t="n">
        <v>0.1191023053627032</v>
      </c>
      <c r="G113" s="22" t="n">
        <v>9</v>
      </c>
      <c r="H113" s="22" t="inlineStr">
        <is>
          <t>No</t>
        </is>
      </c>
      <c r="I113" s="22" t="inlineStr">
        <is>
          <t>Approved</t>
        </is>
      </c>
      <c r="J113" s="226" t="n">
        <v>46063</v>
      </c>
      <c r="K113" s="22" t="inlineStr">
        <is>
          <t>High</t>
        </is>
      </c>
      <c r="L113" s="22" t="inlineStr">
        <is>
          <t>Central PSA</t>
        </is>
      </c>
      <c r="M113" s="22" t="inlineStr">
        <is>
          <t>WIP ledger / data room</t>
        </is>
      </c>
    </row>
    <row r="114">
      <c r="A114" s="22" t="inlineStr">
        <is>
          <t>WIP-0027</t>
        </is>
      </c>
      <c r="B114" s="22" t="inlineStr">
        <is>
          <t>MET-S-P1</t>
        </is>
      </c>
      <c r="C114" s="22" t="inlineStr">
        <is>
          <t>MET-S</t>
        </is>
      </c>
      <c r="D114" s="22" t="inlineStr">
        <is>
          <t>Metro Utility Holdings</t>
        </is>
      </c>
      <c r="E114" s="22" t="inlineStr">
        <is>
          <t>Field Inspection</t>
        </is>
      </c>
      <c r="F114" s="224" t="n">
        <v>0.1226533519298657</v>
      </c>
      <c r="G114" s="22" t="n">
        <v>90</v>
      </c>
      <c r="H114" s="22" t="inlineStr">
        <is>
          <t>No</t>
        </is>
      </c>
      <c r="I114" s="22" t="inlineStr">
        <is>
          <t>Approved</t>
        </is>
      </c>
      <c r="J114" s="226" t="n">
        <v>46064</v>
      </c>
      <c r="K114" s="22" t="inlineStr">
        <is>
          <t>Review</t>
        </is>
      </c>
      <c r="L114" s="22" t="inlineStr">
        <is>
          <t>Central PSA</t>
        </is>
      </c>
      <c r="M114" s="22" t="inlineStr">
        <is>
          <t>WIP ledger / data room</t>
        </is>
      </c>
    </row>
    <row r="115">
      <c r="A115" s="22" t="inlineStr">
        <is>
          <t>WIP-0028</t>
        </is>
      </c>
      <c r="B115" s="22" t="inlineStr">
        <is>
          <t>RIV-MIL-P2</t>
        </is>
      </c>
      <c r="C115" s="22" t="inlineStr">
        <is>
          <t>RIV-MIL</t>
        </is>
      </c>
      <c r="D115" s="22" t="inlineStr">
        <is>
          <t>Riverton Industrial Group</t>
        </is>
      </c>
      <c r="E115" s="22" t="inlineStr">
        <is>
          <t>Industrial Hygiene</t>
        </is>
      </c>
      <c r="F115" s="224" t="n">
        <v>0.07650097865976488</v>
      </c>
      <c r="G115" s="22" t="n">
        <v>88</v>
      </c>
      <c r="H115" s="22" t="inlineStr">
        <is>
          <t>Yes</t>
        </is>
      </c>
      <c r="I115" s="22" t="inlineStr">
        <is>
          <t>Approved</t>
        </is>
      </c>
      <c r="J115" s="226" t="n">
        <v>46065</v>
      </c>
      <c r="K115" s="22" t="inlineStr">
        <is>
          <t>High</t>
        </is>
      </c>
      <c r="L115" s="22" t="inlineStr">
        <is>
          <t>Legacy B</t>
        </is>
      </c>
      <c r="M115" s="22" t="inlineStr">
        <is>
          <t>WIP ledger / data room</t>
        </is>
      </c>
    </row>
    <row r="116">
      <c r="A116" s="22" t="inlineStr">
        <is>
          <t>WIP-0029</t>
        </is>
      </c>
      <c r="B116" s="22" t="inlineStr">
        <is>
          <t>RIV-WST-P1</t>
        </is>
      </c>
      <c r="C116" s="22" t="inlineStr">
        <is>
          <t>RIV-WST</t>
        </is>
      </c>
      <c r="D116" s="22" t="inlineStr">
        <is>
          <t>Riverton Industrial Group</t>
        </is>
      </c>
      <c r="E116" s="22" t="inlineStr">
        <is>
          <t>Permitting &amp; Advisory</t>
        </is>
      </c>
      <c r="F116" s="224" t="n">
        <v>0.1101560318732743</v>
      </c>
      <c r="G116" s="22" t="n">
        <v>1</v>
      </c>
      <c r="H116" s="22" t="inlineStr">
        <is>
          <t>No</t>
        </is>
      </c>
      <c r="I116" s="22" t="inlineStr">
        <is>
          <t>Approved</t>
        </is>
      </c>
      <c r="J116" s="226" t="n">
        <v>46066</v>
      </c>
      <c r="K116" s="22" t="inlineStr">
        <is>
          <t>High</t>
        </is>
      </c>
      <c r="L116" s="22" t="inlineStr">
        <is>
          <t>Central PSA</t>
        </is>
      </c>
      <c r="M116" s="22" t="inlineStr">
        <is>
          <t>WIP ledger / data room</t>
        </is>
      </c>
    </row>
    <row r="117">
      <c r="A117" s="22" t="inlineStr">
        <is>
          <t>WIP-0030</t>
        </is>
      </c>
      <c r="B117" s="22" t="inlineStr">
        <is>
          <t>APX-02-P2</t>
        </is>
      </c>
      <c r="C117" s="22" t="inlineStr">
        <is>
          <t>APX-02</t>
        </is>
      </c>
      <c r="D117" s="22" t="inlineStr">
        <is>
          <t>Apex Manufacturing</t>
        </is>
      </c>
      <c r="E117" s="22" t="inlineStr">
        <is>
          <t>Field Inspection</t>
        </is>
      </c>
      <c r="F117" s="224" t="n">
        <v>0.06405002835222275</v>
      </c>
      <c r="G117" s="22" t="n">
        <v>53</v>
      </c>
      <c r="H117" s="22" t="inlineStr">
        <is>
          <t>No</t>
        </is>
      </c>
      <c r="I117" s="22" t="inlineStr">
        <is>
          <t>Pending</t>
        </is>
      </c>
      <c r="J117" s="226" t="n">
        <v>46067</v>
      </c>
      <c r="K117" s="22" t="inlineStr">
        <is>
          <t>High</t>
        </is>
      </c>
      <c r="L117" s="22" t="inlineStr">
        <is>
          <t>Central PSA</t>
        </is>
      </c>
      <c r="M117" s="22" t="inlineStr">
        <is>
          <t>WIP ledger / data room</t>
        </is>
      </c>
    </row>
    <row r="118">
      <c r="A118" s="22" t="inlineStr">
        <is>
          <t>WIP-0031</t>
        </is>
      </c>
      <c r="B118" s="22" t="inlineStr">
        <is>
          <t>CTY-01-P1</t>
        </is>
      </c>
      <c r="C118" s="22" t="inlineStr">
        <is>
          <t>CTY-01</t>
        </is>
      </c>
      <c r="D118" s="22" t="inlineStr">
        <is>
          <t>CityWorks Municipal Group</t>
        </is>
      </c>
      <c r="E118" s="22" t="inlineStr">
        <is>
          <t>Permitting &amp; Advisory</t>
        </is>
      </c>
      <c r="F118" s="224" t="n">
        <v>0.1430895635594661</v>
      </c>
      <c r="G118" s="22" t="n">
        <v>91</v>
      </c>
      <c r="H118" s="22" t="inlineStr">
        <is>
          <t>No</t>
        </is>
      </c>
      <c r="I118" s="22" t="inlineStr">
        <is>
          <t>Approved</t>
        </is>
      </c>
      <c r="J118" s="226" t="n">
        <v>46068</v>
      </c>
      <c r="K118" s="22" t="inlineStr">
        <is>
          <t>Review</t>
        </is>
      </c>
      <c r="L118" s="22" t="inlineStr">
        <is>
          <t>Central PSA</t>
        </is>
      </c>
      <c r="M118" s="22" t="inlineStr">
        <is>
          <t>WIP ledger / data room</t>
        </is>
      </c>
    </row>
    <row r="119">
      <c r="A119" s="22" t="inlineStr">
        <is>
          <t>WIP-0032</t>
        </is>
      </c>
      <c r="B119" s="22" t="inlineStr">
        <is>
          <t>CLN-01-P2</t>
        </is>
      </c>
      <c r="C119" s="22" t="inlineStr">
        <is>
          <t>CLN-01</t>
        </is>
      </c>
      <c r="D119" s="22" t="inlineStr">
        <is>
          <t>Clinica Health</t>
        </is>
      </c>
      <c r="E119" s="22" t="inlineStr">
        <is>
          <t>Industrial Hygiene</t>
        </is>
      </c>
      <c r="F119" s="224" t="n">
        <v>0.1326826075003852</v>
      </c>
      <c r="G119" s="22" t="n">
        <v>133</v>
      </c>
      <c r="H119" s="22" t="inlineStr">
        <is>
          <t>Yes</t>
        </is>
      </c>
      <c r="I119" s="22" t="inlineStr">
        <is>
          <t>Approved</t>
        </is>
      </c>
      <c r="J119" s="226" t="n">
        <v>46069</v>
      </c>
      <c r="K119" s="22" t="inlineStr">
        <is>
          <t>Review</t>
        </is>
      </c>
      <c r="L119" s="22" t="inlineStr">
        <is>
          <t>Central PSA</t>
        </is>
      </c>
      <c r="M119" s="22" t="inlineStr">
        <is>
          <t>WIP ledger / data room</t>
        </is>
      </c>
    </row>
    <row r="120">
      <c r="A120" s="22" t="inlineStr">
        <is>
          <t>WIP-0033</t>
        </is>
      </c>
      <c r="B120" s="22" t="inlineStr">
        <is>
          <t>SM-001-P1</t>
        </is>
      </c>
      <c r="C120" s="22" t="inlineStr">
        <is>
          <t>SM-001</t>
        </is>
      </c>
      <c r="D120" s="22" t="inlineStr">
        <is>
          <t>Northfield Foods</t>
        </is>
      </c>
      <c r="E120" s="22" t="inlineStr">
        <is>
          <t>EHS Compliance</t>
        </is>
      </c>
      <c r="F120" s="224" t="n">
        <v>0.1273122135104322</v>
      </c>
      <c r="G120" s="22" t="n">
        <v>130</v>
      </c>
      <c r="H120" s="22" t="inlineStr">
        <is>
          <t>No</t>
        </is>
      </c>
      <c r="I120" s="22" t="inlineStr">
        <is>
          <t>Approved</t>
        </is>
      </c>
      <c r="J120" s="226" t="n">
        <v>46070</v>
      </c>
      <c r="K120" s="22" t="inlineStr">
        <is>
          <t>Review</t>
        </is>
      </c>
      <c r="L120" s="22" t="inlineStr">
        <is>
          <t>Legacy A</t>
        </is>
      </c>
      <c r="M120" s="22" t="inlineStr">
        <is>
          <t>WIP ledger / data room</t>
        </is>
      </c>
    </row>
    <row r="121">
      <c r="A121" s="22" t="inlineStr">
        <is>
          <t>WIP-0034</t>
        </is>
      </c>
      <c r="B121" s="22" t="inlineStr">
        <is>
          <t>SM-003-P2</t>
        </is>
      </c>
      <c r="C121" s="22" t="inlineStr">
        <is>
          <t>SM-003</t>
        </is>
      </c>
      <c r="D121" s="22" t="inlineStr">
        <is>
          <t>Cedar Municipal</t>
        </is>
      </c>
      <c r="E121" s="22" t="inlineStr">
        <is>
          <t>Field Inspection</t>
        </is>
      </c>
      <c r="F121" s="224" t="n">
        <v>0.1480977331727759</v>
      </c>
      <c r="G121" s="22" t="n">
        <v>79</v>
      </c>
      <c r="H121" s="22" t="inlineStr">
        <is>
          <t>No</t>
        </is>
      </c>
      <c r="I121" s="22" t="inlineStr">
        <is>
          <t>Approved</t>
        </is>
      </c>
      <c r="J121" s="226" t="n">
        <v>46071</v>
      </c>
      <c r="K121" s="22" t="inlineStr">
        <is>
          <t>High</t>
        </is>
      </c>
      <c r="L121" s="22" t="inlineStr">
        <is>
          <t>Central PSA</t>
        </is>
      </c>
      <c r="M121" s="22" t="inlineStr">
        <is>
          <t>WIP ledger / data room</t>
        </is>
      </c>
    </row>
    <row r="122">
      <c r="A122" s="22" t="inlineStr">
        <is>
          <t>WIP-0035</t>
        </is>
      </c>
      <c r="B122" s="22" t="inlineStr">
        <is>
          <t>SM-006-P1</t>
        </is>
      </c>
      <c r="C122" s="22" t="inlineStr">
        <is>
          <t>SM-006</t>
        </is>
      </c>
      <c r="D122" s="22" t="inlineStr">
        <is>
          <t>Summit Water</t>
        </is>
      </c>
      <c r="E122" s="22" t="inlineStr">
        <is>
          <t>Industrial Hygiene</t>
        </is>
      </c>
      <c r="F122" s="224" t="n">
        <v>0.0555524573408971</v>
      </c>
      <c r="G122" s="22" t="n">
        <v>82</v>
      </c>
      <c r="H122" s="22" t="inlineStr">
        <is>
          <t>No</t>
        </is>
      </c>
      <c r="I122" s="22" t="inlineStr">
        <is>
          <t>Pending</t>
        </is>
      </c>
      <c r="J122" s="226" t="n">
        <v>46072</v>
      </c>
      <c r="K122" s="22" t="inlineStr">
        <is>
          <t>High</t>
        </is>
      </c>
      <c r="L122" s="22" t="inlineStr">
        <is>
          <t>Legacy A</t>
        </is>
      </c>
      <c r="M122" s="22" t="inlineStr">
        <is>
          <t>WIP ledger / data room</t>
        </is>
      </c>
    </row>
    <row r="123">
      <c r="A123" s="22" t="inlineStr">
        <is>
          <t>WIP-0036</t>
        </is>
      </c>
      <c r="B123" s="22" t="inlineStr">
        <is>
          <t>SM-008-P2</t>
        </is>
      </c>
      <c r="C123" s="22" t="inlineStr">
        <is>
          <t>SM-008</t>
        </is>
      </c>
      <c r="D123" s="22" t="inlineStr">
        <is>
          <t>Lakefront Infrastructure</t>
        </is>
      </c>
      <c r="E123" s="22" t="inlineStr">
        <is>
          <t>Permitting &amp; Advisory</t>
        </is>
      </c>
      <c r="F123" s="224" t="n">
        <v>0.09564839710411996</v>
      </c>
      <c r="G123" s="22" t="n">
        <v>134</v>
      </c>
      <c r="H123" s="22" t="inlineStr">
        <is>
          <t>Yes</t>
        </is>
      </c>
      <c r="I123" s="22" t="inlineStr">
        <is>
          <t>Approved</t>
        </is>
      </c>
      <c r="J123" s="226" t="n">
        <v>46073</v>
      </c>
      <c r="K123" s="22" t="inlineStr">
        <is>
          <t>Review</t>
        </is>
      </c>
      <c r="L123" s="22" t="inlineStr">
        <is>
          <t>Central PSA</t>
        </is>
      </c>
      <c r="M123" s="22" t="inlineStr">
        <is>
          <t>WIP ledger / data room</t>
        </is>
      </c>
    </row>
    <row r="124">
      <c r="A124" s="22" t="inlineStr">
        <is>
          <t>WIP-0037</t>
        </is>
      </c>
      <c r="B124" s="22" t="inlineStr">
        <is>
          <t>SM-011-P1</t>
        </is>
      </c>
      <c r="C124" s="22" t="inlineStr">
        <is>
          <t>SM-011</t>
        </is>
      </c>
      <c r="D124" s="22" t="inlineStr">
        <is>
          <t>Evergreen Chemicals</t>
        </is>
      </c>
      <c r="E124" s="22" t="inlineStr">
        <is>
          <t>Field Inspection</t>
        </is>
      </c>
      <c r="F124" s="224" t="n">
        <v>0.1195364090433849</v>
      </c>
      <c r="G124" s="22" t="n">
        <v>29</v>
      </c>
      <c r="H124" s="22" t="inlineStr">
        <is>
          <t>No</t>
        </is>
      </c>
      <c r="I124" s="22" t="inlineStr">
        <is>
          <t>Approved</t>
        </is>
      </c>
      <c r="J124" s="226" t="n">
        <v>46074</v>
      </c>
      <c r="K124" s="22" t="inlineStr">
        <is>
          <t>High</t>
        </is>
      </c>
      <c r="L124" s="22" t="inlineStr">
        <is>
          <t>Legacy B</t>
        </is>
      </c>
      <c r="M124" s="22" t="inlineStr">
        <is>
          <t>WIP ledger / data room</t>
        </is>
      </c>
    </row>
    <row r="125">
      <c r="A125" s="22" t="inlineStr">
        <is>
          <t>WIP-0038</t>
        </is>
      </c>
      <c r="B125" s="22" t="inlineStr">
        <is>
          <t>SM-013-P2</t>
        </is>
      </c>
      <c r="C125" s="22" t="inlineStr">
        <is>
          <t>SM-013</t>
        </is>
      </c>
      <c r="D125" s="22" t="inlineStr">
        <is>
          <t>Silverline Medical</t>
        </is>
      </c>
      <c r="E125" s="22" t="inlineStr">
        <is>
          <t>EHS Compliance</t>
        </is>
      </c>
      <c r="F125" s="224" t="n">
        <v>0.1285329180265567</v>
      </c>
      <c r="G125" s="22" t="n">
        <v>71</v>
      </c>
      <c r="H125" s="22" t="inlineStr">
        <is>
          <t>No</t>
        </is>
      </c>
      <c r="I125" s="22" t="inlineStr">
        <is>
          <t>Approved</t>
        </is>
      </c>
      <c r="J125" s="226" t="n">
        <v>46075</v>
      </c>
      <c r="K125" s="22" t="inlineStr">
        <is>
          <t>High</t>
        </is>
      </c>
      <c r="L125" s="22" t="inlineStr">
        <is>
          <t>Legacy A</t>
        </is>
      </c>
      <c r="M125" s="22" t="inlineStr">
        <is>
          <t>WIP ledger / data room</t>
        </is>
      </c>
    </row>
    <row r="126">
      <c r="A126" s="22" t="inlineStr">
        <is>
          <t>WIP-0039</t>
        </is>
      </c>
      <c r="B126" s="22" t="inlineStr">
        <is>
          <t>SM-016-P1</t>
        </is>
      </c>
      <c r="C126" s="22" t="inlineStr">
        <is>
          <t>SM-016</t>
        </is>
      </c>
      <c r="D126" s="22" t="inlineStr">
        <is>
          <t>Cobalt Industries</t>
        </is>
      </c>
      <c r="E126" s="22" t="inlineStr">
        <is>
          <t>Permitting &amp; Advisory</t>
        </is>
      </c>
      <c r="F126" s="224" t="n">
        <v>0.07575873818186289</v>
      </c>
      <c r="G126" s="22" t="n">
        <v>8</v>
      </c>
      <c r="H126" s="22" t="inlineStr">
        <is>
          <t>No</t>
        </is>
      </c>
      <c r="I126" s="22" t="inlineStr">
        <is>
          <t>Approved</t>
        </is>
      </c>
      <c r="J126" s="226" t="n">
        <v>46076</v>
      </c>
      <c r="K126" s="22" t="inlineStr">
        <is>
          <t>High</t>
        </is>
      </c>
      <c r="L126" s="22" t="inlineStr">
        <is>
          <t>Legacy B</t>
        </is>
      </c>
      <c r="M126" s="22" t="inlineStr">
        <is>
          <t>WIP ledger / data room</t>
        </is>
      </c>
    </row>
    <row r="127">
      <c r="A127" s="22" t="inlineStr">
        <is>
          <t>WIP-0040</t>
        </is>
      </c>
      <c r="B127" s="22" t="inlineStr">
        <is>
          <t>SM-018-P2</t>
        </is>
      </c>
      <c r="C127" s="22" t="inlineStr">
        <is>
          <t>SM-018</t>
        </is>
      </c>
      <c r="D127" s="22" t="inlineStr">
        <is>
          <t>Frontier Foods</t>
        </is>
      </c>
      <c r="E127" s="22" t="inlineStr">
        <is>
          <t>Industrial Hygiene</t>
        </is>
      </c>
      <c r="F127" s="224" t="n">
        <v>0.04344992874102568</v>
      </c>
      <c r="G127" s="22" t="n">
        <v>108</v>
      </c>
      <c r="H127" s="22" t="inlineStr">
        <is>
          <t>Yes</t>
        </is>
      </c>
      <c r="I127" s="22" t="inlineStr">
        <is>
          <t>Pending</t>
        </is>
      </c>
      <c r="J127" s="226" t="n">
        <v>46077</v>
      </c>
      <c r="K127" s="22" t="inlineStr">
        <is>
          <t>Review</t>
        </is>
      </c>
      <c r="L127" s="22" t="inlineStr">
        <is>
          <t>Central PSA</t>
        </is>
      </c>
      <c r="M127" s="22" t="inlineStr">
        <is>
          <t>WIP ledger / data room</t>
        </is>
      </c>
    </row>
    <row r="128">
      <c r="A128" s="22" t="inlineStr">
        <is>
          <t>WIP-0041</t>
        </is>
      </c>
      <c r="B128" s="22" t="inlineStr">
        <is>
          <t>SM-021-P1</t>
        </is>
      </c>
      <c r="C128" s="22" t="inlineStr">
        <is>
          <t>SM-021</t>
        </is>
      </c>
      <c r="D128" s="22" t="inlineStr">
        <is>
          <t>Cedar Municipal 2</t>
        </is>
      </c>
      <c r="E128" s="22" t="inlineStr">
        <is>
          <t>EHS Compliance</t>
        </is>
      </c>
      <c r="F128" s="224" t="n">
        <v>0.1060526284408789</v>
      </c>
      <c r="G128" s="22" t="n">
        <v>91</v>
      </c>
      <c r="H128" s="22" t="inlineStr">
        <is>
          <t>No</t>
        </is>
      </c>
      <c r="I128" s="22" t="inlineStr">
        <is>
          <t>Approved</t>
        </is>
      </c>
      <c r="J128" s="226" t="n">
        <v>46078</v>
      </c>
      <c r="K128" s="22" t="inlineStr">
        <is>
          <t>Review</t>
        </is>
      </c>
      <c r="L128" s="22" t="inlineStr">
        <is>
          <t>Central PSA</t>
        </is>
      </c>
      <c r="M128" s="22" t="inlineStr">
        <is>
          <t>WIP ledger / data room</t>
        </is>
      </c>
    </row>
    <row r="129">
      <c r="A129" s="22" t="inlineStr">
        <is>
          <t>WIP-0042</t>
        </is>
      </c>
      <c r="B129" s="22" t="inlineStr">
        <is>
          <t>SM-023-P2</t>
        </is>
      </c>
      <c r="C129" s="22" t="inlineStr">
        <is>
          <t>SM-023</t>
        </is>
      </c>
      <c r="D129" s="22" t="inlineStr">
        <is>
          <t>Oak Ridge Manufacturing 2</t>
        </is>
      </c>
      <c r="E129" s="22" t="inlineStr">
        <is>
          <t>Field Inspection</t>
        </is>
      </c>
      <c r="F129" s="224" t="n">
        <v>0.03909886605533957</v>
      </c>
      <c r="G129" s="22" t="n">
        <v>29</v>
      </c>
      <c r="H129" s="22" t="inlineStr">
        <is>
          <t>No</t>
        </is>
      </c>
      <c r="I129" s="22" t="inlineStr">
        <is>
          <t>Approved</t>
        </is>
      </c>
      <c r="J129" s="226" t="n">
        <v>46079</v>
      </c>
      <c r="K129" s="22" t="inlineStr">
        <is>
          <t>High</t>
        </is>
      </c>
      <c r="L129" s="22" t="inlineStr">
        <is>
          <t>Central PSA</t>
        </is>
      </c>
      <c r="M129" s="22" t="inlineStr">
        <is>
          <t>WIP ledger / data room</t>
        </is>
      </c>
    </row>
    <row r="130">
      <c r="A130" s="22" t="inlineStr">
        <is>
          <t>WIP-0043</t>
        </is>
      </c>
      <c r="B130" s="22" t="inlineStr">
        <is>
          <t>SM-026-P1</t>
        </is>
      </c>
      <c r="C130" s="22" t="inlineStr">
        <is>
          <t>SM-026</t>
        </is>
      </c>
      <c r="D130" s="22" t="inlineStr">
        <is>
          <t>Lakefront Infrastructure 2</t>
        </is>
      </c>
      <c r="E130" s="22" t="inlineStr">
        <is>
          <t>Industrial Hygiene</t>
        </is>
      </c>
      <c r="F130" s="224" t="n">
        <v>0.1161972419810767</v>
      </c>
      <c r="G130" s="22" t="n">
        <v>27</v>
      </c>
      <c r="H130" s="22" t="inlineStr">
        <is>
          <t>No</t>
        </is>
      </c>
      <c r="I130" s="22" t="inlineStr">
        <is>
          <t>Approved</t>
        </is>
      </c>
      <c r="J130" s="226" t="n">
        <v>46080</v>
      </c>
      <c r="K130" s="22" t="inlineStr">
        <is>
          <t>High</t>
        </is>
      </c>
      <c r="L130" s="22" t="inlineStr">
        <is>
          <t>Legacy A</t>
        </is>
      </c>
      <c r="M130" s="22" t="inlineStr">
        <is>
          <t>WIP ledger / data room</t>
        </is>
      </c>
    </row>
    <row r="131">
      <c r="A131" s="22" t="inlineStr">
        <is>
          <t>WIP-0044</t>
        </is>
      </c>
      <c r="B131" s="22" t="inlineStr">
        <is>
          <t>SM-028-P2</t>
        </is>
      </c>
      <c r="C131" s="22" t="inlineStr">
        <is>
          <t>SM-028</t>
        </is>
      </c>
      <c r="D131" s="22" t="inlineStr">
        <is>
          <t>Pioneer Components 2</t>
        </is>
      </c>
      <c r="E131" s="22" t="inlineStr">
        <is>
          <t>Permitting &amp; Advisory</t>
        </is>
      </c>
      <c r="F131" s="224" t="n">
        <v>0.02656135952182212</v>
      </c>
      <c r="G131" s="22" t="n">
        <v>73</v>
      </c>
      <c r="H131" s="22" t="inlineStr">
        <is>
          <t>Yes</t>
        </is>
      </c>
      <c r="I131" s="22" t="inlineStr">
        <is>
          <t>Approved</t>
        </is>
      </c>
      <c r="J131" s="226" t="n">
        <v>46081</v>
      </c>
      <c r="K131" s="22" t="inlineStr">
        <is>
          <t>High</t>
        </is>
      </c>
      <c r="L131" s="22" t="inlineStr">
        <is>
          <t>Legacy B</t>
        </is>
      </c>
      <c r="M131" s="22" t="inlineStr">
        <is>
          <t>WIP ledger / data room</t>
        </is>
      </c>
    </row>
    <row r="132">
      <c r="A132" s="22" t="inlineStr">
        <is>
          <t>WIP-0045</t>
        </is>
      </c>
      <c r="B132" s="22" t="inlineStr">
        <is>
          <t>SM-031-P1</t>
        </is>
      </c>
      <c r="C132" s="22" t="inlineStr">
        <is>
          <t>SM-031</t>
        </is>
      </c>
      <c r="D132" s="22" t="inlineStr">
        <is>
          <t>Silverline Medical 2</t>
        </is>
      </c>
      <c r="E132" s="22" t="inlineStr">
        <is>
          <t>Field Inspection</t>
        </is>
      </c>
      <c r="F132" s="224" t="n">
        <v>0.08400093982535367</v>
      </c>
      <c r="G132" s="22" t="n">
        <v>105</v>
      </c>
      <c r="H132" s="22" t="inlineStr">
        <is>
          <t>No</t>
        </is>
      </c>
      <c r="I132" s="22" t="inlineStr">
        <is>
          <t>Pending</t>
        </is>
      </c>
      <c r="J132" s="226" t="n">
        <v>46082</v>
      </c>
      <c r="K132" s="22" t="inlineStr">
        <is>
          <t>Review</t>
        </is>
      </c>
      <c r="L132" s="22" t="inlineStr">
        <is>
          <t>Central PSA</t>
        </is>
      </c>
      <c r="M132" s="22" t="inlineStr">
        <is>
          <t>WIP ledger / data room</t>
        </is>
      </c>
    </row>
    <row r="133">
      <c r="A133" s="22" t="inlineStr">
        <is>
          <t>WIP-0046</t>
        </is>
      </c>
      <c r="B133" s="22" t="inlineStr">
        <is>
          <t>RIV-DEC-P1</t>
        </is>
      </c>
      <c r="C133" s="22" t="inlineStr">
        <is>
          <t>RIV-DEC</t>
        </is>
      </c>
      <c r="D133" s="22" t="inlineStr">
        <is>
          <t>Riverton Industrial Group</t>
        </is>
      </c>
      <c r="E133" s="22" t="inlineStr">
        <is>
          <t>EHS Compliance</t>
        </is>
      </c>
      <c r="F133" s="224" t="n">
        <v>0.08724220948262743</v>
      </c>
      <c r="G133" s="22" t="n">
        <v>19</v>
      </c>
      <c r="H133" s="22" t="inlineStr">
        <is>
          <t>No</t>
        </is>
      </c>
      <c r="I133" s="22" t="inlineStr">
        <is>
          <t>Approved</t>
        </is>
      </c>
      <c r="J133" s="226" t="n">
        <v>46083</v>
      </c>
      <c r="K133" s="22" t="inlineStr">
        <is>
          <t>High</t>
        </is>
      </c>
      <c r="L133" s="22" t="inlineStr">
        <is>
          <t>Central PSA</t>
        </is>
      </c>
      <c r="M133" s="22" t="inlineStr">
        <is>
          <t>WIP ledger / data room</t>
        </is>
      </c>
    </row>
    <row r="134">
      <c r="A134" s="22" t="inlineStr">
        <is>
          <t>WIP-0047</t>
        </is>
      </c>
      <c r="B134" s="22" t="inlineStr">
        <is>
          <t>MET-N-P3</t>
        </is>
      </c>
      <c r="C134" s="22" t="inlineStr">
        <is>
          <t>MET-N</t>
        </is>
      </c>
      <c r="D134" s="22" t="inlineStr">
        <is>
          <t>Metro Utility Holdings</t>
        </is>
      </c>
      <c r="E134" s="22" t="inlineStr">
        <is>
          <t>Field Inspection</t>
        </is>
      </c>
      <c r="F134" s="224" t="n">
        <v>0.04104415622702123</v>
      </c>
      <c r="G134" s="22" t="n">
        <v>45</v>
      </c>
      <c r="H134" s="22" t="inlineStr">
        <is>
          <t>No</t>
        </is>
      </c>
      <c r="I134" s="22" t="inlineStr">
        <is>
          <t>Approved</t>
        </is>
      </c>
      <c r="J134" s="226" t="n">
        <v>46084</v>
      </c>
      <c r="K134" s="22" t="inlineStr">
        <is>
          <t>High</t>
        </is>
      </c>
      <c r="L134" s="22" t="inlineStr">
        <is>
          <t>Legacy A</t>
        </is>
      </c>
      <c r="M134" s="22" t="inlineStr">
        <is>
          <t>WIP ledger / data room</t>
        </is>
      </c>
    </row>
    <row r="135">
      <c r="A135" s="22" t="inlineStr">
        <is>
          <t>WIP-0048</t>
        </is>
      </c>
      <c r="B135" s="22" t="inlineStr">
        <is>
          <t>MED-01-P2</t>
        </is>
      </c>
      <c r="C135" s="22" t="inlineStr">
        <is>
          <t>MED-01</t>
        </is>
      </c>
      <c r="D135" s="22" t="inlineStr">
        <is>
          <t>MedCore Health</t>
        </is>
      </c>
      <c r="E135" s="22" t="inlineStr">
        <is>
          <t>Industrial Hygiene</t>
        </is>
      </c>
      <c r="F135" s="224" t="n">
        <v>0.08729854629670586</v>
      </c>
      <c r="G135" s="22" t="n">
        <v>71</v>
      </c>
      <c r="H135" s="22" t="inlineStr">
        <is>
          <t>Yes</t>
        </is>
      </c>
      <c r="I135" s="22" t="inlineStr">
        <is>
          <t>Approved</t>
        </is>
      </c>
      <c r="J135" s="226" t="n">
        <v>46085</v>
      </c>
      <c r="K135" s="22" t="inlineStr">
        <is>
          <t>High</t>
        </is>
      </c>
      <c r="L135" s="22" t="inlineStr">
        <is>
          <t>Central PSA</t>
        </is>
      </c>
      <c r="M135" s="22" t="inlineStr">
        <is>
          <t>WIP ledger / data room</t>
        </is>
      </c>
    </row>
    <row r="136">
      <c r="A136" s="22" t="inlineStr">
        <is>
          <t>WIP-0049</t>
        </is>
      </c>
      <c r="B136" s="22" t="inlineStr">
        <is>
          <t>BIO-01-P2</t>
        </is>
      </c>
      <c r="C136" s="22" t="inlineStr">
        <is>
          <t>BIO-01</t>
        </is>
      </c>
      <c r="D136" s="22" t="inlineStr">
        <is>
          <t>BioHealth Laboratories</t>
        </is>
      </c>
      <c r="E136" s="22" t="inlineStr">
        <is>
          <t>Industrial Hygiene</t>
        </is>
      </c>
      <c r="F136" s="224" t="n">
        <v>0.08984910912055553</v>
      </c>
      <c r="G136" s="22" t="n">
        <v>36</v>
      </c>
      <c r="H136" s="22" t="inlineStr">
        <is>
          <t>No</t>
        </is>
      </c>
      <c r="I136" s="22" t="inlineStr">
        <is>
          <t>Approved</t>
        </is>
      </c>
      <c r="J136" s="226" t="n">
        <v>46086</v>
      </c>
      <c r="K136" s="22" t="inlineStr">
        <is>
          <t>High</t>
        </is>
      </c>
      <c r="L136" s="22" t="inlineStr">
        <is>
          <t>Central PSA</t>
        </is>
      </c>
      <c r="M136" s="22" t="inlineStr">
        <is>
          <t>WIP ledger / data room</t>
        </is>
      </c>
    </row>
    <row r="137">
      <c r="A137" s="22" t="inlineStr">
        <is>
          <t>WIP-0050</t>
        </is>
      </c>
      <c r="B137" s="22" t="inlineStr">
        <is>
          <t>MET-S-P1</t>
        </is>
      </c>
      <c r="C137" s="22" t="inlineStr">
        <is>
          <t>MET-S</t>
        </is>
      </c>
      <c r="D137" s="22" t="inlineStr">
        <is>
          <t>Metro Utility Holdings</t>
        </is>
      </c>
      <c r="E137" s="22" t="inlineStr">
        <is>
          <t>Field Inspection</t>
        </is>
      </c>
      <c r="F137" s="224" t="n">
        <v>0.0730367500372089</v>
      </c>
      <c r="G137" s="22" t="n">
        <v>123</v>
      </c>
      <c r="H137" s="22" t="inlineStr">
        <is>
          <t>No</t>
        </is>
      </c>
      <c r="I137" s="22" t="inlineStr">
        <is>
          <t>Pending</t>
        </is>
      </c>
      <c r="J137" s="226" t="n">
        <v>46087</v>
      </c>
      <c r="K137" s="22" t="inlineStr">
        <is>
          <t>Review</t>
        </is>
      </c>
      <c r="L137" s="22" t="inlineStr">
        <is>
          <t>Central PSA</t>
        </is>
      </c>
      <c r="M137" s="22" t="inlineStr">
        <is>
          <t>WIP ledger / data room</t>
        </is>
      </c>
    </row>
    <row r="138">
      <c r="A138" s="22" t="inlineStr">
        <is>
          <t>WIP-0051</t>
        </is>
      </c>
      <c r="B138" s="22" t="inlineStr">
        <is>
          <t>RIV-MIL-P2</t>
        </is>
      </c>
      <c r="C138" s="22" t="inlineStr">
        <is>
          <t>RIV-MIL</t>
        </is>
      </c>
      <c r="D138" s="22" t="inlineStr">
        <is>
          <t>Riverton Industrial Group</t>
        </is>
      </c>
      <c r="E138" s="22" t="inlineStr">
        <is>
          <t>Industrial Hygiene</t>
        </is>
      </c>
      <c r="F138" s="224" t="n">
        <v>0.1406997607979556</v>
      </c>
      <c r="G138" s="22" t="n">
        <v>101</v>
      </c>
      <c r="H138" s="22" t="inlineStr">
        <is>
          <t>No</t>
        </is>
      </c>
      <c r="I138" s="22" t="inlineStr">
        <is>
          <t>Approved</t>
        </is>
      </c>
      <c r="J138" s="226" t="n">
        <v>46088</v>
      </c>
      <c r="K138" s="22" t="inlineStr">
        <is>
          <t>Review</t>
        </is>
      </c>
      <c r="L138" s="22" t="inlineStr">
        <is>
          <t>Legacy B</t>
        </is>
      </c>
      <c r="M138" s="22" t="inlineStr">
        <is>
          <t>WIP ledger / data room</t>
        </is>
      </c>
    </row>
    <row r="139">
      <c r="A139" s="22" t="inlineStr">
        <is>
          <t>WIP-0052</t>
        </is>
      </c>
      <c r="B139" s="22" t="inlineStr">
        <is>
          <t>RIV-WST-P1</t>
        </is>
      </c>
      <c r="C139" s="22" t="inlineStr">
        <is>
          <t>RIV-WST</t>
        </is>
      </c>
      <c r="D139" s="22" t="inlineStr">
        <is>
          <t>Riverton Industrial Group</t>
        </is>
      </c>
      <c r="E139" s="22" t="inlineStr">
        <is>
          <t>Permitting &amp; Advisory</t>
        </is>
      </c>
      <c r="F139" s="224" t="n">
        <v>0.1368233992767252</v>
      </c>
      <c r="G139" s="22" t="n">
        <v>133</v>
      </c>
      <c r="H139" s="22" t="inlineStr">
        <is>
          <t>Yes</t>
        </is>
      </c>
      <c r="I139" s="22" t="inlineStr">
        <is>
          <t>Approved</t>
        </is>
      </c>
      <c r="J139" s="226" t="n">
        <v>46089</v>
      </c>
      <c r="K139" s="22" t="inlineStr">
        <is>
          <t>Review</t>
        </is>
      </c>
      <c r="L139" s="22" t="inlineStr">
        <is>
          <t>Central PSA</t>
        </is>
      </c>
      <c r="M139" s="22" t="inlineStr">
        <is>
          <t>WIP ledger / data room</t>
        </is>
      </c>
    </row>
    <row r="140">
      <c r="A140" s="22" t="inlineStr">
        <is>
          <t>WIP-0053</t>
        </is>
      </c>
      <c r="B140" s="22" t="inlineStr">
        <is>
          <t>APX-02-P2</t>
        </is>
      </c>
      <c r="C140" s="22" t="inlineStr">
        <is>
          <t>APX-02</t>
        </is>
      </c>
      <c r="D140" s="22" t="inlineStr">
        <is>
          <t>Apex Manufacturing</t>
        </is>
      </c>
      <c r="E140" s="22" t="inlineStr">
        <is>
          <t>Field Inspection</t>
        </is>
      </c>
      <c r="F140" s="224" t="n">
        <v>0.1399632708406079</v>
      </c>
      <c r="G140" s="22" t="n">
        <v>89</v>
      </c>
      <c r="H140" s="22" t="inlineStr">
        <is>
          <t>No</t>
        </is>
      </c>
      <c r="I140" s="22" t="inlineStr">
        <is>
          <t>Approved</t>
        </is>
      </c>
      <c r="J140" s="226" t="n">
        <v>46090</v>
      </c>
      <c r="K140" s="22" t="inlineStr">
        <is>
          <t>High</t>
        </is>
      </c>
      <c r="L140" s="22" t="inlineStr">
        <is>
          <t>Central PSA</t>
        </is>
      </c>
      <c r="M140" s="22" t="inlineStr">
        <is>
          <t>WIP ledger / data room</t>
        </is>
      </c>
    </row>
    <row r="141">
      <c r="A141" s="22" t="inlineStr">
        <is>
          <t>WIP-0054</t>
        </is>
      </c>
      <c r="B141" s="22" t="inlineStr">
        <is>
          <t>CTY-01-P1</t>
        </is>
      </c>
      <c r="C141" s="22" t="inlineStr">
        <is>
          <t>CTY-01</t>
        </is>
      </c>
      <c r="D141" s="22" t="inlineStr">
        <is>
          <t>CityWorks Municipal Group</t>
        </is>
      </c>
      <c r="E141" s="22" t="inlineStr">
        <is>
          <t>Permitting &amp; Advisory</t>
        </is>
      </c>
      <c r="F141" s="224" t="n">
        <v>0.05709800521285702</v>
      </c>
      <c r="G141" s="22" t="n">
        <v>95</v>
      </c>
      <c r="H141" s="22" t="inlineStr">
        <is>
          <t>No</t>
        </is>
      </c>
      <c r="I141" s="22" t="inlineStr">
        <is>
          <t>Approved</t>
        </is>
      </c>
      <c r="J141" s="226" t="n">
        <v>46091</v>
      </c>
      <c r="K141" s="22" t="inlineStr">
        <is>
          <t>Review</t>
        </is>
      </c>
      <c r="L141" s="22" t="inlineStr">
        <is>
          <t>Central PSA</t>
        </is>
      </c>
      <c r="M141" s="22" t="inlineStr">
        <is>
          <t>WIP ledger / data room</t>
        </is>
      </c>
    </row>
    <row r="142">
      <c r="A142" s="22" t="inlineStr">
        <is>
          <t>WIP-0055</t>
        </is>
      </c>
      <c r="B142" s="22" t="inlineStr">
        <is>
          <t>CLN-01-P2</t>
        </is>
      </c>
      <c r="C142" s="22" t="inlineStr">
        <is>
          <t>CLN-01</t>
        </is>
      </c>
      <c r="D142" s="22" t="inlineStr">
        <is>
          <t>Clinica Health</t>
        </is>
      </c>
      <c r="E142" s="22" t="inlineStr">
        <is>
          <t>Industrial Hygiene</t>
        </is>
      </c>
      <c r="F142" s="224" t="n">
        <v>0.02899057977701757</v>
      </c>
      <c r="G142" s="22" t="n">
        <v>39</v>
      </c>
      <c r="H142" s="22" t="inlineStr">
        <is>
          <t>No</t>
        </is>
      </c>
      <c r="I142" s="22" t="inlineStr">
        <is>
          <t>Pending</t>
        </is>
      </c>
      <c r="J142" s="226" t="n">
        <v>46092</v>
      </c>
      <c r="K142" s="22" t="inlineStr">
        <is>
          <t>High</t>
        </is>
      </c>
      <c r="L142" s="22" t="inlineStr">
        <is>
          <t>Central PSA</t>
        </is>
      </c>
      <c r="M142" s="22" t="inlineStr">
        <is>
          <t>WIP ledger / data room</t>
        </is>
      </c>
    </row>
    <row r="143">
      <c r="A143" s="22" t="inlineStr">
        <is>
          <t>WIP-0056</t>
        </is>
      </c>
      <c r="B143" s="22" t="inlineStr">
        <is>
          <t>SM-001-P1</t>
        </is>
      </c>
      <c r="C143" s="22" t="inlineStr">
        <is>
          <t>SM-001</t>
        </is>
      </c>
      <c r="D143" s="22" t="inlineStr">
        <is>
          <t>Northfield Foods</t>
        </is>
      </c>
      <c r="E143" s="22" t="inlineStr">
        <is>
          <t>EHS Compliance</t>
        </is>
      </c>
      <c r="F143" s="224" t="n">
        <v>0.07400447628485292</v>
      </c>
      <c r="G143" s="22" t="n">
        <v>70</v>
      </c>
      <c r="H143" s="22" t="inlineStr">
        <is>
          <t>Yes</t>
        </is>
      </c>
      <c r="I143" s="22" t="inlineStr">
        <is>
          <t>Approved</t>
        </is>
      </c>
      <c r="J143" s="226" t="n">
        <v>46093</v>
      </c>
      <c r="K143" s="22" t="inlineStr">
        <is>
          <t>High</t>
        </is>
      </c>
      <c r="L143" s="22" t="inlineStr">
        <is>
          <t>Legacy A</t>
        </is>
      </c>
      <c r="M143" s="22" t="inlineStr">
        <is>
          <t>WIP ledger / data room</t>
        </is>
      </c>
    </row>
    <row r="144">
      <c r="A144" s="22" t="inlineStr">
        <is>
          <t>WIP-0057</t>
        </is>
      </c>
      <c r="B144" s="22" t="inlineStr">
        <is>
          <t>SM-003-P2</t>
        </is>
      </c>
      <c r="C144" s="22" t="inlineStr">
        <is>
          <t>SM-003</t>
        </is>
      </c>
      <c r="D144" s="22" t="inlineStr">
        <is>
          <t>Cedar Municipal</t>
        </is>
      </c>
      <c r="E144" s="22" t="inlineStr">
        <is>
          <t>Field Inspection</t>
        </is>
      </c>
      <c r="F144" s="224" t="n">
        <v>0.04025605318569807</v>
      </c>
      <c r="G144" s="22" t="n">
        <v>60</v>
      </c>
      <c r="H144" s="22" t="inlineStr">
        <is>
          <t>No</t>
        </is>
      </c>
      <c r="I144" s="22" t="inlineStr">
        <is>
          <t>Approved</t>
        </is>
      </c>
      <c r="J144" s="226" t="n">
        <v>46094</v>
      </c>
      <c r="K144" s="22" t="inlineStr">
        <is>
          <t>High</t>
        </is>
      </c>
      <c r="L144" s="22" t="inlineStr">
        <is>
          <t>Central PSA</t>
        </is>
      </c>
      <c r="M144" s="22" t="inlineStr">
        <is>
          <t>WIP ledger / data room</t>
        </is>
      </c>
    </row>
    <row r="145">
      <c r="A145" s="22" t="inlineStr">
        <is>
          <t>WIP-0058</t>
        </is>
      </c>
      <c r="B145" s="22" t="inlineStr">
        <is>
          <t>SM-006-P1</t>
        </is>
      </c>
      <c r="C145" s="22" t="inlineStr">
        <is>
          <t>SM-006</t>
        </is>
      </c>
      <c r="D145" s="22" t="inlineStr">
        <is>
          <t>Summit Water</t>
        </is>
      </c>
      <c r="E145" s="22" t="inlineStr">
        <is>
          <t>Industrial Hygiene</t>
        </is>
      </c>
      <c r="F145" s="224" t="n">
        <v>0.1161806935614725</v>
      </c>
      <c r="G145" s="22" t="n">
        <v>66</v>
      </c>
      <c r="H145" s="22" t="inlineStr">
        <is>
          <t>No</t>
        </is>
      </c>
      <c r="I145" s="22" t="inlineStr">
        <is>
          <t>Approved</t>
        </is>
      </c>
      <c r="J145" s="226" t="n">
        <v>46095</v>
      </c>
      <c r="K145" s="22" t="inlineStr">
        <is>
          <t>High</t>
        </is>
      </c>
      <c r="L145" s="22" t="inlineStr">
        <is>
          <t>Legacy A</t>
        </is>
      </c>
      <c r="M145" s="22" t="inlineStr">
        <is>
          <t>WIP ledger / data room</t>
        </is>
      </c>
    </row>
    <row r="146">
      <c r="A146" s="22" t="inlineStr">
        <is>
          <t>WIP-0059</t>
        </is>
      </c>
      <c r="B146" s="22" t="inlineStr">
        <is>
          <t>SM-008-P2</t>
        </is>
      </c>
      <c r="C146" s="22" t="inlineStr">
        <is>
          <t>SM-008</t>
        </is>
      </c>
      <c r="D146" s="22" t="inlineStr">
        <is>
          <t>Lakefront Infrastructure</t>
        </is>
      </c>
      <c r="E146" s="22" t="inlineStr">
        <is>
          <t>Permitting &amp; Advisory</t>
        </is>
      </c>
      <c r="F146" s="224" t="n">
        <v>0.05941514451040465</v>
      </c>
      <c r="G146" s="22" t="n">
        <v>8</v>
      </c>
      <c r="H146" s="22" t="inlineStr">
        <is>
          <t>No</t>
        </is>
      </c>
      <c r="I146" s="22" t="inlineStr">
        <is>
          <t>Approved</t>
        </is>
      </c>
      <c r="J146" s="226" t="n">
        <v>46096</v>
      </c>
      <c r="K146" s="22" t="inlineStr">
        <is>
          <t>High</t>
        </is>
      </c>
      <c r="L146" s="22" t="inlineStr">
        <is>
          <t>Central PSA</t>
        </is>
      </c>
      <c r="M146" s="22" t="inlineStr">
        <is>
          <t>WIP ledger / data room</t>
        </is>
      </c>
    </row>
    <row r="147">
      <c r="A147" s="22" t="inlineStr">
        <is>
          <t>WIP-0060</t>
        </is>
      </c>
      <c r="B147" s="22" t="inlineStr">
        <is>
          <t>SM-011-P1</t>
        </is>
      </c>
      <c r="C147" s="22" t="inlineStr">
        <is>
          <t>SM-011</t>
        </is>
      </c>
      <c r="D147" s="22" t="inlineStr">
        <is>
          <t>Evergreen Chemicals</t>
        </is>
      </c>
      <c r="E147" s="22" t="inlineStr">
        <is>
          <t>Field Inspection</t>
        </is>
      </c>
      <c r="F147" s="224" t="n">
        <v>0.04214592745255318</v>
      </c>
      <c r="G147" s="22" t="n">
        <v>118</v>
      </c>
      <c r="H147" s="22" t="inlineStr">
        <is>
          <t>Yes</t>
        </is>
      </c>
      <c r="I147" s="22" t="inlineStr">
        <is>
          <t>Pending</t>
        </is>
      </c>
      <c r="J147" s="226" t="n">
        <v>46097</v>
      </c>
      <c r="K147" s="22" t="inlineStr">
        <is>
          <t>Review</t>
        </is>
      </c>
      <c r="L147" s="22" t="inlineStr">
        <is>
          <t>Legacy B</t>
        </is>
      </c>
      <c r="M147" s="22" t="inlineStr">
        <is>
          <t>WIP ledger / data room</t>
        </is>
      </c>
    </row>
  </sheetData>
  <mergeCells count="3">
    <mergeCell ref="A3:M3"/>
    <mergeCell ref="A86:M86"/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2" customWidth="1" min="7" max="7"/>
  </cols>
  <sheetData>
    <row r="1" ht="26" customHeight="1">
      <c r="A1" s="9" t="inlineStr">
        <is>
          <t>EBITDA Basis Schedule ($mm)</t>
        </is>
      </c>
      <c r="B1" s="1" t="n"/>
      <c r="C1" s="1" t="n"/>
      <c r="D1" s="1" t="n"/>
      <c r="E1" s="1" t="n"/>
      <c r="F1" s="1" t="n"/>
      <c r="G1" s="1" t="n"/>
    </row>
    <row r="2"/>
    <row r="3">
      <c r="A3" s="15" t="inlineStr">
        <is>
          <t>Adjustment</t>
        </is>
      </c>
      <c r="B3" s="15" t="inlineStr">
        <is>
          <t>Reported</t>
        </is>
      </c>
      <c r="C3" s="15" t="inlineStr">
        <is>
          <t>Seller View</t>
        </is>
      </c>
      <c r="D3" s="15" t="inlineStr">
        <is>
          <t>QoE View</t>
        </is>
      </c>
      <c r="E3" s="15" t="inlineStr">
        <is>
          <t>Firm View</t>
        </is>
      </c>
      <c r="F3" s="15" t="inlineStr">
        <is>
          <t>Covenant View</t>
        </is>
      </c>
      <c r="G3" s="15" t="inlineStr">
        <is>
          <t>Source / Treatment</t>
        </is>
      </c>
    </row>
    <row r="4">
      <c r="A4" t="inlineStr">
        <is>
          <t>Reported EBITDA</t>
        </is>
      </c>
      <c r="B4" s="224" t="n">
        <v>10.2</v>
      </c>
      <c r="C4" s="224" t="n">
        <v>10.2</v>
      </c>
      <c r="D4" s="224" t="n">
        <v>10.2</v>
      </c>
      <c r="E4" s="224" t="n">
        <v>10.2</v>
      </c>
      <c r="F4" s="224" t="n">
        <v>10.2</v>
      </c>
      <c r="G4" t="inlineStr">
        <is>
          <t>Historical accounts</t>
        </is>
      </c>
    </row>
    <row r="5">
      <c r="A5" t="inlineStr">
        <is>
          <t>Founder / executive compensation</t>
        </is>
      </c>
      <c r="B5" s="224" t="n">
        <v>0</v>
      </c>
      <c r="C5" s="224" t="n">
        <v>0.4</v>
      </c>
      <c r="D5" s="224" t="n">
        <v>0.35</v>
      </c>
      <c r="E5" s="224" t="n">
        <v>0.35</v>
      </c>
      <c r="F5" s="224" t="n">
        <v>0.35</v>
      </c>
      <c r="G5" t="inlineStr">
        <is>
          <t>QoE accepted at market replacement cost</t>
        </is>
      </c>
    </row>
    <row r="6">
      <c r="A6" t="inlineStr">
        <is>
          <t>Transaction-readiness and professional fees</t>
        </is>
      </c>
      <c r="B6" s="224" t="n">
        <v>0</v>
      </c>
      <c r="C6" s="224" t="n">
        <v>0.3</v>
      </c>
      <c r="D6" s="224" t="n">
        <v>0.25</v>
      </c>
      <c r="E6" s="224" t="n">
        <v>0.25</v>
      </c>
      <c r="F6" s="224" t="n">
        <v>0.25</v>
      </c>
      <c r="G6" t="inlineStr">
        <is>
          <t>Recurring audit/compliance retained</t>
        </is>
      </c>
    </row>
    <row r="7">
      <c r="A7" t="inlineStr">
        <is>
          <t>Integration and systems costs</t>
        </is>
      </c>
      <c r="B7" s="224" t="n">
        <v>0</v>
      </c>
      <c r="C7" s="224" t="n">
        <v>0.5</v>
      </c>
      <c r="D7" s="224" t="n">
        <v>0.3</v>
      </c>
      <c r="E7" s="224" t="n">
        <v>0.2</v>
      </c>
      <c r="F7" s="224" t="n">
        <v>0.3</v>
      </c>
      <c r="G7" t="inlineStr">
        <is>
          <t>Firm retains $0.10m recurring cost</t>
        </is>
      </c>
    </row>
    <row r="8">
      <c r="A8" t="inlineStr">
        <is>
          <t>Legal and settlement expense</t>
        </is>
      </c>
      <c r="B8" s="224" t="n">
        <v>0</v>
      </c>
      <c r="C8" s="224" t="n">
        <v>0.2</v>
      </c>
      <c r="D8" s="224" t="n">
        <v>0.2</v>
      </c>
      <c r="E8" s="224" t="n">
        <v>0.2</v>
      </c>
      <c r="F8" s="224" t="n">
        <v>0.2</v>
      </c>
      <c r="G8" t="inlineStr">
        <is>
          <t>Supported non-recurring item</t>
        </is>
      </c>
    </row>
    <row r="9">
      <c r="A9" t="inlineStr">
        <is>
          <t>Duplicate occupancy / facility move</t>
        </is>
      </c>
      <c r="B9" s="224" t="n">
        <v>0</v>
      </c>
      <c r="C9" s="224" t="n">
        <v>0.2</v>
      </c>
      <c r="D9" s="224" t="n">
        <v>0.15</v>
      </c>
      <c r="E9" s="224" t="n">
        <v>0.15</v>
      </c>
      <c r="F9" s="224" t="n">
        <v>0.15</v>
      </c>
      <c r="G9" t="inlineStr">
        <is>
          <t>Implemented closure</t>
        </is>
      </c>
    </row>
    <row r="10">
      <c r="A10" t="inlineStr">
        <is>
          <t>Implemented headcount savings</t>
        </is>
      </c>
      <c r="B10" s="224" t="n">
        <v>0</v>
      </c>
      <c r="C10" s="224" t="n">
        <v>0.4</v>
      </c>
      <c r="D10" s="224" t="n">
        <v>0.25</v>
      </c>
      <c r="E10" s="224" t="n">
        <v>0.25</v>
      </c>
      <c r="F10" s="224" t="n">
        <v>0.5</v>
      </c>
      <c r="G10" t="inlineStr">
        <is>
          <t>Additional covenant-certified savings</t>
        </is>
      </c>
    </row>
    <row r="11">
      <c r="A11" t="inlineStr">
        <is>
          <t>Pricing and utilization initiatives</t>
        </is>
      </c>
      <c r="B11" s="224" t="n">
        <v>0</v>
      </c>
      <c r="C11" s="224" t="n">
        <v>0.5</v>
      </c>
      <c r="D11" s="224" t="n">
        <v>0</v>
      </c>
      <c r="E11" s="224" t="n">
        <v>0</v>
      </c>
      <c r="F11" s="224" t="n">
        <v>0</v>
      </c>
      <c r="G11" t="inlineStr">
        <is>
          <t>Forecast only; no historical add-back</t>
        </is>
      </c>
    </row>
    <row r="12">
      <c r="A12" t="inlineStr">
        <is>
          <t>Revenue cut-off</t>
        </is>
      </c>
      <c r="B12" s="224" t="n">
        <v>0</v>
      </c>
      <c r="C12" s="224" t="n">
        <v>0</v>
      </c>
      <c r="D12" s="224" t="n">
        <v>-0.1</v>
      </c>
      <c r="E12" s="224" t="n">
        <v>-0.1</v>
      </c>
      <c r="F12" s="224" t="n">
        <v>-0.1</v>
      </c>
      <c r="G12" t="inlineStr">
        <is>
          <t>QoE correction</t>
        </is>
      </c>
    </row>
    <row r="13">
      <c r="A13" t="inlineStr">
        <is>
          <t>Bonus accrual normalization</t>
        </is>
      </c>
      <c r="B13" s="224" t="n">
        <v>0</v>
      </c>
      <c r="C13" s="224" t="n">
        <v>0</v>
      </c>
      <c r="D13" s="224" t="n">
        <v>0.2</v>
      </c>
      <c r="E13" s="224" t="n">
        <v>0.2</v>
      </c>
      <c r="F13" s="224" t="n">
        <v>0.2</v>
      </c>
      <c r="G13" t="inlineStr">
        <is>
          <t>Approved plan support</t>
        </is>
      </c>
    </row>
    <row r="14">
      <c r="A14" t="inlineStr">
        <is>
          <t>Related-party rent normalization</t>
        </is>
      </c>
      <c r="B14" s="224" t="n">
        <v>0</v>
      </c>
      <c r="C14" s="224" t="n">
        <v>0</v>
      </c>
      <c r="D14" s="224" t="n">
        <v>0.1</v>
      </c>
      <c r="E14" s="224" t="n">
        <v>0.1</v>
      </c>
      <c r="F14" s="224" t="n">
        <v>0</v>
      </c>
      <c r="G14" t="inlineStr">
        <is>
          <t>Not recognized in covenant definition</t>
        </is>
      </c>
    </row>
    <row r="15">
      <c r="A15" t="inlineStr">
        <is>
          <t>Revenue / WIP quality reserve</t>
        </is>
      </c>
      <c r="B15" s="224" t="n">
        <v>0</v>
      </c>
      <c r="C15" s="224" t="n">
        <v>0</v>
      </c>
      <c r="D15" s="224" t="n">
        <v>0</v>
      </c>
      <c r="E15" s="224" t="n">
        <v>-0.2</v>
      </c>
      <c r="F15" s="224" t="n">
        <v>0</v>
      </c>
      <c r="G15" t="inlineStr">
        <is>
          <t>Firm conservatism</t>
        </is>
      </c>
    </row>
    <row r="16">
      <c r="A16" t="inlineStr">
        <is>
          <t>Customer / project run-rate reserve</t>
        </is>
      </c>
      <c r="B16" s="224" t="n">
        <v>0</v>
      </c>
      <c r="C16" s="224" t="n">
        <v>0</v>
      </c>
      <c r="D16" s="224" t="n">
        <v>0</v>
      </c>
      <c r="E16" s="224" t="n">
        <v>-0.15</v>
      </c>
      <c r="F16" s="224" t="n">
        <v>0</v>
      </c>
      <c r="G16" t="inlineStr">
        <is>
          <t>Firm conservatism</t>
        </is>
      </c>
    </row>
    <row r="17">
      <c r="A17" t="inlineStr">
        <is>
          <t>Incremental finance and reporting cost</t>
        </is>
      </c>
      <c r="B17" s="224" t="n">
        <v>0</v>
      </c>
      <c r="C17" s="224" t="n">
        <v>0</v>
      </c>
      <c r="D17" s="224" t="n">
        <v>0</v>
      </c>
      <c r="E17" s="224" t="n">
        <v>-0.05</v>
      </c>
      <c r="F17" s="224" t="n">
        <v>0</v>
      </c>
      <c r="G17" t="inlineStr">
        <is>
          <t>Recurring post-close cost</t>
        </is>
      </c>
    </row>
    <row r="18">
      <c r="A18" t="inlineStr">
        <is>
          <t>Procurement and software savings</t>
        </is>
      </c>
      <c r="B18" s="224" t="n">
        <v>0</v>
      </c>
      <c r="C18" s="224" t="n">
        <v>0</v>
      </c>
      <c r="D18" s="224" t="n">
        <v>0</v>
      </c>
      <c r="E18" s="224" t="n">
        <v>0</v>
      </c>
      <c r="F18" s="224" t="n">
        <v>0.15</v>
      </c>
      <c r="G18" t="inlineStr">
        <is>
          <t>Covenant-only certified saving</t>
        </is>
      </c>
    </row>
    <row r="19">
      <c r="A19" s="48" t="inlineStr">
        <is>
          <t>Adjusted EBITDA</t>
        </is>
      </c>
      <c r="B19" s="235" t="n">
        <v>10.2</v>
      </c>
      <c r="C19" s="235" t="n">
        <v>12.7</v>
      </c>
      <c r="D19" s="235" t="n">
        <v>11.9</v>
      </c>
      <c r="E19" s="235" t="n">
        <v>11.4</v>
      </c>
      <c r="F19" s="235" t="n">
        <v>12.2</v>
      </c>
      <c r="G19" s="48" t="inlineStr">
        <is>
          <t>Model amounts</t>
        </is>
      </c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4" max="4"/>
    <col width="26" customWidth="1" min="7" max="7"/>
  </cols>
  <sheetData>
    <row r="1" ht="26" customHeight="1">
      <c r="A1" s="9" t="inlineStr">
        <is>
          <t>Sources &amp; Uses, Purchase Price Bridge and Opening Balance Sheet ($mm)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 ht="20" customHeight="1">
      <c r="A3" s="39" t="inlineStr">
        <is>
          <t>Purchase Price Bridge</t>
        </is>
      </c>
      <c r="B3" s="1" t="n"/>
      <c r="C3" s="1" t="n"/>
      <c r="D3" s="1" t="n"/>
      <c r="E3" s="39" t="inlineStr">
        <is>
          <t>Gross Sources and Uses</t>
        </is>
      </c>
      <c r="F3" s="1" t="n"/>
      <c r="G3" s="1" t="n"/>
      <c r="H3" s="1" t="n"/>
    </row>
    <row r="4">
      <c r="A4" t="inlineStr">
        <is>
          <t>Enterprise value</t>
        </is>
      </c>
      <c r="B4" s="224" t="n">
        <v>108</v>
      </c>
      <c r="E4" s="15" t="inlineStr">
        <is>
          <t>Sources</t>
        </is>
      </c>
      <c r="F4" s="15" t="inlineStr">
        <is>
          <t>Amount</t>
        </is>
      </c>
      <c r="G4" s="15" t="inlineStr">
        <is>
          <t>Uses</t>
        </is>
      </c>
      <c r="H4" s="15" t="inlineStr">
        <is>
          <t>Amount</t>
        </is>
      </c>
    </row>
    <row r="5">
      <c r="A5" t="inlineStr">
        <is>
          <t>Less: seller net debt and debt-like items</t>
        </is>
      </c>
      <c r="B5" s="224" t="n">
        <v>-10.2</v>
      </c>
      <c r="E5" t="inlineStr">
        <is>
          <t>First-lien term loan</t>
        </is>
      </c>
      <c r="F5" s="224" t="n">
        <v>42.8</v>
      </c>
      <c r="G5" t="inlineStr">
        <is>
          <t>Seller equity purchase price</t>
        </is>
      </c>
      <c r="H5" s="224" t="n">
        <v>97.8</v>
      </c>
    </row>
    <row r="6">
      <c r="A6" s="48" t="inlineStr">
        <is>
          <t>Seller equity value</t>
        </is>
      </c>
      <c r="B6" s="236" t="n">
        <v>97.8</v>
      </c>
      <c r="E6" t="inlineStr">
        <is>
          <t>Sponsor cash equity</t>
        </is>
      </c>
      <c r="F6" s="224" t="n">
        <v>62</v>
      </c>
      <c r="G6" t="inlineStr">
        <is>
          <t>Debt and debt-like settlement</t>
        </is>
      </c>
      <c r="H6" s="224" t="n">
        <v>14.4</v>
      </c>
    </row>
    <row r="7">
      <c r="A7" t="inlineStr">
        <is>
          <t>Less: seller rollover</t>
        </is>
      </c>
      <c r="B7" s="224" t="n">
        <v>-12</v>
      </c>
      <c r="E7" t="inlineStr">
        <is>
          <t>Seller rollover equity</t>
        </is>
      </c>
      <c r="F7" s="224" t="n">
        <v>12</v>
      </c>
      <c r="G7" t="inlineStr">
        <is>
          <t>Buyer transaction expenses</t>
        </is>
      </c>
      <c r="H7" s="224" t="n">
        <v>4.4</v>
      </c>
    </row>
    <row r="8">
      <c r="A8" s="48" t="inlineStr">
        <is>
          <t>Cash consideration</t>
        </is>
      </c>
      <c r="B8" s="236" t="n">
        <v>85.8</v>
      </c>
      <c r="E8" t="inlineStr">
        <is>
          <t>Acquired cash</t>
        </is>
      </c>
      <c r="F8" s="224" t="n">
        <v>4.2</v>
      </c>
      <c r="G8" t="inlineStr">
        <is>
          <t>Financing fees and OID</t>
        </is>
      </c>
      <c r="H8" s="224" t="n">
        <v>1.4</v>
      </c>
    </row>
    <row r="9">
      <c r="E9" s="48" t="inlineStr">
        <is>
          <t>Total sources</t>
        </is>
      </c>
      <c r="F9" s="235" t="n">
        <v>121</v>
      </c>
      <c r="G9" t="inlineStr">
        <is>
          <t>Opening cash</t>
        </is>
      </c>
      <c r="H9" s="224" t="n">
        <v>3</v>
      </c>
    </row>
    <row r="10">
      <c r="G10" s="48" t="inlineStr">
        <is>
          <t>Total uses</t>
        </is>
      </c>
      <c r="H10" s="235" t="n">
        <v>121</v>
      </c>
    </row>
    <row r="11">
      <c r="E11" t="inlineStr">
        <is>
          <t>S&amp;U check</t>
        </is>
      </c>
      <c r="F11" s="237" t="n">
        <v>0</v>
      </c>
    </row>
    <row r="12"/>
    <row r="13" ht="20" customHeight="1">
      <c r="A13" s="39" t="inlineStr">
        <is>
          <t>Opening Pro Forma Balance Sheet - March 31, 2026</t>
        </is>
      </c>
      <c r="B13" s="1" t="n"/>
      <c r="C13" s="1" t="n"/>
      <c r="D13" s="1" t="n"/>
      <c r="E13" s="1" t="n"/>
      <c r="F13" s="1" t="n"/>
      <c r="G13" s="1" t="n"/>
      <c r="H13" s="1" t="n"/>
    </row>
    <row r="14">
      <c r="A14" s="15" t="inlineStr">
        <is>
          <t>Assets</t>
        </is>
      </c>
      <c r="B14" s="15" t="inlineStr">
        <is>
          <t>Amount</t>
        </is>
      </c>
      <c r="C14" s="15" t="str"/>
      <c r="D14" s="15" t="inlineStr">
        <is>
          <t>Liabilities and Equity</t>
        </is>
      </c>
      <c r="E14" s="15" t="inlineStr">
        <is>
          <t>Amount</t>
        </is>
      </c>
      <c r="F14" s="15" t="str"/>
      <c r="G14" s="15" t="inlineStr">
        <is>
          <t>Source</t>
        </is>
      </c>
      <c r="H14" s="15" t="str"/>
    </row>
    <row r="15">
      <c r="A15" t="inlineStr">
        <is>
          <t>Cash</t>
        </is>
      </c>
      <c r="B15" s="224" t="n">
        <v>3</v>
      </c>
      <c r="D15" t="inlineStr">
        <is>
          <t>Accounts payable</t>
        </is>
      </c>
      <c r="E15" s="224" t="n">
        <v>4.1</v>
      </c>
      <c r="G15" t="inlineStr">
        <is>
          <t>KS-DL-1.2 / PPA</t>
        </is>
      </c>
    </row>
    <row r="16">
      <c r="A16" t="inlineStr">
        <is>
          <t>Accounts receivable</t>
        </is>
      </c>
      <c r="B16" s="224" t="n">
        <v>13.2</v>
      </c>
      <c r="D16" t="inlineStr">
        <is>
          <t>Accrued liabilities</t>
        </is>
      </c>
      <c r="E16" s="224" t="n">
        <v>5.6</v>
      </c>
      <c r="G16" t="inlineStr">
        <is>
          <t>KS-DL-1.2 / PPA</t>
        </is>
      </c>
    </row>
    <row r="17">
      <c r="A17" t="inlineStr">
        <is>
          <t>Unbilled WIP</t>
        </is>
      </c>
      <c r="B17" s="224" t="n">
        <v>4.9</v>
      </c>
      <c r="D17" t="inlineStr">
        <is>
          <t>Deferred revenue</t>
        </is>
      </c>
      <c r="E17" s="224" t="n">
        <v>0.9</v>
      </c>
      <c r="G17" t="inlineStr">
        <is>
          <t>KS-DL-1.2 / PPA</t>
        </is>
      </c>
    </row>
    <row r="18">
      <c r="A18" t="inlineStr">
        <is>
          <t>Prepaids</t>
        </is>
      </c>
      <c r="B18" s="224" t="n">
        <v>0.9</v>
      </c>
      <c r="D18" t="inlineStr">
        <is>
          <t>Term loan</t>
        </is>
      </c>
      <c r="E18" s="224" t="n">
        <v>42.8</v>
      </c>
      <c r="G18" t="inlineStr">
        <is>
          <t>KS-DL-1.2 / PPA</t>
        </is>
      </c>
    </row>
    <row r="19">
      <c r="A19" t="inlineStr">
        <is>
          <t>PP&amp;E, net</t>
        </is>
      </c>
      <c r="B19" s="224" t="n">
        <v>3.4</v>
      </c>
      <c r="D19" t="inlineStr">
        <is>
          <t>Deferred tax liability</t>
        </is>
      </c>
      <c r="E19" s="224" t="n">
        <v>8.5</v>
      </c>
      <c r="G19" t="inlineStr">
        <is>
          <t>KS-DL-1.2 / PPA</t>
        </is>
      </c>
    </row>
    <row r="20">
      <c r="A20" t="inlineStr">
        <is>
          <t>Goodwill</t>
        </is>
      </c>
      <c r="B20" s="224" t="n">
        <v>71</v>
      </c>
      <c r="D20" t="inlineStr">
        <is>
          <t>Other liabilities</t>
        </is>
      </c>
      <c r="E20" s="224" t="n">
        <v>1.6</v>
      </c>
      <c r="G20" t="inlineStr">
        <is>
          <t>KS-DL-1.2 / PPA</t>
        </is>
      </c>
    </row>
    <row r="21">
      <c r="A21" t="inlineStr">
        <is>
          <t>Customer relationships</t>
        </is>
      </c>
      <c r="B21" s="224" t="n">
        <v>28</v>
      </c>
      <c r="D21" t="inlineStr">
        <is>
          <t>Equity</t>
        </is>
      </c>
      <c r="E21" s="224" t="n">
        <v>69.59999999999999</v>
      </c>
      <c r="G21" t="inlineStr">
        <is>
          <t>KS-DL-1.2 / PPA</t>
        </is>
      </c>
    </row>
    <row r="22">
      <c r="A22" t="inlineStr">
        <is>
          <t>Trade name</t>
        </is>
      </c>
      <c r="B22" s="224" t="n">
        <v>5</v>
      </c>
      <c r="E22" s="224" t="n"/>
      <c r="G22" t="inlineStr">
        <is>
          <t>KS-DL-1.2 / PPA</t>
        </is>
      </c>
    </row>
    <row r="23">
      <c r="A23" t="inlineStr">
        <is>
          <t>Non-compete</t>
        </is>
      </c>
      <c r="B23" s="224" t="n">
        <v>1</v>
      </c>
      <c r="E23" s="224" t="n"/>
      <c r="G23" t="inlineStr">
        <is>
          <t>KS-DL-1.2 / PPA</t>
        </is>
      </c>
    </row>
    <row r="24">
      <c r="A24" t="inlineStr">
        <is>
          <t>Deferred financing fees</t>
        </is>
      </c>
      <c r="B24" s="224" t="n">
        <v>1.4</v>
      </c>
      <c r="E24" s="224" t="n"/>
      <c r="G24" t="inlineStr">
        <is>
          <t>KS-DL-1.2 / PPA</t>
        </is>
      </c>
    </row>
    <row r="25">
      <c r="A25" t="inlineStr">
        <is>
          <t>Other assets</t>
        </is>
      </c>
      <c r="B25" s="224" t="n">
        <v>1.3</v>
      </c>
      <c r="E25" s="224" t="n"/>
      <c r="G25" t="inlineStr">
        <is>
          <t>KS-DL-1.2 / PPA</t>
        </is>
      </c>
    </row>
    <row r="26">
      <c r="A26" s="48" t="inlineStr">
        <is>
          <t>Total assets</t>
        </is>
      </c>
      <c r="B26" s="235" t="n">
        <v>133.1</v>
      </c>
      <c r="C26" s="233" t="n"/>
      <c r="D26" s="235" t="inlineStr">
        <is>
          <t>Total liabilities &amp; equity</t>
        </is>
      </c>
      <c r="E26" s="235" t="n">
        <v>133.1</v>
      </c>
    </row>
    <row r="27">
      <c r="A27" t="inlineStr">
        <is>
          <t>Balance sheet check</t>
        </is>
      </c>
      <c r="B27" s="237" t="n">
        <v>0</v>
      </c>
    </row>
  </sheetData>
  <mergeCells count="4">
    <mergeCell ref="E3:H3"/>
    <mergeCell ref="A13:H13"/>
    <mergeCell ref="A3:D3"/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8" customWidth="1" min="6" max="6"/>
  </cols>
  <sheetData>
    <row r="1" ht="26" customHeight="1">
      <c r="A1" s="9" t="inlineStr">
        <is>
          <t>Purchase Accounting and Intangible Amortization ($mm)</t>
        </is>
      </c>
      <c r="B1" s="1" t="n"/>
      <c r="C1" s="1" t="n"/>
      <c r="D1" s="1" t="n"/>
      <c r="E1" s="1" t="n"/>
      <c r="F1" s="1" t="n"/>
    </row>
    <row r="2"/>
    <row r="3">
      <c r="A3" s="15" t="inlineStr">
        <is>
          <t>Allocation Item</t>
        </is>
      </c>
      <c r="B3" s="15" t="inlineStr">
        <is>
          <t>Fair Value</t>
        </is>
      </c>
      <c r="C3" s="15" t="inlineStr">
        <is>
          <t>Useful Life</t>
        </is>
      </c>
      <c r="D3" s="15" t="inlineStr">
        <is>
          <t>Annual Amortization</t>
        </is>
      </c>
      <c r="E3" s="15" t="inlineStr">
        <is>
          <t>Tax Basis</t>
        </is>
      </c>
      <c r="F3" s="15" t="inlineStr">
        <is>
          <t>Source / Assumption</t>
        </is>
      </c>
    </row>
    <row r="4">
      <c r="A4" t="inlineStr">
        <is>
          <t>Normalized net working capital</t>
        </is>
      </c>
      <c r="B4" s="224" t="n">
        <v>8.4</v>
      </c>
      <c r="C4" s="22" t="inlineStr">
        <is>
          <t>N/A</t>
        </is>
      </c>
      <c r="D4" s="224" t="n">
        <v>0</v>
      </c>
      <c r="E4" s="22" t="inlineStr">
        <is>
          <t>Carryover</t>
        </is>
      </c>
      <c r="F4" t="inlineStr">
        <is>
          <t>KS-DL-1.2</t>
        </is>
      </c>
    </row>
    <row r="5">
      <c r="A5" t="inlineStr">
        <is>
          <t>PP&amp;E</t>
        </is>
      </c>
      <c r="B5" s="224" t="n">
        <v>3.4</v>
      </c>
      <c r="C5" s="22" t="inlineStr">
        <is>
          <t>5 years</t>
        </is>
      </c>
      <c r="D5" s="224" t="n">
        <v>0.68</v>
      </c>
      <c r="E5" s="22" t="inlineStr">
        <is>
          <t>Carryover</t>
        </is>
      </c>
      <c r="F5" t="inlineStr">
        <is>
          <t>KS-DL-1.2 / model</t>
        </is>
      </c>
    </row>
    <row r="6">
      <c r="A6" t="inlineStr">
        <is>
          <t>Other net operating assets</t>
        </is>
      </c>
      <c r="B6" s="224" t="n">
        <v>-0.3</v>
      </c>
      <c r="C6" s="22" t="inlineStr">
        <is>
          <t>N/A</t>
        </is>
      </c>
      <c r="D6" s="224" t="n">
        <v>0</v>
      </c>
      <c r="E6" s="22" t="inlineStr">
        <is>
          <t>Carryover</t>
        </is>
      </c>
      <c r="F6" t="inlineStr">
        <is>
          <t>Model completion assumption</t>
        </is>
      </c>
    </row>
    <row r="7">
      <c r="A7" t="inlineStr">
        <is>
          <t>Customer relationships</t>
        </is>
      </c>
      <c r="B7" s="224" t="n">
        <v>28</v>
      </c>
      <c r="C7" s="22" t="inlineStr">
        <is>
          <t>10 years</t>
        </is>
      </c>
      <c r="D7" s="224" t="n">
        <v>2.8</v>
      </c>
      <c r="E7" s="22" t="inlineStr">
        <is>
          <t>No step-up</t>
        </is>
      </c>
      <c r="F7" t="inlineStr">
        <is>
          <t>KS-MA-PPA-001</t>
        </is>
      </c>
    </row>
    <row r="8">
      <c r="A8" t="inlineStr">
        <is>
          <t>Trade name</t>
        </is>
      </c>
      <c r="B8" s="224" t="n">
        <v>5</v>
      </c>
      <c r="C8" s="22" t="inlineStr">
        <is>
          <t>Indefinite</t>
        </is>
      </c>
      <c r="D8" s="224" t="n">
        <v>0</v>
      </c>
      <c r="E8" s="22" t="inlineStr">
        <is>
          <t>No step-up</t>
        </is>
      </c>
      <c r="F8" t="inlineStr">
        <is>
          <t>KS-MA-PPA-002</t>
        </is>
      </c>
    </row>
    <row r="9">
      <c r="A9" t="inlineStr">
        <is>
          <t>Non-compete</t>
        </is>
      </c>
      <c r="B9" s="224" t="n">
        <v>1</v>
      </c>
      <c r="C9" s="22" t="inlineStr">
        <is>
          <t>5 years</t>
        </is>
      </c>
      <c r="D9" s="224" t="n">
        <v>0.2</v>
      </c>
      <c r="E9" s="22" t="inlineStr">
        <is>
          <t>No step-up</t>
        </is>
      </c>
      <c r="F9" t="inlineStr">
        <is>
          <t>KS-MA-PPA-003</t>
        </is>
      </c>
    </row>
    <row r="10">
      <c r="A10" t="inlineStr">
        <is>
          <t>Deferred tax liability</t>
        </is>
      </c>
      <c r="B10" s="224" t="n">
        <v>-8.5</v>
      </c>
      <c r="C10" s="22" t="inlineStr">
        <is>
          <t>N/A</t>
        </is>
      </c>
      <c r="D10" s="224" t="n">
        <v>0</v>
      </c>
      <c r="E10" s="22" t="inlineStr">
        <is>
          <t>N/A</t>
        </is>
      </c>
      <c r="F10" t="inlineStr">
        <is>
          <t>26% of non-tax-deductible intangibles</t>
        </is>
      </c>
    </row>
    <row r="11">
      <c r="A11" t="inlineStr">
        <is>
          <t>Goodwill</t>
        </is>
      </c>
      <c r="B11" s="224" t="n">
        <v>71</v>
      </c>
      <c r="C11" s="22" t="inlineStr">
        <is>
          <t>Indefinite</t>
        </is>
      </c>
      <c r="D11" s="224" t="n">
        <v>0</v>
      </c>
      <c r="E11" s="22" t="inlineStr">
        <is>
          <t>No step-up</t>
        </is>
      </c>
      <c r="F11" t="inlineStr">
        <is>
          <t>Residual</t>
        </is>
      </c>
    </row>
    <row r="12">
      <c r="A12" s="48" t="inlineStr">
        <is>
          <t>Enterprise value</t>
        </is>
      </c>
      <c r="B12" s="236" t="n">
        <v>108</v>
      </c>
      <c r="C12" s="74" t="str"/>
      <c r="D12" s="236" t="n">
        <v>3</v>
      </c>
      <c r="E12" s="74" t="str"/>
      <c r="F12" s="48" t="inlineStr">
        <is>
          <t>Check</t>
        </is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0" customWidth="1" min="8" max="8"/>
  </cols>
  <sheetData>
    <row r="1" ht="26" customHeight="1">
      <c r="A1" s="9" t="inlineStr">
        <is>
          <t>Seller Operating Model - Updated January 2026 Financial Supplement ($mm)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>
      <c r="A3" s="15" t="inlineStr">
        <is>
          <t>Line Item</t>
        </is>
      </c>
      <c r="B3" s="15" t="inlineStr">
        <is>
          <t>FY2025A</t>
        </is>
      </c>
      <c r="C3" s="15" t="inlineStr">
        <is>
          <t>FY2026E</t>
        </is>
      </c>
      <c r="D3" s="15" t="inlineStr">
        <is>
          <t>FY2027E</t>
        </is>
      </c>
      <c r="E3" s="15" t="inlineStr">
        <is>
          <t>FY2028E</t>
        </is>
      </c>
      <c r="F3" s="15" t="inlineStr">
        <is>
          <t>FY2029E</t>
        </is>
      </c>
      <c r="G3" s="15" t="inlineStr">
        <is>
          <t>FY2030E</t>
        </is>
      </c>
      <c r="H3" s="15" t="inlineStr">
        <is>
          <t>Source</t>
        </is>
      </c>
    </row>
    <row r="4">
      <c r="A4" t="inlineStr">
        <is>
          <t>Revenue</t>
        </is>
      </c>
      <c r="B4" s="224" t="n">
        <v>74</v>
      </c>
      <c r="C4" s="224" t="n">
        <v>82.09999999999999</v>
      </c>
      <c r="D4" s="224" t="n">
        <v>90.7</v>
      </c>
      <c r="E4" s="224" t="n">
        <v>100.1</v>
      </c>
      <c r="F4" s="224" t="n">
        <v>110</v>
      </c>
      <c r="G4" s="224" t="n">
        <v>120.4</v>
      </c>
      <c r="H4" t="inlineStr">
        <is>
          <t>CIM supplement</t>
        </is>
      </c>
    </row>
    <row r="5">
      <c r="A5" t="inlineStr">
        <is>
          <t>Growth</t>
        </is>
      </c>
      <c r="B5" s="225" t="n">
        <v>0.131</v>
      </c>
      <c r="C5" s="225" t="n">
        <v>0.109</v>
      </c>
      <c r="D5" s="225" t="n">
        <v>0.105</v>
      </c>
      <c r="E5" s="225" t="n">
        <v>0.104</v>
      </c>
      <c r="F5" s="225" t="n">
        <v>0.099</v>
      </c>
      <c r="G5" s="225" t="n">
        <v>0.095</v>
      </c>
      <c r="H5" t="inlineStr">
        <is>
          <t>Management forecast</t>
        </is>
      </c>
    </row>
    <row r="6">
      <c r="A6" t="inlineStr">
        <is>
          <t>Management-adjusted EBITDA</t>
        </is>
      </c>
      <c r="B6" s="224" t="n">
        <v>12.7</v>
      </c>
      <c r="C6" s="224" t="n">
        <v>15</v>
      </c>
      <c r="D6" s="224" t="n">
        <v>16.9</v>
      </c>
      <c r="E6" s="224" t="n">
        <v>18.9</v>
      </c>
      <c r="F6" s="224" t="n">
        <v>21.1</v>
      </c>
      <c r="G6" s="224" t="n">
        <v>23.5</v>
      </c>
      <c r="H6" t="inlineStr">
        <is>
          <t>Seller-defined EBITDA</t>
        </is>
      </c>
    </row>
    <row r="7">
      <c r="A7" t="inlineStr">
        <is>
          <t>EBITDA margin</t>
        </is>
      </c>
      <c r="B7" s="225" t="n">
        <v>0.172</v>
      </c>
      <c r="C7" s="225" t="n">
        <v>0.183</v>
      </c>
      <c r="D7" s="225" t="n">
        <v>0.186</v>
      </c>
      <c r="E7" s="225" t="n">
        <v>0.189</v>
      </c>
      <c r="F7" s="225" t="n">
        <v>0.192</v>
      </c>
      <c r="G7" s="225" t="n">
        <v>0.195</v>
      </c>
      <c r="H7" t="inlineStr">
        <is>
          <t>Management forecast</t>
        </is>
      </c>
    </row>
    <row r="8">
      <c r="A8" t="inlineStr">
        <is>
          <t>Capital expenditure</t>
        </is>
      </c>
      <c r="B8" s="224" t="n">
        <v>1.2</v>
      </c>
      <c r="C8" s="224" t="n">
        <v>1.3</v>
      </c>
      <c r="D8" s="224" t="n">
        <v>1.5</v>
      </c>
      <c r="E8" s="224" t="n">
        <v>1.6</v>
      </c>
      <c r="F8" s="224" t="n">
        <v>1.8</v>
      </c>
      <c r="G8" s="224" t="n">
        <v>1.9</v>
      </c>
      <c r="H8" t="inlineStr">
        <is>
          <t>Management forecast</t>
        </is>
      </c>
    </row>
    <row r="9">
      <c r="A9" t="inlineStr">
        <is>
          <t>Capex / revenue</t>
        </is>
      </c>
      <c r="B9" s="225" t="n">
        <v>0.016</v>
      </c>
      <c r="C9" s="225" t="n">
        <v>0.016</v>
      </c>
      <c r="D9" s="225" t="n">
        <v>0.016</v>
      </c>
      <c r="E9" s="225" t="n">
        <v>0.016</v>
      </c>
      <c r="F9" s="225" t="n">
        <v>0.016</v>
      </c>
      <c r="G9" s="225" t="n">
        <v>0.016</v>
      </c>
      <c r="H9" t="inlineStr">
        <is>
          <t>Management forecast</t>
        </is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7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26" customHeight="1">
      <c r="A1" s="9" t="inlineStr">
        <is>
          <t>Quarterly Scenario Drivers and Transaction Events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/>
    <row r="3">
      <c r="A3" s="15" t="inlineStr">
        <is>
          <t>Driver</t>
        </is>
      </c>
      <c r="B3" s="15" t="inlineStr">
        <is>
          <t>Unit</t>
        </is>
      </c>
      <c r="C3" s="231" t="n">
        <v>46203</v>
      </c>
      <c r="D3" s="231" t="n">
        <v>46295</v>
      </c>
      <c r="E3" s="231" t="n">
        <v>46387</v>
      </c>
      <c r="F3" s="231" t="n">
        <v>46477</v>
      </c>
      <c r="G3" s="231" t="n">
        <v>46568</v>
      </c>
      <c r="H3" s="231" t="n">
        <v>46660</v>
      </c>
      <c r="I3" s="231" t="n">
        <v>46752</v>
      </c>
      <c r="J3" s="231" t="n">
        <v>46843</v>
      </c>
      <c r="K3" s="231" t="n">
        <v>46934</v>
      </c>
      <c r="L3" s="231" t="n">
        <v>47026</v>
      </c>
      <c r="M3" s="231" t="n">
        <v>47118</v>
      </c>
      <c r="N3" s="231" t="n">
        <v>47208</v>
      </c>
      <c r="O3" s="231" t="n">
        <v>47299</v>
      </c>
      <c r="P3" s="231" t="n">
        <v>47391</v>
      </c>
      <c r="Q3" s="231" t="n">
        <v>47483</v>
      </c>
      <c r="R3" s="231" t="n">
        <v>47573</v>
      </c>
      <c r="S3" s="231" t="n">
        <v>47664</v>
      </c>
      <c r="T3" s="231" t="n">
        <v>47756</v>
      </c>
      <c r="U3" s="231" t="n">
        <v>47848</v>
      </c>
      <c r="V3" s="231" t="n">
        <v>47938</v>
      </c>
    </row>
    <row r="4" ht="20" customHeight="1">
      <c r="A4" s="39" t="inlineStr">
        <is>
          <t>Standalone Base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t="inlineStr">
        <is>
          <t>Revenue</t>
        </is>
      </c>
      <c r="B5" t="inlineStr">
        <is>
          <t>$mm</t>
        </is>
      </c>
      <c r="C5" s="224" t="n">
        <v>19.795</v>
      </c>
      <c r="D5" s="224" t="n">
        <v>20.5868</v>
      </c>
      <c r="E5" s="224" t="n">
        <v>20.5868</v>
      </c>
      <c r="F5" s="224" t="n">
        <v>19.48619800000001</v>
      </c>
      <c r="G5" s="224" t="n">
        <v>21.18065</v>
      </c>
      <c r="H5" s="224" t="n">
        <v>22.027876</v>
      </c>
      <c r="I5" s="224" t="n">
        <v>22.027876</v>
      </c>
      <c r="J5" s="224" t="n">
        <v>20.85023186</v>
      </c>
      <c r="K5" s="224" t="n">
        <v>22.6632955</v>
      </c>
      <c r="L5" s="224" t="n">
        <v>23.56982732000001</v>
      </c>
      <c r="M5" s="224" t="n">
        <v>23.56982732000001</v>
      </c>
      <c r="N5" s="224" t="n">
        <v>22.30974809020001</v>
      </c>
      <c r="O5" s="224" t="n">
        <v>24.24972618500001</v>
      </c>
      <c r="P5" s="224" t="n">
        <v>25.21971523240001</v>
      </c>
      <c r="Q5" s="224" t="n">
        <v>25.21971523240001</v>
      </c>
      <c r="R5" s="224" t="n">
        <v>23.87143045651401</v>
      </c>
      <c r="S5" s="224" t="n">
        <v>25.94720701795001</v>
      </c>
      <c r="T5" s="224" t="n">
        <v>26.98509529866801</v>
      </c>
      <c r="U5" s="224" t="n">
        <v>26.98509529866801</v>
      </c>
      <c r="V5" s="224" t="n">
        <v>25.54243058846999</v>
      </c>
    </row>
    <row r="6">
      <c r="A6" t="inlineStr">
        <is>
          <t>Gross margin</t>
        </is>
      </c>
      <c r="B6" t="inlineStr">
        <is>
          <t>%</t>
        </is>
      </c>
      <c r="C6" s="225" t="n">
        <v>0.362</v>
      </c>
      <c r="D6" s="225" t="n">
        <v>0.362</v>
      </c>
      <c r="E6" s="225" t="n">
        <v>0.362</v>
      </c>
      <c r="F6" s="225" t="n">
        <v>0.365</v>
      </c>
      <c r="G6" s="225" t="n">
        <v>0.365</v>
      </c>
      <c r="H6" s="225" t="n">
        <v>0.365</v>
      </c>
      <c r="I6" s="225" t="n">
        <v>0.365</v>
      </c>
      <c r="J6" s="225" t="n">
        <v>0.368</v>
      </c>
      <c r="K6" s="225" t="n">
        <v>0.368</v>
      </c>
      <c r="L6" s="225" t="n">
        <v>0.368</v>
      </c>
      <c r="M6" s="225" t="n">
        <v>0.368</v>
      </c>
      <c r="N6" s="225" t="n">
        <v>0.3710000000000001</v>
      </c>
      <c r="O6" s="225" t="n">
        <v>0.371</v>
      </c>
      <c r="P6" s="225" t="n">
        <v>0.371</v>
      </c>
      <c r="Q6" s="225" t="n">
        <v>0.371</v>
      </c>
      <c r="R6" s="225" t="n">
        <v>0.374</v>
      </c>
      <c r="S6" s="225" t="n">
        <v>0.374</v>
      </c>
      <c r="T6" s="225" t="n">
        <v>0.374</v>
      </c>
      <c r="U6" s="225" t="n">
        <v>0.374</v>
      </c>
      <c r="V6" s="225" t="n">
        <v>0.377</v>
      </c>
    </row>
    <row r="7">
      <c r="A7" t="inlineStr">
        <is>
          <t>Firm EBITDA</t>
        </is>
      </c>
      <c r="B7" t="inlineStr">
        <is>
          <t>$mm</t>
        </is>
      </c>
      <c r="C7" s="224" t="n">
        <v>3.08802</v>
      </c>
      <c r="D7" s="224" t="n">
        <v>3.211540800000001</v>
      </c>
      <c r="E7" s="224" t="n">
        <v>3.211540800000001</v>
      </c>
      <c r="F7" s="224" t="n">
        <v>3.137277878000001</v>
      </c>
      <c r="G7" s="224" t="n">
        <v>3.410084650000001</v>
      </c>
      <c r="H7" s="224" t="n">
        <v>3.546488036</v>
      </c>
      <c r="I7" s="224" t="n">
        <v>3.546488036</v>
      </c>
      <c r="J7" s="224" t="n">
        <v>3.440288256900001</v>
      </c>
      <c r="K7" s="224" t="n">
        <v>3.739443757500001</v>
      </c>
      <c r="L7" s="224" t="n">
        <v>3.889021507800001</v>
      </c>
      <c r="M7" s="224" t="n">
        <v>3.889021507800001</v>
      </c>
      <c r="N7" s="224" t="n">
        <v>3.770347427243801</v>
      </c>
      <c r="O7" s="224" t="n">
        <v>4.098203725265002</v>
      </c>
      <c r="P7" s="224" t="n">
        <v>4.262131874275602</v>
      </c>
      <c r="Q7" s="224" t="n">
        <v>4.262131874275602</v>
      </c>
      <c r="R7" s="224" t="n">
        <v>4.129757468976924</v>
      </c>
      <c r="S7" s="224" t="n">
        <v>4.488866814105352</v>
      </c>
      <c r="T7" s="224" t="n">
        <v>4.668421486669565</v>
      </c>
      <c r="U7" s="224" t="n">
        <v>4.668421486669565</v>
      </c>
      <c r="V7" s="224" t="n">
        <v>4.521010214159189</v>
      </c>
    </row>
    <row r="8">
      <c r="A8" t="inlineStr">
        <is>
          <t>One-time charges</t>
        </is>
      </c>
      <c r="B8" t="inlineStr">
        <is>
          <t>$mm</t>
        </is>
      </c>
      <c r="C8" s="224" t="n">
        <v>0</v>
      </c>
      <c r="D8" s="224" t="n">
        <v>0</v>
      </c>
      <c r="E8" s="224" t="n">
        <v>0</v>
      </c>
      <c r="F8" s="224" t="n">
        <v>0</v>
      </c>
      <c r="G8" s="224" t="n">
        <v>0</v>
      </c>
      <c r="H8" s="224" t="n">
        <v>0</v>
      </c>
      <c r="I8" s="224" t="n">
        <v>0</v>
      </c>
      <c r="J8" s="224" t="n">
        <v>0</v>
      </c>
      <c r="K8" s="224" t="n">
        <v>0</v>
      </c>
      <c r="L8" s="224" t="n">
        <v>0</v>
      </c>
      <c r="M8" s="224" t="n">
        <v>0</v>
      </c>
      <c r="N8" s="224" t="n">
        <v>0</v>
      </c>
      <c r="O8" s="224" t="n">
        <v>0</v>
      </c>
      <c r="P8" s="224" t="n">
        <v>0</v>
      </c>
      <c r="Q8" s="224" t="n">
        <v>0</v>
      </c>
      <c r="R8" s="224" t="n">
        <v>0</v>
      </c>
      <c r="S8" s="224" t="n">
        <v>0</v>
      </c>
      <c r="T8" s="224" t="n">
        <v>0</v>
      </c>
      <c r="U8" s="224" t="n">
        <v>0</v>
      </c>
      <c r="V8" s="224" t="n">
        <v>0</v>
      </c>
    </row>
    <row r="9">
      <c r="A9" t="inlineStr">
        <is>
          <t>Covenant add-backs</t>
        </is>
      </c>
      <c r="B9" t="inlineStr">
        <is>
          <t>$mm</t>
        </is>
      </c>
      <c r="C9" s="224" t="n">
        <v>0</v>
      </c>
      <c r="D9" s="224" t="n">
        <v>0</v>
      </c>
      <c r="E9" s="224" t="n">
        <v>0</v>
      </c>
      <c r="F9" s="224" t="n">
        <v>0</v>
      </c>
      <c r="G9" s="224" t="n">
        <v>0</v>
      </c>
      <c r="H9" s="224" t="n">
        <v>0</v>
      </c>
      <c r="I9" s="224" t="n">
        <v>0</v>
      </c>
      <c r="J9" s="224" t="n">
        <v>0</v>
      </c>
      <c r="K9" s="224" t="n">
        <v>0</v>
      </c>
      <c r="L9" s="224" t="n">
        <v>0</v>
      </c>
      <c r="M9" s="224" t="n">
        <v>0</v>
      </c>
      <c r="N9" s="224" t="n">
        <v>0</v>
      </c>
      <c r="O9" s="224" t="n">
        <v>0</v>
      </c>
      <c r="P9" s="224" t="n">
        <v>0</v>
      </c>
      <c r="Q9" s="224" t="n">
        <v>0</v>
      </c>
      <c r="R9" s="224" t="n">
        <v>0</v>
      </c>
      <c r="S9" s="224" t="n">
        <v>0</v>
      </c>
      <c r="T9" s="224" t="n">
        <v>0</v>
      </c>
      <c r="U9" s="224" t="n">
        <v>0</v>
      </c>
      <c r="V9" s="224" t="n">
        <v>0</v>
      </c>
    </row>
    <row r="10">
      <c r="A10" t="inlineStr">
        <is>
          <t>DSO</t>
        </is>
      </c>
      <c r="B10" t="inlineStr">
        <is>
          <t>days</t>
        </is>
      </c>
      <c r="C10" s="227" t="n">
        <v>64</v>
      </c>
      <c r="D10" s="227" t="n">
        <v>64</v>
      </c>
      <c r="E10" s="227" t="n">
        <v>64</v>
      </c>
      <c r="F10" s="227" t="n">
        <v>63</v>
      </c>
      <c r="G10" s="227" t="n">
        <v>63</v>
      </c>
      <c r="H10" s="227" t="n">
        <v>63</v>
      </c>
      <c r="I10" s="227" t="n">
        <v>63</v>
      </c>
      <c r="J10" s="227" t="n">
        <v>62</v>
      </c>
      <c r="K10" s="227" t="n">
        <v>62</v>
      </c>
      <c r="L10" s="227" t="n">
        <v>62</v>
      </c>
      <c r="M10" s="227" t="n">
        <v>62</v>
      </c>
      <c r="N10" s="227" t="n">
        <v>61</v>
      </c>
      <c r="O10" s="227" t="n">
        <v>61</v>
      </c>
      <c r="P10" s="227" t="n">
        <v>61</v>
      </c>
      <c r="Q10" s="227" t="n">
        <v>61</v>
      </c>
      <c r="R10" s="227" t="n">
        <v>60</v>
      </c>
      <c r="S10" s="227" t="n">
        <v>60</v>
      </c>
      <c r="T10" s="227" t="n">
        <v>60</v>
      </c>
      <c r="U10" s="227" t="n">
        <v>60</v>
      </c>
      <c r="V10" s="227" t="n">
        <v>60</v>
      </c>
    </row>
    <row r="11">
      <c r="A11" t="inlineStr">
        <is>
          <t>WIP / annualized revenue</t>
        </is>
      </c>
      <c r="B11" t="inlineStr">
        <is>
          <t>%</t>
        </is>
      </c>
      <c r="C11" s="225" t="n">
        <v>0.067</v>
      </c>
      <c r="D11" s="225" t="n">
        <v>0.067</v>
      </c>
      <c r="E11" s="225" t="n">
        <v>0.067</v>
      </c>
      <c r="F11" s="225" t="n">
        <v>0.065</v>
      </c>
      <c r="G11" s="225" t="n">
        <v>0.065</v>
      </c>
      <c r="H11" s="225" t="n">
        <v>0.065</v>
      </c>
      <c r="I11" s="225" t="n">
        <v>0.065</v>
      </c>
      <c r="J11" s="225" t="n">
        <v>0.063</v>
      </c>
      <c r="K11" s="225" t="n">
        <v>0.063</v>
      </c>
      <c r="L11" s="225" t="n">
        <v>0.063</v>
      </c>
      <c r="M11" s="225" t="n">
        <v>0.063</v>
      </c>
      <c r="N11" s="225" t="n">
        <v>0.061</v>
      </c>
      <c r="O11" s="225" t="n">
        <v>0.061</v>
      </c>
      <c r="P11" s="225" t="n">
        <v>0.061</v>
      </c>
      <c r="Q11" s="225" t="n">
        <v>0.061</v>
      </c>
      <c r="R11" s="225" t="n">
        <v>0.06</v>
      </c>
      <c r="S11" s="225" t="n">
        <v>0.06</v>
      </c>
      <c r="T11" s="225" t="n">
        <v>0.06</v>
      </c>
      <c r="U11" s="225" t="n">
        <v>0.06</v>
      </c>
      <c r="V11" s="225" t="n">
        <v>0.06</v>
      </c>
    </row>
    <row r="12">
      <c r="A12" t="inlineStr">
        <is>
          <t>Prepaids / annualized revenue</t>
        </is>
      </c>
      <c r="B12" t="inlineStr">
        <is>
          <t>%</t>
        </is>
      </c>
      <c r="C12" s="225" t="n">
        <v>0.012</v>
      </c>
      <c r="D12" s="225" t="n">
        <v>0.012</v>
      </c>
      <c r="E12" s="225" t="n">
        <v>0.012</v>
      </c>
      <c r="F12" s="225" t="n">
        <v>0.012</v>
      </c>
      <c r="G12" s="225" t="n">
        <v>0.012</v>
      </c>
      <c r="H12" s="225" t="n">
        <v>0.012</v>
      </c>
      <c r="I12" s="225" t="n">
        <v>0.012</v>
      </c>
      <c r="J12" s="225" t="n">
        <v>0.012</v>
      </c>
      <c r="K12" s="225" t="n">
        <v>0.012</v>
      </c>
      <c r="L12" s="225" t="n">
        <v>0.012</v>
      </c>
      <c r="M12" s="225" t="n">
        <v>0.012</v>
      </c>
      <c r="N12" s="225" t="n">
        <v>0.012</v>
      </c>
      <c r="O12" s="225" t="n">
        <v>0.012</v>
      </c>
      <c r="P12" s="225" t="n">
        <v>0.012</v>
      </c>
      <c r="Q12" s="225" t="n">
        <v>0.012</v>
      </c>
      <c r="R12" s="225" t="n">
        <v>0.012</v>
      </c>
      <c r="S12" s="225" t="n">
        <v>0.012</v>
      </c>
      <c r="T12" s="225" t="n">
        <v>0.012</v>
      </c>
      <c r="U12" s="225" t="n">
        <v>0.012</v>
      </c>
      <c r="V12" s="225" t="n">
        <v>0.012</v>
      </c>
    </row>
    <row r="13">
      <c r="A13" t="inlineStr">
        <is>
          <t>AP / annualized revenue</t>
        </is>
      </c>
      <c r="B13" t="inlineStr">
        <is>
          <t>%</t>
        </is>
      </c>
      <c r="C13" s="225" t="n">
        <v>0.055</v>
      </c>
      <c r="D13" s="225" t="n">
        <v>0.055</v>
      </c>
      <c r="E13" s="225" t="n">
        <v>0.055</v>
      </c>
      <c r="F13" s="225" t="n">
        <v>0.055</v>
      </c>
      <c r="G13" s="225" t="n">
        <v>0.055</v>
      </c>
      <c r="H13" s="225" t="n">
        <v>0.055</v>
      </c>
      <c r="I13" s="225" t="n">
        <v>0.055</v>
      </c>
      <c r="J13" s="225" t="n">
        <v>0.055</v>
      </c>
      <c r="K13" s="225" t="n">
        <v>0.055</v>
      </c>
      <c r="L13" s="225" t="n">
        <v>0.055</v>
      </c>
      <c r="M13" s="225" t="n">
        <v>0.055</v>
      </c>
      <c r="N13" s="225" t="n">
        <v>0.055</v>
      </c>
      <c r="O13" s="225" t="n">
        <v>0.055</v>
      </c>
      <c r="P13" s="225" t="n">
        <v>0.055</v>
      </c>
      <c r="Q13" s="225" t="n">
        <v>0.055</v>
      </c>
      <c r="R13" s="225" t="n">
        <v>0.055</v>
      </c>
      <c r="S13" s="225" t="n">
        <v>0.055</v>
      </c>
      <c r="T13" s="225" t="n">
        <v>0.055</v>
      </c>
      <c r="U13" s="225" t="n">
        <v>0.055</v>
      </c>
      <c r="V13" s="225" t="n">
        <v>0.055</v>
      </c>
    </row>
    <row r="14">
      <c r="A14" t="inlineStr">
        <is>
          <t>Accruals / annualized revenue</t>
        </is>
      </c>
      <c r="B14" t="inlineStr">
        <is>
          <t>%</t>
        </is>
      </c>
      <c r="C14" s="225" t="n">
        <v>0.075</v>
      </c>
      <c r="D14" s="225" t="n">
        <v>0.075</v>
      </c>
      <c r="E14" s="225" t="n">
        <v>0.075</v>
      </c>
      <c r="F14" s="225" t="n">
        <v>0.075</v>
      </c>
      <c r="G14" s="225" t="n">
        <v>0.075</v>
      </c>
      <c r="H14" s="225" t="n">
        <v>0.075</v>
      </c>
      <c r="I14" s="225" t="n">
        <v>0.075</v>
      </c>
      <c r="J14" s="225" t="n">
        <v>0.075</v>
      </c>
      <c r="K14" s="225" t="n">
        <v>0.075</v>
      </c>
      <c r="L14" s="225" t="n">
        <v>0.075</v>
      </c>
      <c r="M14" s="225" t="n">
        <v>0.075</v>
      </c>
      <c r="N14" s="225" t="n">
        <v>0.075</v>
      </c>
      <c r="O14" s="225" t="n">
        <v>0.075</v>
      </c>
      <c r="P14" s="225" t="n">
        <v>0.075</v>
      </c>
      <c r="Q14" s="225" t="n">
        <v>0.075</v>
      </c>
      <c r="R14" s="225" t="n">
        <v>0.075</v>
      </c>
      <c r="S14" s="225" t="n">
        <v>0.075</v>
      </c>
      <c r="T14" s="225" t="n">
        <v>0.075</v>
      </c>
      <c r="U14" s="225" t="n">
        <v>0.075</v>
      </c>
      <c r="V14" s="225" t="n">
        <v>0.075</v>
      </c>
    </row>
    <row r="15">
      <c r="A15" t="inlineStr">
        <is>
          <t>Deferred revenue / annualized revenue</t>
        </is>
      </c>
      <c r="B15" t="inlineStr">
        <is>
          <t>%</t>
        </is>
      </c>
      <c r="C15" s="225" t="n">
        <v>0.012</v>
      </c>
      <c r="D15" s="225" t="n">
        <v>0.012</v>
      </c>
      <c r="E15" s="225" t="n">
        <v>0.012</v>
      </c>
      <c r="F15" s="225" t="n">
        <v>0.012</v>
      </c>
      <c r="G15" s="225" t="n">
        <v>0.012</v>
      </c>
      <c r="H15" s="225" t="n">
        <v>0.012</v>
      </c>
      <c r="I15" s="225" t="n">
        <v>0.012</v>
      </c>
      <c r="J15" s="225" t="n">
        <v>0.012</v>
      </c>
      <c r="K15" s="225" t="n">
        <v>0.012</v>
      </c>
      <c r="L15" s="225" t="n">
        <v>0.012</v>
      </c>
      <c r="M15" s="225" t="n">
        <v>0.012</v>
      </c>
      <c r="N15" s="225" t="n">
        <v>0.012</v>
      </c>
      <c r="O15" s="225" t="n">
        <v>0.012</v>
      </c>
      <c r="P15" s="225" t="n">
        <v>0.012</v>
      </c>
      <c r="Q15" s="225" t="n">
        <v>0.012</v>
      </c>
      <c r="R15" s="225" t="n">
        <v>0.012</v>
      </c>
      <c r="S15" s="225" t="n">
        <v>0.012</v>
      </c>
      <c r="T15" s="225" t="n">
        <v>0.012</v>
      </c>
      <c r="U15" s="225" t="n">
        <v>0.012</v>
      </c>
      <c r="V15" s="225" t="n">
        <v>0.012</v>
      </c>
    </row>
    <row r="16">
      <c r="A16" t="inlineStr">
        <is>
          <t>Capex / revenue</t>
        </is>
      </c>
      <c r="B16" t="inlineStr">
        <is>
          <t>%</t>
        </is>
      </c>
      <c r="C16" s="225" t="n">
        <v>0.016</v>
      </c>
      <c r="D16" s="225" t="n">
        <v>0.016</v>
      </c>
      <c r="E16" s="225" t="n">
        <v>0.016</v>
      </c>
      <c r="F16" s="225" t="n">
        <v>0.016</v>
      </c>
      <c r="G16" s="225" t="n">
        <v>0.016</v>
      </c>
      <c r="H16" s="225" t="n">
        <v>0.016</v>
      </c>
      <c r="I16" s="225" t="n">
        <v>0.016</v>
      </c>
      <c r="J16" s="225" t="n">
        <v>0.016</v>
      </c>
      <c r="K16" s="225" t="n">
        <v>0.016</v>
      </c>
      <c r="L16" s="225" t="n">
        <v>0.016</v>
      </c>
      <c r="M16" s="225" t="n">
        <v>0.016</v>
      </c>
      <c r="N16" s="225" t="n">
        <v>0.016</v>
      </c>
      <c r="O16" s="225" t="n">
        <v>0.016</v>
      </c>
      <c r="P16" s="225" t="n">
        <v>0.016</v>
      </c>
      <c r="Q16" s="225" t="n">
        <v>0.016</v>
      </c>
      <c r="R16" s="225" t="n">
        <v>0.016</v>
      </c>
      <c r="S16" s="225" t="n">
        <v>0.016</v>
      </c>
      <c r="T16" s="225" t="n">
        <v>0.016</v>
      </c>
      <c r="U16" s="225" t="n">
        <v>0.016</v>
      </c>
      <c r="V16" s="225" t="n">
        <v>0.016</v>
      </c>
    </row>
    <row r="17">
      <c r="A17" t="inlineStr">
        <is>
          <t>Acquired NWC</t>
        </is>
      </c>
      <c r="B17" t="inlineStr">
        <is>
          <t>$mm</t>
        </is>
      </c>
      <c r="C17" s="224" t="n">
        <v>0</v>
      </c>
      <c r="D17" s="224" t="n">
        <v>0</v>
      </c>
      <c r="E17" s="224" t="n">
        <v>0</v>
      </c>
      <c r="F17" s="224" t="n">
        <v>0</v>
      </c>
      <c r="G17" s="224" t="n">
        <v>0</v>
      </c>
      <c r="H17" s="224" t="n">
        <v>0</v>
      </c>
      <c r="I17" s="224" t="n">
        <v>0</v>
      </c>
      <c r="J17" s="224" t="n">
        <v>0</v>
      </c>
      <c r="K17" s="224" t="n">
        <v>0</v>
      </c>
      <c r="L17" s="224" t="n">
        <v>0</v>
      </c>
      <c r="M17" s="224" t="n">
        <v>0</v>
      </c>
      <c r="N17" s="224" t="n">
        <v>0</v>
      </c>
      <c r="O17" s="224" t="n">
        <v>0</v>
      </c>
      <c r="P17" s="224" t="n">
        <v>0</v>
      </c>
      <c r="Q17" s="224" t="n">
        <v>0</v>
      </c>
      <c r="R17" s="224" t="n">
        <v>0</v>
      </c>
      <c r="S17" s="224" t="n">
        <v>0</v>
      </c>
      <c r="T17" s="224" t="n">
        <v>0</v>
      </c>
      <c r="U17" s="224" t="n">
        <v>0</v>
      </c>
      <c r="V17" s="224" t="n">
        <v>0</v>
      </c>
    </row>
    <row r="18">
      <c r="A18" t="inlineStr">
        <is>
          <t>Acquired PP&amp;E</t>
        </is>
      </c>
      <c r="B18" t="inlineStr">
        <is>
          <t>$mm</t>
        </is>
      </c>
      <c r="C18" s="224" t="n">
        <v>0</v>
      </c>
      <c r="D18" s="224" t="n">
        <v>0</v>
      </c>
      <c r="E18" s="224" t="n">
        <v>0</v>
      </c>
      <c r="F18" s="224" t="n">
        <v>0</v>
      </c>
      <c r="G18" s="224" t="n">
        <v>0</v>
      </c>
      <c r="H18" s="224" t="n">
        <v>0</v>
      </c>
      <c r="I18" s="224" t="n">
        <v>0</v>
      </c>
      <c r="J18" s="224" t="n">
        <v>0</v>
      </c>
      <c r="K18" s="224" t="n">
        <v>0</v>
      </c>
      <c r="L18" s="224" t="n">
        <v>0</v>
      </c>
      <c r="M18" s="224" t="n">
        <v>0</v>
      </c>
      <c r="N18" s="224" t="n">
        <v>0</v>
      </c>
      <c r="O18" s="224" t="n">
        <v>0</v>
      </c>
      <c r="P18" s="224" t="n">
        <v>0</v>
      </c>
      <c r="Q18" s="224" t="n">
        <v>0</v>
      </c>
      <c r="R18" s="224" t="n">
        <v>0</v>
      </c>
      <c r="S18" s="224" t="n">
        <v>0</v>
      </c>
      <c r="T18" s="224" t="n">
        <v>0</v>
      </c>
      <c r="U18" s="224" t="n">
        <v>0</v>
      </c>
      <c r="V18" s="224" t="n">
        <v>0</v>
      </c>
    </row>
    <row r="19">
      <c r="A19" t="inlineStr">
        <is>
          <t>Acquisition EV</t>
        </is>
      </c>
      <c r="B19" t="inlineStr">
        <is>
          <t>$mm</t>
        </is>
      </c>
      <c r="C19" s="224" t="n">
        <v>0</v>
      </c>
      <c r="D19" s="224" t="n">
        <v>0</v>
      </c>
      <c r="E19" s="224" t="n">
        <v>0</v>
      </c>
      <c r="F19" s="224" t="n">
        <v>0</v>
      </c>
      <c r="G19" s="224" t="n">
        <v>0</v>
      </c>
      <c r="H19" s="224" t="n">
        <v>0</v>
      </c>
      <c r="I19" s="224" t="n">
        <v>0</v>
      </c>
      <c r="J19" s="224" t="n">
        <v>0</v>
      </c>
      <c r="K19" s="224" t="n">
        <v>0</v>
      </c>
      <c r="L19" s="224" t="n">
        <v>0</v>
      </c>
      <c r="M19" s="224" t="n">
        <v>0</v>
      </c>
      <c r="N19" s="224" t="n">
        <v>0</v>
      </c>
      <c r="O19" s="224" t="n">
        <v>0</v>
      </c>
      <c r="P19" s="224" t="n">
        <v>0</v>
      </c>
      <c r="Q19" s="224" t="n">
        <v>0</v>
      </c>
      <c r="R19" s="224" t="n">
        <v>0</v>
      </c>
      <c r="S19" s="224" t="n">
        <v>0</v>
      </c>
      <c r="T19" s="224" t="n">
        <v>0</v>
      </c>
      <c r="U19" s="224" t="n">
        <v>0</v>
      </c>
      <c r="V19" s="224" t="n">
        <v>0</v>
      </c>
    </row>
    <row r="20">
      <c r="A20" t="inlineStr">
        <is>
          <t>Acquisition fees</t>
        </is>
      </c>
      <c r="B20" t="inlineStr">
        <is>
          <t>$mm</t>
        </is>
      </c>
      <c r="C20" s="224" t="n">
        <v>0</v>
      </c>
      <c r="D20" s="224" t="n">
        <v>0</v>
      </c>
      <c r="E20" s="224" t="n">
        <v>0</v>
      </c>
      <c r="F20" s="224" t="n">
        <v>0</v>
      </c>
      <c r="G20" s="224" t="n">
        <v>0</v>
      </c>
      <c r="H20" s="224" t="n">
        <v>0</v>
      </c>
      <c r="I20" s="224" t="n">
        <v>0</v>
      </c>
      <c r="J20" s="224" t="n">
        <v>0</v>
      </c>
      <c r="K20" s="224" t="n">
        <v>0</v>
      </c>
      <c r="L20" s="224" t="n">
        <v>0</v>
      </c>
      <c r="M20" s="224" t="n">
        <v>0</v>
      </c>
      <c r="N20" s="224" t="n">
        <v>0</v>
      </c>
      <c r="O20" s="224" t="n">
        <v>0</v>
      </c>
      <c r="P20" s="224" t="n">
        <v>0</v>
      </c>
      <c r="Q20" s="224" t="n">
        <v>0</v>
      </c>
      <c r="R20" s="224" t="n">
        <v>0</v>
      </c>
      <c r="S20" s="224" t="n">
        <v>0</v>
      </c>
      <c r="T20" s="224" t="n">
        <v>0</v>
      </c>
      <c r="U20" s="224" t="n">
        <v>0</v>
      </c>
      <c r="V20" s="224" t="n">
        <v>0</v>
      </c>
    </row>
    <row r="21">
      <c r="A21" t="inlineStr">
        <is>
          <t>Acquired intangibles</t>
        </is>
      </c>
      <c r="B21" t="inlineStr">
        <is>
          <t>$mm</t>
        </is>
      </c>
      <c r="C21" s="224" t="n">
        <v>0</v>
      </c>
      <c r="D21" s="224" t="n">
        <v>0</v>
      </c>
      <c r="E21" s="224" t="n">
        <v>0</v>
      </c>
      <c r="F21" s="224" t="n">
        <v>0</v>
      </c>
      <c r="G21" s="224" t="n">
        <v>0</v>
      </c>
      <c r="H21" s="224" t="n">
        <v>0</v>
      </c>
      <c r="I21" s="224" t="n">
        <v>0</v>
      </c>
      <c r="J21" s="224" t="n">
        <v>0</v>
      </c>
      <c r="K21" s="224" t="n">
        <v>0</v>
      </c>
      <c r="L21" s="224" t="n">
        <v>0</v>
      </c>
      <c r="M21" s="224" t="n">
        <v>0</v>
      </c>
      <c r="N21" s="224" t="n">
        <v>0</v>
      </c>
      <c r="O21" s="224" t="n">
        <v>0</v>
      </c>
      <c r="P21" s="224" t="n">
        <v>0</v>
      </c>
      <c r="Q21" s="224" t="n">
        <v>0</v>
      </c>
      <c r="R21" s="224" t="n">
        <v>0</v>
      </c>
      <c r="S21" s="224" t="n">
        <v>0</v>
      </c>
      <c r="T21" s="224" t="n">
        <v>0</v>
      </c>
      <c r="U21" s="224" t="n">
        <v>0</v>
      </c>
      <c r="V21" s="224" t="n">
        <v>0</v>
      </c>
    </row>
    <row r="22">
      <c r="A22" t="inlineStr">
        <is>
          <t>Acquired goodwill</t>
        </is>
      </c>
      <c r="B22" t="inlineStr">
        <is>
          <t>$mm</t>
        </is>
      </c>
      <c r="C22" s="224" t="n">
        <v>0</v>
      </c>
      <c r="D22" s="224" t="n">
        <v>0</v>
      </c>
      <c r="E22" s="224" t="n">
        <v>0</v>
      </c>
      <c r="F22" s="224" t="n">
        <v>0</v>
      </c>
      <c r="G22" s="224" t="n">
        <v>0</v>
      </c>
      <c r="H22" s="224" t="n">
        <v>0</v>
      </c>
      <c r="I22" s="224" t="n">
        <v>0</v>
      </c>
      <c r="J22" s="224" t="n">
        <v>0</v>
      </c>
      <c r="K22" s="224" t="n">
        <v>0</v>
      </c>
      <c r="L22" s="224" t="n">
        <v>0</v>
      </c>
      <c r="M22" s="224" t="n">
        <v>0</v>
      </c>
      <c r="N22" s="224" t="n">
        <v>0</v>
      </c>
      <c r="O22" s="224" t="n">
        <v>0</v>
      </c>
      <c r="P22" s="224" t="n">
        <v>0</v>
      </c>
      <c r="Q22" s="224" t="n">
        <v>0</v>
      </c>
      <c r="R22" s="224" t="n">
        <v>0</v>
      </c>
      <c r="S22" s="224" t="n">
        <v>0</v>
      </c>
      <c r="T22" s="224" t="n">
        <v>0</v>
      </c>
      <c r="U22" s="224" t="n">
        <v>0</v>
      </c>
      <c r="V22" s="224" t="n">
        <v>0</v>
      </c>
    </row>
    <row r="23">
      <c r="A23" t="inlineStr">
        <is>
          <t>Acquired DTL</t>
        </is>
      </c>
      <c r="B23" t="inlineStr">
        <is>
          <t>$mm</t>
        </is>
      </c>
      <c r="C23" s="224" t="n">
        <v>0</v>
      </c>
      <c r="D23" s="224" t="n">
        <v>0</v>
      </c>
      <c r="E23" s="224" t="n">
        <v>0</v>
      </c>
      <c r="F23" s="224" t="n">
        <v>0</v>
      </c>
      <c r="G23" s="224" t="n">
        <v>0</v>
      </c>
      <c r="H23" s="224" t="n">
        <v>0</v>
      </c>
      <c r="I23" s="224" t="n">
        <v>0</v>
      </c>
      <c r="J23" s="224" t="n">
        <v>0</v>
      </c>
      <c r="K23" s="224" t="n">
        <v>0</v>
      </c>
      <c r="L23" s="224" t="n">
        <v>0</v>
      </c>
      <c r="M23" s="224" t="n">
        <v>0</v>
      </c>
      <c r="N23" s="224" t="n">
        <v>0</v>
      </c>
      <c r="O23" s="224" t="n">
        <v>0</v>
      </c>
      <c r="P23" s="224" t="n">
        <v>0</v>
      </c>
      <c r="Q23" s="224" t="n">
        <v>0</v>
      </c>
      <c r="R23" s="224" t="n">
        <v>0</v>
      </c>
      <c r="S23" s="224" t="n">
        <v>0</v>
      </c>
      <c r="T23" s="224" t="n">
        <v>0</v>
      </c>
      <c r="U23" s="224" t="n">
        <v>0</v>
      </c>
      <c r="V23" s="224" t="n">
        <v>0</v>
      </c>
    </row>
    <row r="24">
      <c r="A24" t="inlineStr">
        <is>
          <t>Acquired other liabilities</t>
        </is>
      </c>
      <c r="B24" t="inlineStr">
        <is>
          <t>$mm</t>
        </is>
      </c>
      <c r="C24" s="224" t="n">
        <v>0</v>
      </c>
      <c r="D24" s="224" t="n">
        <v>0</v>
      </c>
      <c r="E24" s="224" t="n">
        <v>0</v>
      </c>
      <c r="F24" s="224" t="n">
        <v>0</v>
      </c>
      <c r="G24" s="224" t="n">
        <v>0</v>
      </c>
      <c r="H24" s="224" t="n">
        <v>0</v>
      </c>
      <c r="I24" s="224" t="n">
        <v>0</v>
      </c>
      <c r="J24" s="224" t="n">
        <v>0</v>
      </c>
      <c r="K24" s="224" t="n">
        <v>0</v>
      </c>
      <c r="L24" s="224" t="n">
        <v>0</v>
      </c>
      <c r="M24" s="224" t="n">
        <v>0</v>
      </c>
      <c r="N24" s="224" t="n">
        <v>0</v>
      </c>
      <c r="O24" s="224" t="n">
        <v>0</v>
      </c>
      <c r="P24" s="224" t="n">
        <v>0</v>
      </c>
      <c r="Q24" s="224" t="n">
        <v>0</v>
      </c>
      <c r="R24" s="224" t="n">
        <v>0</v>
      </c>
      <c r="S24" s="224" t="n">
        <v>0</v>
      </c>
      <c r="T24" s="224" t="n">
        <v>0</v>
      </c>
      <c r="U24" s="224" t="n">
        <v>0</v>
      </c>
      <c r="V24" s="224" t="n">
        <v>0</v>
      </c>
    </row>
    <row r="25">
      <c r="A25" t="inlineStr">
        <is>
          <t>DDTL draw</t>
        </is>
      </c>
      <c r="B25" t="inlineStr">
        <is>
          <t>$mm</t>
        </is>
      </c>
      <c r="C25" s="224" t="n">
        <v>0</v>
      </c>
      <c r="D25" s="224" t="n">
        <v>0</v>
      </c>
      <c r="E25" s="224" t="n">
        <v>0</v>
      </c>
      <c r="F25" s="224" t="n">
        <v>0</v>
      </c>
      <c r="G25" s="224" t="n">
        <v>0</v>
      </c>
      <c r="H25" s="224" t="n">
        <v>0</v>
      </c>
      <c r="I25" s="224" t="n">
        <v>0</v>
      </c>
      <c r="J25" s="224" t="n">
        <v>0</v>
      </c>
      <c r="K25" s="224" t="n">
        <v>0</v>
      </c>
      <c r="L25" s="224" t="n">
        <v>0</v>
      </c>
      <c r="M25" s="224" t="n">
        <v>0</v>
      </c>
      <c r="N25" s="224" t="n">
        <v>0</v>
      </c>
      <c r="O25" s="224" t="n">
        <v>0</v>
      </c>
      <c r="P25" s="224" t="n">
        <v>0</v>
      </c>
      <c r="Q25" s="224" t="n">
        <v>0</v>
      </c>
      <c r="R25" s="224" t="n">
        <v>0</v>
      </c>
      <c r="S25" s="224" t="n">
        <v>0</v>
      </c>
      <c r="T25" s="224" t="n">
        <v>0</v>
      </c>
      <c r="U25" s="224" t="n">
        <v>0</v>
      </c>
      <c r="V25" s="224" t="n">
        <v>0</v>
      </c>
    </row>
    <row r="26">
      <c r="A26" t="inlineStr">
        <is>
          <t>Sponsor equity contribution</t>
        </is>
      </c>
      <c r="B26" t="inlineStr">
        <is>
          <t>$mm</t>
        </is>
      </c>
      <c r="C26" s="224" t="n">
        <v>0</v>
      </c>
      <c r="D26" s="224" t="n">
        <v>0</v>
      </c>
      <c r="E26" s="224" t="n">
        <v>0</v>
      </c>
      <c r="F26" s="224" t="n">
        <v>0</v>
      </c>
      <c r="G26" s="224" t="n">
        <v>0</v>
      </c>
      <c r="H26" s="224" t="n">
        <v>0</v>
      </c>
      <c r="I26" s="224" t="n">
        <v>0</v>
      </c>
      <c r="J26" s="224" t="n">
        <v>0</v>
      </c>
      <c r="K26" s="224" t="n">
        <v>0</v>
      </c>
      <c r="L26" s="224" t="n">
        <v>0</v>
      </c>
      <c r="M26" s="224" t="n">
        <v>0</v>
      </c>
      <c r="N26" s="224" t="n">
        <v>0</v>
      </c>
      <c r="O26" s="224" t="n">
        <v>0</v>
      </c>
      <c r="P26" s="224" t="n">
        <v>0</v>
      </c>
      <c r="Q26" s="224" t="n">
        <v>0</v>
      </c>
      <c r="R26" s="224" t="n">
        <v>0</v>
      </c>
      <c r="S26" s="224" t="n">
        <v>0</v>
      </c>
      <c r="T26" s="224" t="n">
        <v>0</v>
      </c>
      <c r="U26" s="224" t="n">
        <v>0</v>
      </c>
      <c r="V26" s="224" t="n">
        <v>0</v>
      </c>
    </row>
    <row r="27">
      <c r="A27" t="inlineStr">
        <is>
          <t>Capitalized integration spend</t>
        </is>
      </c>
      <c r="B27" t="inlineStr">
        <is>
          <t>$mm</t>
        </is>
      </c>
      <c r="C27" s="224" t="n">
        <v>0</v>
      </c>
      <c r="D27" s="224" t="n">
        <v>0</v>
      </c>
      <c r="E27" s="224" t="n">
        <v>0</v>
      </c>
      <c r="F27" s="224" t="n">
        <v>0</v>
      </c>
      <c r="G27" s="224" t="n">
        <v>0</v>
      </c>
      <c r="H27" s="224" t="n">
        <v>0</v>
      </c>
      <c r="I27" s="224" t="n">
        <v>0</v>
      </c>
      <c r="J27" s="224" t="n">
        <v>0</v>
      </c>
      <c r="K27" s="224" t="n">
        <v>0</v>
      </c>
      <c r="L27" s="224" t="n">
        <v>0</v>
      </c>
      <c r="M27" s="224" t="n">
        <v>0</v>
      </c>
      <c r="N27" s="224" t="n">
        <v>0</v>
      </c>
      <c r="O27" s="224" t="n">
        <v>0</v>
      </c>
      <c r="P27" s="224" t="n">
        <v>0</v>
      </c>
      <c r="Q27" s="224" t="n">
        <v>0</v>
      </c>
      <c r="R27" s="224" t="n">
        <v>0</v>
      </c>
      <c r="S27" s="224" t="n">
        <v>0</v>
      </c>
      <c r="T27" s="224" t="n">
        <v>0</v>
      </c>
      <c r="U27" s="224" t="n">
        <v>0</v>
      </c>
      <c r="V27" s="224" t="n">
        <v>0</v>
      </c>
    </row>
    <row r="28">
      <c r="A28" t="inlineStr">
        <is>
          <t>Letters of credit</t>
        </is>
      </c>
      <c r="B28" t="inlineStr">
        <is>
          <t>$mm</t>
        </is>
      </c>
      <c r="C28" s="224" t="n">
        <v>0</v>
      </c>
      <c r="D28" s="224" t="n">
        <v>0</v>
      </c>
      <c r="E28" s="224" t="n">
        <v>0</v>
      </c>
      <c r="F28" s="224" t="n">
        <v>0</v>
      </c>
      <c r="G28" s="224" t="n">
        <v>0</v>
      </c>
      <c r="H28" s="224" t="n">
        <v>0</v>
      </c>
      <c r="I28" s="224" t="n">
        <v>0</v>
      </c>
      <c r="J28" s="224" t="n">
        <v>0</v>
      </c>
      <c r="K28" s="224" t="n">
        <v>0</v>
      </c>
      <c r="L28" s="224" t="n">
        <v>0</v>
      </c>
      <c r="M28" s="224" t="n">
        <v>0</v>
      </c>
      <c r="N28" s="224" t="n">
        <v>0</v>
      </c>
      <c r="O28" s="224" t="n">
        <v>0</v>
      </c>
      <c r="P28" s="224" t="n">
        <v>0</v>
      </c>
      <c r="Q28" s="224" t="n">
        <v>0</v>
      </c>
      <c r="R28" s="224" t="n">
        <v>0</v>
      </c>
      <c r="S28" s="224" t="n">
        <v>0</v>
      </c>
      <c r="T28" s="224" t="n">
        <v>0</v>
      </c>
      <c r="U28" s="224" t="n">
        <v>0</v>
      </c>
      <c r="V28" s="224" t="n">
        <v>0</v>
      </c>
    </row>
    <row r="29">
      <c r="A29" t="inlineStr">
        <is>
          <t>Cash floor</t>
        </is>
      </c>
      <c r="B29" t="inlineStr">
        <is>
          <t>$mm</t>
        </is>
      </c>
      <c r="C29" s="224" t="n">
        <v>3</v>
      </c>
      <c r="D29" s="224" t="n">
        <v>3</v>
      </c>
      <c r="E29" s="224" t="n">
        <v>3</v>
      </c>
      <c r="F29" s="224" t="n">
        <v>3</v>
      </c>
      <c r="G29" s="224" t="n">
        <v>3</v>
      </c>
      <c r="H29" s="224" t="n">
        <v>3</v>
      </c>
      <c r="I29" s="224" t="n">
        <v>3</v>
      </c>
      <c r="J29" s="224" t="n">
        <v>3</v>
      </c>
      <c r="K29" s="224" t="n">
        <v>3</v>
      </c>
      <c r="L29" s="224" t="n">
        <v>3</v>
      </c>
      <c r="M29" s="224" t="n">
        <v>3</v>
      </c>
      <c r="N29" s="224" t="n">
        <v>3</v>
      </c>
      <c r="O29" s="224" t="n">
        <v>3</v>
      </c>
      <c r="P29" s="224" t="n">
        <v>3</v>
      </c>
      <c r="Q29" s="224" t="n">
        <v>3</v>
      </c>
      <c r="R29" s="224" t="n">
        <v>3</v>
      </c>
      <c r="S29" s="224" t="n">
        <v>3</v>
      </c>
      <c r="T29" s="224" t="n">
        <v>3</v>
      </c>
      <c r="U29" s="224" t="n">
        <v>3</v>
      </c>
      <c r="V29" s="224" t="n">
        <v>3</v>
      </c>
    </row>
    <row r="30">
      <c r="A30" t="inlineStr">
        <is>
          <t>Forced revolver target</t>
        </is>
      </c>
      <c r="B30" t="inlineStr">
        <is>
          <t>$mm</t>
        </is>
      </c>
      <c r="C30" s="224" t="n">
        <v>-1</v>
      </c>
      <c r="D30" s="224" t="n">
        <v>-1</v>
      </c>
      <c r="E30" s="224" t="n">
        <v>-1</v>
      </c>
      <c r="F30" s="224" t="n">
        <v>-1</v>
      </c>
      <c r="G30" s="224" t="n">
        <v>-1</v>
      </c>
      <c r="H30" s="224" t="n">
        <v>-1</v>
      </c>
      <c r="I30" s="224" t="n">
        <v>-1</v>
      </c>
      <c r="J30" s="224" t="n">
        <v>-1</v>
      </c>
      <c r="K30" s="224" t="n">
        <v>-1</v>
      </c>
      <c r="L30" s="224" t="n">
        <v>-1</v>
      </c>
      <c r="M30" s="224" t="n">
        <v>-1</v>
      </c>
      <c r="N30" s="224" t="n">
        <v>-1</v>
      </c>
      <c r="O30" s="224" t="n">
        <v>-1</v>
      </c>
      <c r="P30" s="224" t="n">
        <v>-1</v>
      </c>
      <c r="Q30" s="224" t="n">
        <v>-1</v>
      </c>
      <c r="R30" s="224" t="n">
        <v>-1</v>
      </c>
      <c r="S30" s="224" t="n">
        <v>-1</v>
      </c>
      <c r="T30" s="224" t="n">
        <v>-1</v>
      </c>
      <c r="U30" s="224" t="n">
        <v>-1</v>
      </c>
      <c r="V30" s="224" t="n">
        <v>-1</v>
      </c>
    </row>
    <row r="31">
      <c r="A31" t="inlineStr">
        <is>
          <t>Repay all revolver?</t>
        </is>
      </c>
      <c r="B31" t="inlineStr">
        <is>
          <t>flag</t>
        </is>
      </c>
      <c r="C31" s="227" t="n">
        <v>0</v>
      </c>
      <c r="D31" s="227" t="n">
        <v>0</v>
      </c>
      <c r="E31" s="227" t="n">
        <v>0</v>
      </c>
      <c r="F31" s="227" t="n">
        <v>0</v>
      </c>
      <c r="G31" s="227" t="n">
        <v>0</v>
      </c>
      <c r="H31" s="227" t="n">
        <v>0</v>
      </c>
      <c r="I31" s="227" t="n">
        <v>0</v>
      </c>
      <c r="J31" s="227" t="n">
        <v>0</v>
      </c>
      <c r="K31" s="227" t="n">
        <v>0</v>
      </c>
      <c r="L31" s="227" t="n">
        <v>0</v>
      </c>
      <c r="M31" s="227" t="n">
        <v>0</v>
      </c>
      <c r="N31" s="227" t="n">
        <v>0</v>
      </c>
      <c r="O31" s="227" t="n">
        <v>0</v>
      </c>
      <c r="P31" s="227" t="n">
        <v>0</v>
      </c>
      <c r="Q31" s="227" t="n">
        <v>0</v>
      </c>
      <c r="R31" s="227" t="n">
        <v>0</v>
      </c>
      <c r="S31" s="227" t="n">
        <v>0</v>
      </c>
      <c r="T31" s="227" t="n">
        <v>0</v>
      </c>
      <c r="U31" s="227" t="n">
        <v>0</v>
      </c>
      <c r="V31" s="227" t="n">
        <v>0</v>
      </c>
    </row>
    <row r="32">
      <c r="A32" t="inlineStr">
        <is>
          <t>Covenant limit</t>
        </is>
      </c>
      <c r="B32" t="inlineStr">
        <is>
          <t>x</t>
        </is>
      </c>
      <c r="C32" s="228" t="n">
        <v>4.25</v>
      </c>
      <c r="D32" s="228" t="n">
        <v>4.25</v>
      </c>
      <c r="E32" s="228" t="n">
        <v>4.25</v>
      </c>
      <c r="F32" s="228" t="n">
        <v>4.25</v>
      </c>
      <c r="G32" s="228" t="n">
        <v>4.25</v>
      </c>
      <c r="H32" s="228" t="n">
        <v>4.25</v>
      </c>
      <c r="I32" s="228" t="n">
        <v>4.25</v>
      </c>
      <c r="J32" s="228" t="n">
        <v>4</v>
      </c>
      <c r="K32" s="228" t="n">
        <v>4</v>
      </c>
      <c r="L32" s="228" t="n">
        <v>4</v>
      </c>
      <c r="M32" s="228" t="n">
        <v>4</v>
      </c>
      <c r="N32" s="228" t="n">
        <v>3.75</v>
      </c>
      <c r="O32" s="228" t="n">
        <v>3.75</v>
      </c>
      <c r="P32" s="228" t="n">
        <v>3.75</v>
      </c>
      <c r="Q32" s="228" t="n">
        <v>3.75</v>
      </c>
      <c r="R32" s="228" t="n">
        <v>3.5</v>
      </c>
      <c r="S32" s="228" t="n">
        <v>3.5</v>
      </c>
      <c r="T32" s="228" t="n">
        <v>3.5</v>
      </c>
      <c r="U32" s="228" t="n">
        <v>3.5</v>
      </c>
      <c r="V32" s="228" t="n">
        <v>3.5</v>
      </c>
    </row>
    <row r="33">
      <c r="A33" t="inlineStr">
        <is>
          <t>SOFR</t>
        </is>
      </c>
      <c r="B33" t="inlineStr">
        <is>
          <t>%</t>
        </is>
      </c>
      <c r="C33" s="225" t="n">
        <v>0.0425</v>
      </c>
      <c r="D33" s="225" t="n">
        <v>0.0425</v>
      </c>
      <c r="E33" s="225" t="n">
        <v>0.0425</v>
      </c>
      <c r="F33" s="225" t="n">
        <v>0.0375</v>
      </c>
      <c r="G33" s="225" t="n">
        <v>0.0375</v>
      </c>
      <c r="H33" s="225" t="n">
        <v>0.0375</v>
      </c>
      <c r="I33" s="225" t="n">
        <v>0.0375</v>
      </c>
      <c r="J33" s="225" t="n">
        <v>0.035</v>
      </c>
      <c r="K33" s="225" t="n">
        <v>0.035</v>
      </c>
      <c r="L33" s="225" t="n">
        <v>0.035</v>
      </c>
      <c r="M33" s="225" t="n">
        <v>0.035</v>
      </c>
      <c r="N33" s="225" t="n">
        <v>0.0325</v>
      </c>
      <c r="O33" s="225" t="n">
        <v>0.0325</v>
      </c>
      <c r="P33" s="225" t="n">
        <v>0.0325</v>
      </c>
      <c r="Q33" s="225" t="n">
        <v>0.0325</v>
      </c>
      <c r="R33" s="225" t="n">
        <v>0.03</v>
      </c>
      <c r="S33" s="225" t="n">
        <v>0.03</v>
      </c>
      <c r="T33" s="225" t="n">
        <v>0.03</v>
      </c>
      <c r="U33" s="225" t="n">
        <v>0.03</v>
      </c>
      <c r="V33" s="225" t="n">
        <v>0.03</v>
      </c>
    </row>
    <row r="34">
      <c r="A34" t="inlineStr">
        <is>
          <t>Rate step-up</t>
        </is>
      </c>
      <c r="B34" t="inlineStr">
        <is>
          <t>%</t>
        </is>
      </c>
      <c r="C34" s="225" t="n">
        <v>0</v>
      </c>
      <c r="D34" s="225" t="n">
        <v>0</v>
      </c>
      <c r="E34" s="225" t="n">
        <v>0</v>
      </c>
      <c r="F34" s="225" t="n">
        <v>0</v>
      </c>
      <c r="G34" s="225" t="n">
        <v>0</v>
      </c>
      <c r="H34" s="225" t="n">
        <v>0</v>
      </c>
      <c r="I34" s="225" t="n">
        <v>0</v>
      </c>
      <c r="J34" s="225" t="n">
        <v>0</v>
      </c>
      <c r="K34" s="225" t="n">
        <v>0</v>
      </c>
      <c r="L34" s="225" t="n">
        <v>0</v>
      </c>
      <c r="M34" s="225" t="n">
        <v>0</v>
      </c>
      <c r="N34" s="225" t="n">
        <v>0</v>
      </c>
      <c r="O34" s="225" t="n">
        <v>0</v>
      </c>
      <c r="P34" s="225" t="n">
        <v>0</v>
      </c>
      <c r="Q34" s="225" t="n">
        <v>0</v>
      </c>
      <c r="R34" s="225" t="n">
        <v>0</v>
      </c>
      <c r="S34" s="225" t="n">
        <v>0</v>
      </c>
      <c r="T34" s="225" t="n">
        <v>0</v>
      </c>
      <c r="U34" s="225" t="n">
        <v>0</v>
      </c>
      <c r="V34" s="225" t="n">
        <v>0</v>
      </c>
    </row>
    <row r="35">
      <c r="A35" t="inlineStr">
        <is>
          <t>Core PPA amortization</t>
        </is>
      </c>
      <c r="B35" t="inlineStr">
        <is>
          <t>$mm</t>
        </is>
      </c>
      <c r="C35" s="224" t="n">
        <v>0.75</v>
      </c>
      <c r="D35" s="224" t="n">
        <v>0.75</v>
      </c>
      <c r="E35" s="224" t="n">
        <v>0.75</v>
      </c>
      <c r="F35" s="224" t="n">
        <v>0.75</v>
      </c>
      <c r="G35" s="224" t="n">
        <v>0.75</v>
      </c>
      <c r="H35" s="224" t="n">
        <v>0.75</v>
      </c>
      <c r="I35" s="224" t="n">
        <v>0.75</v>
      </c>
      <c r="J35" s="224" t="n">
        <v>0.75</v>
      </c>
      <c r="K35" s="224" t="n">
        <v>0.75</v>
      </c>
      <c r="L35" s="224" t="n">
        <v>0.75</v>
      </c>
      <c r="M35" s="224" t="n">
        <v>0.75</v>
      </c>
      <c r="N35" s="224" t="n">
        <v>0.75</v>
      </c>
      <c r="O35" s="224" t="n">
        <v>0.75</v>
      </c>
      <c r="P35" s="224" t="n">
        <v>0.75</v>
      </c>
      <c r="Q35" s="224" t="n">
        <v>0.75</v>
      </c>
      <c r="R35" s="224" t="n">
        <v>0.75</v>
      </c>
      <c r="S35" s="224" t="n">
        <v>0.75</v>
      </c>
      <c r="T35" s="224" t="n">
        <v>0.75</v>
      </c>
      <c r="U35" s="224" t="n">
        <v>0.75</v>
      </c>
      <c r="V35" s="224" t="n">
        <v>0.75</v>
      </c>
    </row>
    <row r="36">
      <c r="A36" t="inlineStr">
        <is>
          <t>Seasonality</t>
        </is>
      </c>
      <c r="B36" t="inlineStr">
        <is>
          <t>%</t>
        </is>
      </c>
      <c r="C36" s="225" t="n">
        <v>0.25</v>
      </c>
      <c r="D36" s="225" t="n">
        <v>0.26</v>
      </c>
      <c r="E36" s="225" t="n">
        <v>0.26</v>
      </c>
      <c r="F36" s="225" t="n">
        <v>0.23</v>
      </c>
      <c r="G36" s="225" t="n">
        <v>0.25</v>
      </c>
      <c r="H36" s="225" t="n">
        <v>0.26</v>
      </c>
      <c r="I36" s="225" t="n">
        <v>0.26</v>
      </c>
      <c r="J36" s="225" t="n">
        <v>0.23</v>
      </c>
      <c r="K36" s="225" t="n">
        <v>0.25</v>
      </c>
      <c r="L36" s="225" t="n">
        <v>0.26</v>
      </c>
      <c r="M36" s="225" t="n">
        <v>0.26</v>
      </c>
      <c r="N36" s="225" t="n">
        <v>0.23</v>
      </c>
      <c r="O36" s="225" t="n">
        <v>0.25</v>
      </c>
      <c r="P36" s="225" t="n">
        <v>0.26</v>
      </c>
      <c r="Q36" s="225" t="n">
        <v>0.26</v>
      </c>
      <c r="R36" s="225" t="n">
        <v>0.23</v>
      </c>
      <c r="S36" s="225" t="n">
        <v>0.25</v>
      </c>
      <c r="T36" s="225" t="n">
        <v>0.26</v>
      </c>
      <c r="U36" s="225" t="n">
        <v>0.26</v>
      </c>
      <c r="V36" s="225" t="n">
        <v>0.23</v>
      </c>
    </row>
    <row r="37"/>
    <row r="38" ht="20" customHeight="1">
      <c r="A38" s="39" t="inlineStr">
        <is>
          <t>Standalone Downside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</row>
    <row r="39">
      <c r="A39" t="inlineStr">
        <is>
          <t>Revenue</t>
        </is>
      </c>
      <c r="B39" t="inlineStr">
        <is>
          <t>$mm</t>
        </is>
      </c>
      <c r="C39" s="224" t="n">
        <v>19.24</v>
      </c>
      <c r="D39" s="224" t="n">
        <v>20.0096</v>
      </c>
      <c r="E39" s="224" t="n">
        <v>20.0096</v>
      </c>
      <c r="F39" s="224" t="n">
        <v>18.05481600000001</v>
      </c>
      <c r="G39" s="224" t="n">
        <v>19.6248</v>
      </c>
      <c r="H39" s="224" t="n">
        <v>20.40979200000001</v>
      </c>
      <c r="I39" s="224" t="n">
        <v>20.40979200000001</v>
      </c>
      <c r="J39" s="224" t="n">
        <v>18.77700864000001</v>
      </c>
      <c r="K39" s="224" t="n">
        <v>20.40979200000001</v>
      </c>
      <c r="L39" s="224" t="n">
        <v>21.22618368000001</v>
      </c>
      <c r="M39" s="224" t="n">
        <v>21.22618368000001</v>
      </c>
      <c r="N39" s="224" t="n">
        <v>19.71585907200001</v>
      </c>
      <c r="O39" s="224" t="n">
        <v>21.43028160000001</v>
      </c>
      <c r="P39" s="224" t="n">
        <v>22.28749286400001</v>
      </c>
      <c r="Q39" s="224" t="n">
        <v>22.28749286400001</v>
      </c>
      <c r="R39" s="224" t="n">
        <v>20.70165202560001</v>
      </c>
      <c r="S39" s="224" t="n">
        <v>22.50179568000001</v>
      </c>
      <c r="T39" s="224" t="n">
        <v>23.40186750720001</v>
      </c>
      <c r="U39" s="224" t="n">
        <v>23.40186750720001</v>
      </c>
      <c r="V39" s="224" t="n">
        <v>21.73673462688001</v>
      </c>
    </row>
    <row r="40">
      <c r="A40" t="inlineStr">
        <is>
          <t>Gross margin</t>
        </is>
      </c>
      <c r="B40" t="inlineStr">
        <is>
          <t>%</t>
        </is>
      </c>
      <c r="C40" s="225" t="n">
        <v>0.355</v>
      </c>
      <c r="D40" s="225" t="n">
        <v>0.355</v>
      </c>
      <c r="E40" s="225" t="n">
        <v>0.355</v>
      </c>
      <c r="F40" s="225" t="n">
        <v>0.345</v>
      </c>
      <c r="G40" s="225" t="n">
        <v>0.345</v>
      </c>
      <c r="H40" s="225" t="n">
        <v>0.345</v>
      </c>
      <c r="I40" s="225" t="n">
        <v>0.345</v>
      </c>
      <c r="J40" s="225" t="n">
        <v>0.35</v>
      </c>
      <c r="K40" s="225" t="n">
        <v>0.35</v>
      </c>
      <c r="L40" s="225" t="n">
        <v>0.35</v>
      </c>
      <c r="M40" s="225" t="n">
        <v>0.35</v>
      </c>
      <c r="N40" s="225" t="n">
        <v>0.355</v>
      </c>
      <c r="O40" s="225" t="n">
        <v>0.355</v>
      </c>
      <c r="P40" s="225" t="n">
        <v>0.355</v>
      </c>
      <c r="Q40" s="225" t="n">
        <v>0.355</v>
      </c>
      <c r="R40" s="225" t="n">
        <v>0.36</v>
      </c>
      <c r="S40" s="225" t="n">
        <v>0.36</v>
      </c>
      <c r="T40" s="225" t="n">
        <v>0.3599999999999999</v>
      </c>
      <c r="U40" s="225" t="n">
        <v>0.3599999999999999</v>
      </c>
      <c r="V40" s="225" t="n">
        <v>0.362</v>
      </c>
    </row>
    <row r="41">
      <c r="A41" t="inlineStr">
        <is>
          <t>Firm EBITDA</t>
        </is>
      </c>
      <c r="B41" t="inlineStr">
        <is>
          <t>$mm</t>
        </is>
      </c>
      <c r="C41" s="224" t="n">
        <v>2.7898</v>
      </c>
      <c r="D41" s="224" t="n">
        <v>2.901392</v>
      </c>
      <c r="E41" s="224" t="n">
        <v>2.901392</v>
      </c>
      <c r="F41" s="224" t="n">
        <v>2.437400160000001</v>
      </c>
      <c r="G41" s="224" t="n">
        <v>2.649348000000001</v>
      </c>
      <c r="H41" s="224" t="n">
        <v>2.755321920000001</v>
      </c>
      <c r="I41" s="224" t="n">
        <v>2.755321920000001</v>
      </c>
      <c r="J41" s="224" t="n">
        <v>2.722666252800001</v>
      </c>
      <c r="K41" s="224" t="n">
        <v>2.959419840000001</v>
      </c>
      <c r="L41" s="224" t="n">
        <v>3.077796633600001</v>
      </c>
      <c r="M41" s="224" t="n">
        <v>3.077796633600001</v>
      </c>
      <c r="N41" s="224" t="n">
        <v>3.016526438016001</v>
      </c>
      <c r="O41" s="224" t="n">
        <v>3.278833084800001</v>
      </c>
      <c r="P41" s="224" t="n">
        <v>3.409986408192001</v>
      </c>
      <c r="Q41" s="224" t="n">
        <v>3.409986408192001</v>
      </c>
      <c r="R41" s="224" t="n">
        <v>3.270861020044801</v>
      </c>
      <c r="S41" s="224" t="n">
        <v>3.555283717440001</v>
      </c>
      <c r="T41" s="224" t="n">
        <v>3.697495066137602</v>
      </c>
      <c r="U41" s="224" t="n">
        <v>3.697495066137602</v>
      </c>
      <c r="V41" s="224" t="n">
        <v>3.521351009554561</v>
      </c>
    </row>
    <row r="42">
      <c r="A42" t="inlineStr">
        <is>
          <t>One-time charges</t>
        </is>
      </c>
      <c r="B42" t="inlineStr">
        <is>
          <t>$mm</t>
        </is>
      </c>
      <c r="C42" s="224" t="n">
        <v>0</v>
      </c>
      <c r="D42" s="224" t="n">
        <v>0</v>
      </c>
      <c r="E42" s="224" t="n">
        <v>0</v>
      </c>
      <c r="F42" s="224" t="n">
        <v>0</v>
      </c>
      <c r="G42" s="224" t="n">
        <v>0</v>
      </c>
      <c r="H42" s="224" t="n">
        <v>0</v>
      </c>
      <c r="I42" s="224" t="n">
        <v>0</v>
      </c>
      <c r="J42" s="224" t="n">
        <v>0</v>
      </c>
      <c r="K42" s="224" t="n">
        <v>0</v>
      </c>
      <c r="L42" s="224" t="n">
        <v>0</v>
      </c>
      <c r="M42" s="224" t="n">
        <v>0</v>
      </c>
      <c r="N42" s="224" t="n">
        <v>0</v>
      </c>
      <c r="O42" s="224" t="n">
        <v>0</v>
      </c>
      <c r="P42" s="224" t="n">
        <v>0</v>
      </c>
      <c r="Q42" s="224" t="n">
        <v>0</v>
      </c>
      <c r="R42" s="224" t="n">
        <v>0</v>
      </c>
      <c r="S42" s="224" t="n">
        <v>0</v>
      </c>
      <c r="T42" s="224" t="n">
        <v>0</v>
      </c>
      <c r="U42" s="224" t="n">
        <v>0</v>
      </c>
      <c r="V42" s="224" t="n">
        <v>0</v>
      </c>
    </row>
    <row r="43">
      <c r="A43" t="inlineStr">
        <is>
          <t>Covenant add-backs</t>
        </is>
      </c>
      <c r="B43" t="inlineStr">
        <is>
          <t>$mm</t>
        </is>
      </c>
      <c r="C43" s="224" t="n">
        <v>0</v>
      </c>
      <c r="D43" s="224" t="n">
        <v>0</v>
      </c>
      <c r="E43" s="224" t="n">
        <v>0</v>
      </c>
      <c r="F43" s="224" t="n">
        <v>0</v>
      </c>
      <c r="G43" s="224" t="n">
        <v>0</v>
      </c>
      <c r="H43" s="224" t="n">
        <v>0</v>
      </c>
      <c r="I43" s="224" t="n">
        <v>0</v>
      </c>
      <c r="J43" s="224" t="n">
        <v>0</v>
      </c>
      <c r="K43" s="224" t="n">
        <v>0</v>
      </c>
      <c r="L43" s="224" t="n">
        <v>0</v>
      </c>
      <c r="M43" s="224" t="n">
        <v>0</v>
      </c>
      <c r="N43" s="224" t="n">
        <v>0</v>
      </c>
      <c r="O43" s="224" t="n">
        <v>0</v>
      </c>
      <c r="P43" s="224" t="n">
        <v>0</v>
      </c>
      <c r="Q43" s="224" t="n">
        <v>0</v>
      </c>
      <c r="R43" s="224" t="n">
        <v>0</v>
      </c>
      <c r="S43" s="224" t="n">
        <v>0</v>
      </c>
      <c r="T43" s="224" t="n">
        <v>0</v>
      </c>
      <c r="U43" s="224" t="n">
        <v>0</v>
      </c>
      <c r="V43" s="224" t="n">
        <v>0</v>
      </c>
    </row>
    <row r="44">
      <c r="A44" t="inlineStr">
        <is>
          <t>DSO</t>
        </is>
      </c>
      <c r="B44" t="inlineStr">
        <is>
          <t>days</t>
        </is>
      </c>
      <c r="C44" s="227" t="n">
        <v>67</v>
      </c>
      <c r="D44" s="227" t="n">
        <v>67</v>
      </c>
      <c r="E44" s="227" t="n">
        <v>67</v>
      </c>
      <c r="F44" s="227" t="n">
        <v>75</v>
      </c>
      <c r="G44" s="227" t="n">
        <v>75</v>
      </c>
      <c r="H44" s="227" t="n">
        <v>75</v>
      </c>
      <c r="I44" s="227" t="n">
        <v>75</v>
      </c>
      <c r="J44" s="227" t="n">
        <v>72</v>
      </c>
      <c r="K44" s="227" t="n">
        <v>72</v>
      </c>
      <c r="L44" s="227" t="n">
        <v>72</v>
      </c>
      <c r="M44" s="227" t="n">
        <v>72</v>
      </c>
      <c r="N44" s="227" t="n">
        <v>69</v>
      </c>
      <c r="O44" s="227" t="n">
        <v>69</v>
      </c>
      <c r="P44" s="227" t="n">
        <v>69</v>
      </c>
      <c r="Q44" s="227" t="n">
        <v>69</v>
      </c>
      <c r="R44" s="227" t="n">
        <v>67</v>
      </c>
      <c r="S44" s="227" t="n">
        <v>67</v>
      </c>
      <c r="T44" s="227" t="n">
        <v>67</v>
      </c>
      <c r="U44" s="227" t="n">
        <v>67</v>
      </c>
      <c r="V44" s="227" t="n">
        <v>66</v>
      </c>
    </row>
    <row r="45">
      <c r="A45" t="inlineStr">
        <is>
          <t>WIP / annualized revenue</t>
        </is>
      </c>
      <c r="B45" t="inlineStr">
        <is>
          <t>%</t>
        </is>
      </c>
      <c r="C45" s="225" t="n">
        <v>0.07000000000000001</v>
      </c>
      <c r="D45" s="225" t="n">
        <v>0.07000000000000001</v>
      </c>
      <c r="E45" s="225" t="n">
        <v>0.07000000000000001</v>
      </c>
      <c r="F45" s="225" t="n">
        <v>0.08</v>
      </c>
      <c r="G45" s="225" t="n">
        <v>0.08</v>
      </c>
      <c r="H45" s="225" t="n">
        <v>0.08</v>
      </c>
      <c r="I45" s="225" t="n">
        <v>0.08</v>
      </c>
      <c r="J45" s="225" t="n">
        <v>0.075</v>
      </c>
      <c r="K45" s="225" t="n">
        <v>0.075</v>
      </c>
      <c r="L45" s="225" t="n">
        <v>0.075</v>
      </c>
      <c r="M45" s="225" t="n">
        <v>0.075</v>
      </c>
      <c r="N45" s="225" t="n">
        <v>0.07000000000000001</v>
      </c>
      <c r="O45" s="225" t="n">
        <v>0.07000000000000001</v>
      </c>
      <c r="P45" s="225" t="n">
        <v>0.07000000000000001</v>
      </c>
      <c r="Q45" s="225" t="n">
        <v>0.07000000000000001</v>
      </c>
      <c r="R45" s="225" t="n">
        <v>0.068</v>
      </c>
      <c r="S45" s="225" t="n">
        <v>0.068</v>
      </c>
      <c r="T45" s="225" t="n">
        <v>0.068</v>
      </c>
      <c r="U45" s="225" t="n">
        <v>0.068</v>
      </c>
      <c r="V45" s="225" t="n">
        <v>0.066</v>
      </c>
    </row>
    <row r="46">
      <c r="A46" t="inlineStr">
        <is>
          <t>Prepaids / annualized revenue</t>
        </is>
      </c>
      <c r="B46" t="inlineStr">
        <is>
          <t>%</t>
        </is>
      </c>
      <c r="C46" s="225" t="n">
        <v>0.012</v>
      </c>
      <c r="D46" s="225" t="n">
        <v>0.012</v>
      </c>
      <c r="E46" s="225" t="n">
        <v>0.012</v>
      </c>
      <c r="F46" s="225" t="n">
        <v>0.012</v>
      </c>
      <c r="G46" s="225" t="n">
        <v>0.012</v>
      </c>
      <c r="H46" s="225" t="n">
        <v>0.012</v>
      </c>
      <c r="I46" s="225" t="n">
        <v>0.012</v>
      </c>
      <c r="J46" s="225" t="n">
        <v>0.012</v>
      </c>
      <c r="K46" s="225" t="n">
        <v>0.012</v>
      </c>
      <c r="L46" s="225" t="n">
        <v>0.012</v>
      </c>
      <c r="M46" s="225" t="n">
        <v>0.012</v>
      </c>
      <c r="N46" s="225" t="n">
        <v>0.012</v>
      </c>
      <c r="O46" s="225" t="n">
        <v>0.012</v>
      </c>
      <c r="P46" s="225" t="n">
        <v>0.012</v>
      </c>
      <c r="Q46" s="225" t="n">
        <v>0.012</v>
      </c>
      <c r="R46" s="225" t="n">
        <v>0.012</v>
      </c>
      <c r="S46" s="225" t="n">
        <v>0.012</v>
      </c>
      <c r="T46" s="225" t="n">
        <v>0.012</v>
      </c>
      <c r="U46" s="225" t="n">
        <v>0.012</v>
      </c>
      <c r="V46" s="225" t="n">
        <v>0.012</v>
      </c>
    </row>
    <row r="47">
      <c r="A47" t="inlineStr">
        <is>
          <t>AP / annualized revenue</t>
        </is>
      </c>
      <c r="B47" t="inlineStr">
        <is>
          <t>%</t>
        </is>
      </c>
      <c r="C47" s="225" t="n">
        <v>0.055</v>
      </c>
      <c r="D47" s="225" t="n">
        <v>0.055</v>
      </c>
      <c r="E47" s="225" t="n">
        <v>0.055</v>
      </c>
      <c r="F47" s="225" t="n">
        <v>0.055</v>
      </c>
      <c r="G47" s="225" t="n">
        <v>0.055</v>
      </c>
      <c r="H47" s="225" t="n">
        <v>0.055</v>
      </c>
      <c r="I47" s="225" t="n">
        <v>0.055</v>
      </c>
      <c r="J47" s="225" t="n">
        <v>0.055</v>
      </c>
      <c r="K47" s="225" t="n">
        <v>0.055</v>
      </c>
      <c r="L47" s="225" t="n">
        <v>0.055</v>
      </c>
      <c r="M47" s="225" t="n">
        <v>0.055</v>
      </c>
      <c r="N47" s="225" t="n">
        <v>0.055</v>
      </c>
      <c r="O47" s="225" t="n">
        <v>0.055</v>
      </c>
      <c r="P47" s="225" t="n">
        <v>0.055</v>
      </c>
      <c r="Q47" s="225" t="n">
        <v>0.055</v>
      </c>
      <c r="R47" s="225" t="n">
        <v>0.055</v>
      </c>
      <c r="S47" s="225" t="n">
        <v>0.055</v>
      </c>
      <c r="T47" s="225" t="n">
        <v>0.055</v>
      </c>
      <c r="U47" s="225" t="n">
        <v>0.055</v>
      </c>
      <c r="V47" s="225" t="n">
        <v>0.055</v>
      </c>
    </row>
    <row r="48">
      <c r="A48" t="inlineStr">
        <is>
          <t>Accruals / annualized revenue</t>
        </is>
      </c>
      <c r="B48" t="inlineStr">
        <is>
          <t>%</t>
        </is>
      </c>
      <c r="C48" s="225" t="n">
        <v>0.075</v>
      </c>
      <c r="D48" s="225" t="n">
        <v>0.075</v>
      </c>
      <c r="E48" s="225" t="n">
        <v>0.075</v>
      </c>
      <c r="F48" s="225" t="n">
        <v>0.075</v>
      </c>
      <c r="G48" s="225" t="n">
        <v>0.075</v>
      </c>
      <c r="H48" s="225" t="n">
        <v>0.075</v>
      </c>
      <c r="I48" s="225" t="n">
        <v>0.075</v>
      </c>
      <c r="J48" s="225" t="n">
        <v>0.075</v>
      </c>
      <c r="K48" s="225" t="n">
        <v>0.075</v>
      </c>
      <c r="L48" s="225" t="n">
        <v>0.075</v>
      </c>
      <c r="M48" s="225" t="n">
        <v>0.075</v>
      </c>
      <c r="N48" s="225" t="n">
        <v>0.075</v>
      </c>
      <c r="O48" s="225" t="n">
        <v>0.075</v>
      </c>
      <c r="P48" s="225" t="n">
        <v>0.075</v>
      </c>
      <c r="Q48" s="225" t="n">
        <v>0.075</v>
      </c>
      <c r="R48" s="225" t="n">
        <v>0.075</v>
      </c>
      <c r="S48" s="225" t="n">
        <v>0.075</v>
      </c>
      <c r="T48" s="225" t="n">
        <v>0.075</v>
      </c>
      <c r="U48" s="225" t="n">
        <v>0.075</v>
      </c>
      <c r="V48" s="225" t="n">
        <v>0.075</v>
      </c>
    </row>
    <row r="49">
      <c r="A49" t="inlineStr">
        <is>
          <t>Deferred revenue / annualized revenue</t>
        </is>
      </c>
      <c r="B49" t="inlineStr">
        <is>
          <t>%</t>
        </is>
      </c>
      <c r="C49" s="225" t="n">
        <v>0.012</v>
      </c>
      <c r="D49" s="225" t="n">
        <v>0.012</v>
      </c>
      <c r="E49" s="225" t="n">
        <v>0.012</v>
      </c>
      <c r="F49" s="225" t="n">
        <v>0.012</v>
      </c>
      <c r="G49" s="225" t="n">
        <v>0.012</v>
      </c>
      <c r="H49" s="225" t="n">
        <v>0.012</v>
      </c>
      <c r="I49" s="225" t="n">
        <v>0.012</v>
      </c>
      <c r="J49" s="225" t="n">
        <v>0.012</v>
      </c>
      <c r="K49" s="225" t="n">
        <v>0.012</v>
      </c>
      <c r="L49" s="225" t="n">
        <v>0.012</v>
      </c>
      <c r="M49" s="225" t="n">
        <v>0.012</v>
      </c>
      <c r="N49" s="225" t="n">
        <v>0.012</v>
      </c>
      <c r="O49" s="225" t="n">
        <v>0.012</v>
      </c>
      <c r="P49" s="225" t="n">
        <v>0.012</v>
      </c>
      <c r="Q49" s="225" t="n">
        <v>0.012</v>
      </c>
      <c r="R49" s="225" t="n">
        <v>0.012</v>
      </c>
      <c r="S49" s="225" t="n">
        <v>0.012</v>
      </c>
      <c r="T49" s="225" t="n">
        <v>0.012</v>
      </c>
      <c r="U49" s="225" t="n">
        <v>0.012</v>
      </c>
      <c r="V49" s="225" t="n">
        <v>0.012</v>
      </c>
    </row>
    <row r="50">
      <c r="A50" t="inlineStr">
        <is>
          <t>Capex / revenue</t>
        </is>
      </c>
      <c r="B50" t="inlineStr">
        <is>
          <t>%</t>
        </is>
      </c>
      <c r="C50" s="225" t="n">
        <v>0.016</v>
      </c>
      <c r="D50" s="225" t="n">
        <v>0.016</v>
      </c>
      <c r="E50" s="225" t="n">
        <v>0.016</v>
      </c>
      <c r="F50" s="225" t="n">
        <v>0.016</v>
      </c>
      <c r="G50" s="225" t="n">
        <v>0.016</v>
      </c>
      <c r="H50" s="225" t="n">
        <v>0.016</v>
      </c>
      <c r="I50" s="225" t="n">
        <v>0.016</v>
      </c>
      <c r="J50" s="225" t="n">
        <v>0.016</v>
      </c>
      <c r="K50" s="225" t="n">
        <v>0.016</v>
      </c>
      <c r="L50" s="225" t="n">
        <v>0.016</v>
      </c>
      <c r="M50" s="225" t="n">
        <v>0.016</v>
      </c>
      <c r="N50" s="225" t="n">
        <v>0.016</v>
      </c>
      <c r="O50" s="225" t="n">
        <v>0.016</v>
      </c>
      <c r="P50" s="225" t="n">
        <v>0.016</v>
      </c>
      <c r="Q50" s="225" t="n">
        <v>0.016</v>
      </c>
      <c r="R50" s="225" t="n">
        <v>0.016</v>
      </c>
      <c r="S50" s="225" t="n">
        <v>0.016</v>
      </c>
      <c r="T50" s="225" t="n">
        <v>0.016</v>
      </c>
      <c r="U50" s="225" t="n">
        <v>0.016</v>
      </c>
      <c r="V50" s="225" t="n">
        <v>0.016</v>
      </c>
    </row>
    <row r="51">
      <c r="A51" t="inlineStr">
        <is>
          <t>Acquired NWC</t>
        </is>
      </c>
      <c r="B51" t="inlineStr">
        <is>
          <t>$mm</t>
        </is>
      </c>
      <c r="C51" s="224" t="n">
        <v>0</v>
      </c>
      <c r="D51" s="224" t="n">
        <v>0</v>
      </c>
      <c r="E51" s="224" t="n">
        <v>0</v>
      </c>
      <c r="F51" s="224" t="n">
        <v>0</v>
      </c>
      <c r="G51" s="224" t="n">
        <v>0</v>
      </c>
      <c r="H51" s="224" t="n">
        <v>0</v>
      </c>
      <c r="I51" s="224" t="n">
        <v>0</v>
      </c>
      <c r="J51" s="224" t="n">
        <v>0</v>
      </c>
      <c r="K51" s="224" t="n">
        <v>0</v>
      </c>
      <c r="L51" s="224" t="n">
        <v>0</v>
      </c>
      <c r="M51" s="224" t="n">
        <v>0</v>
      </c>
      <c r="N51" s="224" t="n">
        <v>0</v>
      </c>
      <c r="O51" s="224" t="n">
        <v>0</v>
      </c>
      <c r="P51" s="224" t="n">
        <v>0</v>
      </c>
      <c r="Q51" s="224" t="n">
        <v>0</v>
      </c>
      <c r="R51" s="224" t="n">
        <v>0</v>
      </c>
      <c r="S51" s="224" t="n">
        <v>0</v>
      </c>
      <c r="T51" s="224" t="n">
        <v>0</v>
      </c>
      <c r="U51" s="224" t="n">
        <v>0</v>
      </c>
      <c r="V51" s="224" t="n">
        <v>0</v>
      </c>
    </row>
    <row r="52">
      <c r="A52" t="inlineStr">
        <is>
          <t>Acquired PP&amp;E</t>
        </is>
      </c>
      <c r="B52" t="inlineStr">
        <is>
          <t>$mm</t>
        </is>
      </c>
      <c r="C52" s="224" t="n">
        <v>0</v>
      </c>
      <c r="D52" s="224" t="n">
        <v>0</v>
      </c>
      <c r="E52" s="224" t="n">
        <v>0</v>
      </c>
      <c r="F52" s="224" t="n">
        <v>0</v>
      </c>
      <c r="G52" s="224" t="n">
        <v>0</v>
      </c>
      <c r="H52" s="224" t="n">
        <v>0</v>
      </c>
      <c r="I52" s="224" t="n">
        <v>0</v>
      </c>
      <c r="J52" s="224" t="n">
        <v>0</v>
      </c>
      <c r="K52" s="224" t="n">
        <v>0</v>
      </c>
      <c r="L52" s="224" t="n">
        <v>0</v>
      </c>
      <c r="M52" s="224" t="n">
        <v>0</v>
      </c>
      <c r="N52" s="224" t="n">
        <v>0</v>
      </c>
      <c r="O52" s="224" t="n">
        <v>0</v>
      </c>
      <c r="P52" s="224" t="n">
        <v>0</v>
      </c>
      <c r="Q52" s="224" t="n">
        <v>0</v>
      </c>
      <c r="R52" s="224" t="n">
        <v>0</v>
      </c>
      <c r="S52" s="224" t="n">
        <v>0</v>
      </c>
      <c r="T52" s="224" t="n">
        <v>0</v>
      </c>
      <c r="U52" s="224" t="n">
        <v>0</v>
      </c>
      <c r="V52" s="224" t="n">
        <v>0</v>
      </c>
    </row>
    <row r="53">
      <c r="A53" t="inlineStr">
        <is>
          <t>Acquisition EV</t>
        </is>
      </c>
      <c r="B53" t="inlineStr">
        <is>
          <t>$mm</t>
        </is>
      </c>
      <c r="C53" s="224" t="n">
        <v>0</v>
      </c>
      <c r="D53" s="224" t="n">
        <v>0</v>
      </c>
      <c r="E53" s="224" t="n">
        <v>0</v>
      </c>
      <c r="F53" s="224" t="n">
        <v>0</v>
      </c>
      <c r="G53" s="224" t="n">
        <v>0</v>
      </c>
      <c r="H53" s="224" t="n">
        <v>0</v>
      </c>
      <c r="I53" s="224" t="n">
        <v>0</v>
      </c>
      <c r="J53" s="224" t="n">
        <v>0</v>
      </c>
      <c r="K53" s="224" t="n">
        <v>0</v>
      </c>
      <c r="L53" s="224" t="n">
        <v>0</v>
      </c>
      <c r="M53" s="224" t="n">
        <v>0</v>
      </c>
      <c r="N53" s="224" t="n">
        <v>0</v>
      </c>
      <c r="O53" s="224" t="n">
        <v>0</v>
      </c>
      <c r="P53" s="224" t="n">
        <v>0</v>
      </c>
      <c r="Q53" s="224" t="n">
        <v>0</v>
      </c>
      <c r="R53" s="224" t="n">
        <v>0</v>
      </c>
      <c r="S53" s="224" t="n">
        <v>0</v>
      </c>
      <c r="T53" s="224" t="n">
        <v>0</v>
      </c>
      <c r="U53" s="224" t="n">
        <v>0</v>
      </c>
      <c r="V53" s="224" t="n">
        <v>0</v>
      </c>
    </row>
    <row r="54">
      <c r="A54" t="inlineStr">
        <is>
          <t>Acquisition fees</t>
        </is>
      </c>
      <c r="B54" t="inlineStr">
        <is>
          <t>$mm</t>
        </is>
      </c>
      <c r="C54" s="224" t="n">
        <v>0</v>
      </c>
      <c r="D54" s="224" t="n">
        <v>0</v>
      </c>
      <c r="E54" s="224" t="n">
        <v>0</v>
      </c>
      <c r="F54" s="224" t="n">
        <v>0</v>
      </c>
      <c r="G54" s="224" t="n">
        <v>0</v>
      </c>
      <c r="H54" s="224" t="n">
        <v>0</v>
      </c>
      <c r="I54" s="224" t="n">
        <v>0</v>
      </c>
      <c r="J54" s="224" t="n">
        <v>0</v>
      </c>
      <c r="K54" s="224" t="n">
        <v>0</v>
      </c>
      <c r="L54" s="224" t="n">
        <v>0</v>
      </c>
      <c r="M54" s="224" t="n">
        <v>0</v>
      </c>
      <c r="N54" s="224" t="n">
        <v>0</v>
      </c>
      <c r="O54" s="224" t="n">
        <v>0</v>
      </c>
      <c r="P54" s="224" t="n">
        <v>0</v>
      </c>
      <c r="Q54" s="224" t="n">
        <v>0</v>
      </c>
      <c r="R54" s="224" t="n">
        <v>0</v>
      </c>
      <c r="S54" s="224" t="n">
        <v>0</v>
      </c>
      <c r="T54" s="224" t="n">
        <v>0</v>
      </c>
      <c r="U54" s="224" t="n">
        <v>0</v>
      </c>
      <c r="V54" s="224" t="n">
        <v>0</v>
      </c>
    </row>
    <row r="55">
      <c r="A55" t="inlineStr">
        <is>
          <t>Acquired intangibles</t>
        </is>
      </c>
      <c r="B55" t="inlineStr">
        <is>
          <t>$mm</t>
        </is>
      </c>
      <c r="C55" s="224" t="n">
        <v>0</v>
      </c>
      <c r="D55" s="224" t="n">
        <v>0</v>
      </c>
      <c r="E55" s="224" t="n">
        <v>0</v>
      </c>
      <c r="F55" s="224" t="n">
        <v>0</v>
      </c>
      <c r="G55" s="224" t="n">
        <v>0</v>
      </c>
      <c r="H55" s="224" t="n">
        <v>0</v>
      </c>
      <c r="I55" s="224" t="n">
        <v>0</v>
      </c>
      <c r="J55" s="224" t="n">
        <v>0</v>
      </c>
      <c r="K55" s="224" t="n">
        <v>0</v>
      </c>
      <c r="L55" s="224" t="n">
        <v>0</v>
      </c>
      <c r="M55" s="224" t="n">
        <v>0</v>
      </c>
      <c r="N55" s="224" t="n">
        <v>0</v>
      </c>
      <c r="O55" s="224" t="n">
        <v>0</v>
      </c>
      <c r="P55" s="224" t="n">
        <v>0</v>
      </c>
      <c r="Q55" s="224" t="n">
        <v>0</v>
      </c>
      <c r="R55" s="224" t="n">
        <v>0</v>
      </c>
      <c r="S55" s="224" t="n">
        <v>0</v>
      </c>
      <c r="T55" s="224" t="n">
        <v>0</v>
      </c>
      <c r="U55" s="224" t="n">
        <v>0</v>
      </c>
      <c r="V55" s="224" t="n">
        <v>0</v>
      </c>
    </row>
    <row r="56">
      <c r="A56" t="inlineStr">
        <is>
          <t>Acquired goodwill</t>
        </is>
      </c>
      <c r="B56" t="inlineStr">
        <is>
          <t>$mm</t>
        </is>
      </c>
      <c r="C56" s="224" t="n">
        <v>0</v>
      </c>
      <c r="D56" s="224" t="n">
        <v>0</v>
      </c>
      <c r="E56" s="224" t="n">
        <v>0</v>
      </c>
      <c r="F56" s="224" t="n">
        <v>0</v>
      </c>
      <c r="G56" s="224" t="n">
        <v>0</v>
      </c>
      <c r="H56" s="224" t="n">
        <v>0</v>
      </c>
      <c r="I56" s="224" t="n">
        <v>0</v>
      </c>
      <c r="J56" s="224" t="n">
        <v>0</v>
      </c>
      <c r="K56" s="224" t="n">
        <v>0</v>
      </c>
      <c r="L56" s="224" t="n">
        <v>0</v>
      </c>
      <c r="M56" s="224" t="n">
        <v>0</v>
      </c>
      <c r="N56" s="224" t="n">
        <v>0</v>
      </c>
      <c r="O56" s="224" t="n">
        <v>0</v>
      </c>
      <c r="P56" s="224" t="n">
        <v>0</v>
      </c>
      <c r="Q56" s="224" t="n">
        <v>0</v>
      </c>
      <c r="R56" s="224" t="n">
        <v>0</v>
      </c>
      <c r="S56" s="224" t="n">
        <v>0</v>
      </c>
      <c r="T56" s="224" t="n">
        <v>0</v>
      </c>
      <c r="U56" s="224" t="n">
        <v>0</v>
      </c>
      <c r="V56" s="224" t="n">
        <v>0</v>
      </c>
    </row>
    <row r="57">
      <c r="A57" t="inlineStr">
        <is>
          <t>Acquired DTL</t>
        </is>
      </c>
      <c r="B57" t="inlineStr">
        <is>
          <t>$mm</t>
        </is>
      </c>
      <c r="C57" s="224" t="n">
        <v>0</v>
      </c>
      <c r="D57" s="224" t="n">
        <v>0</v>
      </c>
      <c r="E57" s="224" t="n">
        <v>0</v>
      </c>
      <c r="F57" s="224" t="n">
        <v>0</v>
      </c>
      <c r="G57" s="224" t="n">
        <v>0</v>
      </c>
      <c r="H57" s="224" t="n">
        <v>0</v>
      </c>
      <c r="I57" s="224" t="n">
        <v>0</v>
      </c>
      <c r="J57" s="224" t="n">
        <v>0</v>
      </c>
      <c r="K57" s="224" t="n">
        <v>0</v>
      </c>
      <c r="L57" s="224" t="n">
        <v>0</v>
      </c>
      <c r="M57" s="224" t="n">
        <v>0</v>
      </c>
      <c r="N57" s="224" t="n">
        <v>0</v>
      </c>
      <c r="O57" s="224" t="n">
        <v>0</v>
      </c>
      <c r="P57" s="224" t="n">
        <v>0</v>
      </c>
      <c r="Q57" s="224" t="n">
        <v>0</v>
      </c>
      <c r="R57" s="224" t="n">
        <v>0</v>
      </c>
      <c r="S57" s="224" t="n">
        <v>0</v>
      </c>
      <c r="T57" s="224" t="n">
        <v>0</v>
      </c>
      <c r="U57" s="224" t="n">
        <v>0</v>
      </c>
      <c r="V57" s="224" t="n">
        <v>0</v>
      </c>
    </row>
    <row r="58">
      <c r="A58" t="inlineStr">
        <is>
          <t>Acquired other liabilities</t>
        </is>
      </c>
      <c r="B58" t="inlineStr">
        <is>
          <t>$mm</t>
        </is>
      </c>
      <c r="C58" s="224" t="n">
        <v>0</v>
      </c>
      <c r="D58" s="224" t="n">
        <v>0</v>
      </c>
      <c r="E58" s="224" t="n">
        <v>0</v>
      </c>
      <c r="F58" s="224" t="n">
        <v>0</v>
      </c>
      <c r="G58" s="224" t="n">
        <v>0</v>
      </c>
      <c r="H58" s="224" t="n">
        <v>0</v>
      </c>
      <c r="I58" s="224" t="n">
        <v>0</v>
      </c>
      <c r="J58" s="224" t="n">
        <v>0</v>
      </c>
      <c r="K58" s="224" t="n">
        <v>0</v>
      </c>
      <c r="L58" s="224" t="n">
        <v>0</v>
      </c>
      <c r="M58" s="224" t="n">
        <v>0</v>
      </c>
      <c r="N58" s="224" t="n">
        <v>0</v>
      </c>
      <c r="O58" s="224" t="n">
        <v>0</v>
      </c>
      <c r="P58" s="224" t="n">
        <v>0</v>
      </c>
      <c r="Q58" s="224" t="n">
        <v>0</v>
      </c>
      <c r="R58" s="224" t="n">
        <v>0</v>
      </c>
      <c r="S58" s="224" t="n">
        <v>0</v>
      </c>
      <c r="T58" s="224" t="n">
        <v>0</v>
      </c>
      <c r="U58" s="224" t="n">
        <v>0</v>
      </c>
      <c r="V58" s="224" t="n">
        <v>0</v>
      </c>
    </row>
    <row r="59">
      <c r="A59" t="inlineStr">
        <is>
          <t>DDTL draw</t>
        </is>
      </c>
      <c r="B59" t="inlineStr">
        <is>
          <t>$mm</t>
        </is>
      </c>
      <c r="C59" s="224" t="n">
        <v>0</v>
      </c>
      <c r="D59" s="224" t="n">
        <v>0</v>
      </c>
      <c r="E59" s="224" t="n">
        <v>0</v>
      </c>
      <c r="F59" s="224" t="n">
        <v>0</v>
      </c>
      <c r="G59" s="224" t="n">
        <v>0</v>
      </c>
      <c r="H59" s="224" t="n">
        <v>0</v>
      </c>
      <c r="I59" s="224" t="n">
        <v>0</v>
      </c>
      <c r="J59" s="224" t="n">
        <v>0</v>
      </c>
      <c r="K59" s="224" t="n">
        <v>0</v>
      </c>
      <c r="L59" s="224" t="n">
        <v>0</v>
      </c>
      <c r="M59" s="224" t="n">
        <v>0</v>
      </c>
      <c r="N59" s="224" t="n">
        <v>0</v>
      </c>
      <c r="O59" s="224" t="n">
        <v>0</v>
      </c>
      <c r="P59" s="224" t="n">
        <v>0</v>
      </c>
      <c r="Q59" s="224" t="n">
        <v>0</v>
      </c>
      <c r="R59" s="224" t="n">
        <v>0</v>
      </c>
      <c r="S59" s="224" t="n">
        <v>0</v>
      </c>
      <c r="T59" s="224" t="n">
        <v>0</v>
      </c>
      <c r="U59" s="224" t="n">
        <v>0</v>
      </c>
      <c r="V59" s="224" t="n">
        <v>0</v>
      </c>
    </row>
    <row r="60">
      <c r="A60" t="inlineStr">
        <is>
          <t>Sponsor equity contribution</t>
        </is>
      </c>
      <c r="B60" t="inlineStr">
        <is>
          <t>$mm</t>
        </is>
      </c>
      <c r="C60" s="224" t="n">
        <v>0</v>
      </c>
      <c r="D60" s="224" t="n">
        <v>0</v>
      </c>
      <c r="E60" s="224" t="n">
        <v>0</v>
      </c>
      <c r="F60" s="224" t="n">
        <v>0</v>
      </c>
      <c r="G60" s="224" t="n">
        <v>0</v>
      </c>
      <c r="H60" s="224" t="n">
        <v>0</v>
      </c>
      <c r="I60" s="224" t="n">
        <v>0</v>
      </c>
      <c r="J60" s="224" t="n">
        <v>0</v>
      </c>
      <c r="K60" s="224" t="n">
        <v>0</v>
      </c>
      <c r="L60" s="224" t="n">
        <v>0</v>
      </c>
      <c r="M60" s="224" t="n">
        <v>0</v>
      </c>
      <c r="N60" s="224" t="n">
        <v>0</v>
      </c>
      <c r="O60" s="224" t="n">
        <v>0</v>
      </c>
      <c r="P60" s="224" t="n">
        <v>0</v>
      </c>
      <c r="Q60" s="224" t="n">
        <v>0</v>
      </c>
      <c r="R60" s="224" t="n">
        <v>0</v>
      </c>
      <c r="S60" s="224" t="n">
        <v>0</v>
      </c>
      <c r="T60" s="224" t="n">
        <v>0</v>
      </c>
      <c r="U60" s="224" t="n">
        <v>0</v>
      </c>
      <c r="V60" s="224" t="n">
        <v>0</v>
      </c>
    </row>
    <row r="61">
      <c r="A61" t="inlineStr">
        <is>
          <t>Capitalized integration spend</t>
        </is>
      </c>
      <c r="B61" t="inlineStr">
        <is>
          <t>$mm</t>
        </is>
      </c>
      <c r="C61" s="224" t="n">
        <v>0</v>
      </c>
      <c r="D61" s="224" t="n">
        <v>0</v>
      </c>
      <c r="E61" s="224" t="n">
        <v>0</v>
      </c>
      <c r="F61" s="224" t="n">
        <v>0</v>
      </c>
      <c r="G61" s="224" t="n">
        <v>0</v>
      </c>
      <c r="H61" s="224" t="n">
        <v>0</v>
      </c>
      <c r="I61" s="224" t="n">
        <v>0</v>
      </c>
      <c r="J61" s="224" t="n">
        <v>0</v>
      </c>
      <c r="K61" s="224" t="n">
        <v>0</v>
      </c>
      <c r="L61" s="224" t="n">
        <v>0</v>
      </c>
      <c r="M61" s="224" t="n">
        <v>0</v>
      </c>
      <c r="N61" s="224" t="n">
        <v>0</v>
      </c>
      <c r="O61" s="224" t="n">
        <v>0</v>
      </c>
      <c r="P61" s="224" t="n">
        <v>0</v>
      </c>
      <c r="Q61" s="224" t="n">
        <v>0</v>
      </c>
      <c r="R61" s="224" t="n">
        <v>0</v>
      </c>
      <c r="S61" s="224" t="n">
        <v>0</v>
      </c>
      <c r="T61" s="224" t="n">
        <v>0</v>
      </c>
      <c r="U61" s="224" t="n">
        <v>0</v>
      </c>
      <c r="V61" s="224" t="n">
        <v>0</v>
      </c>
    </row>
    <row r="62">
      <c r="A62" t="inlineStr">
        <is>
          <t>Letters of credit</t>
        </is>
      </c>
      <c r="B62" t="inlineStr">
        <is>
          <t>$mm</t>
        </is>
      </c>
      <c r="C62" s="224" t="n">
        <v>0</v>
      </c>
      <c r="D62" s="224" t="n">
        <v>0</v>
      </c>
      <c r="E62" s="224" t="n">
        <v>0</v>
      </c>
      <c r="F62" s="224" t="n">
        <v>0</v>
      </c>
      <c r="G62" s="224" t="n">
        <v>0</v>
      </c>
      <c r="H62" s="224" t="n">
        <v>0</v>
      </c>
      <c r="I62" s="224" t="n">
        <v>0</v>
      </c>
      <c r="J62" s="224" t="n">
        <v>0</v>
      </c>
      <c r="K62" s="224" t="n">
        <v>0</v>
      </c>
      <c r="L62" s="224" t="n">
        <v>0</v>
      </c>
      <c r="M62" s="224" t="n">
        <v>0</v>
      </c>
      <c r="N62" s="224" t="n">
        <v>0</v>
      </c>
      <c r="O62" s="224" t="n">
        <v>0</v>
      </c>
      <c r="P62" s="224" t="n">
        <v>0</v>
      </c>
      <c r="Q62" s="224" t="n">
        <v>0</v>
      </c>
      <c r="R62" s="224" t="n">
        <v>0</v>
      </c>
      <c r="S62" s="224" t="n">
        <v>0</v>
      </c>
      <c r="T62" s="224" t="n">
        <v>0</v>
      </c>
      <c r="U62" s="224" t="n">
        <v>0</v>
      </c>
      <c r="V62" s="224" t="n">
        <v>0</v>
      </c>
    </row>
    <row r="63">
      <c r="A63" t="inlineStr">
        <is>
          <t>Cash floor</t>
        </is>
      </c>
      <c r="B63" t="inlineStr">
        <is>
          <t>$mm</t>
        </is>
      </c>
      <c r="C63" s="224" t="n">
        <v>3</v>
      </c>
      <c r="D63" s="224" t="n">
        <v>3</v>
      </c>
      <c r="E63" s="224" t="n">
        <v>3</v>
      </c>
      <c r="F63" s="224" t="n">
        <v>3</v>
      </c>
      <c r="G63" s="224" t="n">
        <v>3</v>
      </c>
      <c r="H63" s="224" t="n">
        <v>3</v>
      </c>
      <c r="I63" s="224" t="n">
        <v>3</v>
      </c>
      <c r="J63" s="224" t="n">
        <v>3</v>
      </c>
      <c r="K63" s="224" t="n">
        <v>3</v>
      </c>
      <c r="L63" s="224" t="n">
        <v>3</v>
      </c>
      <c r="M63" s="224" t="n">
        <v>3</v>
      </c>
      <c r="N63" s="224" t="n">
        <v>3</v>
      </c>
      <c r="O63" s="224" t="n">
        <v>3</v>
      </c>
      <c r="P63" s="224" t="n">
        <v>3</v>
      </c>
      <c r="Q63" s="224" t="n">
        <v>3</v>
      </c>
      <c r="R63" s="224" t="n">
        <v>3</v>
      </c>
      <c r="S63" s="224" t="n">
        <v>3</v>
      </c>
      <c r="T63" s="224" t="n">
        <v>3</v>
      </c>
      <c r="U63" s="224" t="n">
        <v>3</v>
      </c>
      <c r="V63" s="224" t="n">
        <v>3</v>
      </c>
    </row>
    <row r="64">
      <c r="A64" t="inlineStr">
        <is>
          <t>Forced revolver target</t>
        </is>
      </c>
      <c r="B64" t="inlineStr">
        <is>
          <t>$mm</t>
        </is>
      </c>
      <c r="C64" s="224" t="n">
        <v>-1</v>
      </c>
      <c r="D64" s="224" t="n">
        <v>-1</v>
      </c>
      <c r="E64" s="224" t="n">
        <v>-1</v>
      </c>
      <c r="F64" s="224" t="n">
        <v>-1</v>
      </c>
      <c r="G64" s="224" t="n">
        <v>-1</v>
      </c>
      <c r="H64" s="224" t="n">
        <v>-1</v>
      </c>
      <c r="I64" s="224" t="n">
        <v>-1</v>
      </c>
      <c r="J64" s="224" t="n">
        <v>-1</v>
      </c>
      <c r="K64" s="224" t="n">
        <v>-1</v>
      </c>
      <c r="L64" s="224" t="n">
        <v>-1</v>
      </c>
      <c r="M64" s="224" t="n">
        <v>-1</v>
      </c>
      <c r="N64" s="224" t="n">
        <v>-1</v>
      </c>
      <c r="O64" s="224" t="n">
        <v>-1</v>
      </c>
      <c r="P64" s="224" t="n">
        <v>-1</v>
      </c>
      <c r="Q64" s="224" t="n">
        <v>-1</v>
      </c>
      <c r="R64" s="224" t="n">
        <v>-1</v>
      </c>
      <c r="S64" s="224" t="n">
        <v>-1</v>
      </c>
      <c r="T64" s="224" t="n">
        <v>-1</v>
      </c>
      <c r="U64" s="224" t="n">
        <v>-1</v>
      </c>
      <c r="V64" s="224" t="n">
        <v>-1</v>
      </c>
    </row>
    <row r="65">
      <c r="A65" t="inlineStr">
        <is>
          <t>Repay all revolver?</t>
        </is>
      </c>
      <c r="B65" t="inlineStr">
        <is>
          <t>flag</t>
        </is>
      </c>
      <c r="C65" s="227" t="n">
        <v>0</v>
      </c>
      <c r="D65" s="227" t="n">
        <v>0</v>
      </c>
      <c r="E65" s="227" t="n">
        <v>0</v>
      </c>
      <c r="F65" s="227" t="n">
        <v>0</v>
      </c>
      <c r="G65" s="227" t="n">
        <v>0</v>
      </c>
      <c r="H65" s="227" t="n">
        <v>0</v>
      </c>
      <c r="I65" s="227" t="n">
        <v>0</v>
      </c>
      <c r="J65" s="227" t="n">
        <v>0</v>
      </c>
      <c r="K65" s="227" t="n">
        <v>0</v>
      </c>
      <c r="L65" s="227" t="n">
        <v>0</v>
      </c>
      <c r="M65" s="227" t="n">
        <v>0</v>
      </c>
      <c r="N65" s="227" t="n">
        <v>0</v>
      </c>
      <c r="O65" s="227" t="n">
        <v>0</v>
      </c>
      <c r="P65" s="227" t="n">
        <v>0</v>
      </c>
      <c r="Q65" s="227" t="n">
        <v>0</v>
      </c>
      <c r="R65" s="227" t="n">
        <v>0</v>
      </c>
      <c r="S65" s="227" t="n">
        <v>0</v>
      </c>
      <c r="T65" s="227" t="n">
        <v>0</v>
      </c>
      <c r="U65" s="227" t="n">
        <v>0</v>
      </c>
      <c r="V65" s="227" t="n">
        <v>0</v>
      </c>
    </row>
    <row r="66">
      <c r="A66" t="inlineStr">
        <is>
          <t>Covenant limit</t>
        </is>
      </c>
      <c r="B66" t="inlineStr">
        <is>
          <t>x</t>
        </is>
      </c>
      <c r="C66" s="228" t="n">
        <v>4.25</v>
      </c>
      <c r="D66" s="228" t="n">
        <v>4.25</v>
      </c>
      <c r="E66" s="228" t="n">
        <v>4.25</v>
      </c>
      <c r="F66" s="228" t="n">
        <v>4.25</v>
      </c>
      <c r="G66" s="228" t="n">
        <v>4.25</v>
      </c>
      <c r="H66" s="228" t="n">
        <v>4.25</v>
      </c>
      <c r="I66" s="228" t="n">
        <v>4.25</v>
      </c>
      <c r="J66" s="228" t="n">
        <v>4</v>
      </c>
      <c r="K66" s="228" t="n">
        <v>4</v>
      </c>
      <c r="L66" s="228" t="n">
        <v>4</v>
      </c>
      <c r="M66" s="228" t="n">
        <v>4</v>
      </c>
      <c r="N66" s="228" t="n">
        <v>3.75</v>
      </c>
      <c r="O66" s="228" t="n">
        <v>3.75</v>
      </c>
      <c r="P66" s="228" t="n">
        <v>3.75</v>
      </c>
      <c r="Q66" s="228" t="n">
        <v>3.75</v>
      </c>
      <c r="R66" s="228" t="n">
        <v>3.5</v>
      </c>
      <c r="S66" s="228" t="n">
        <v>3.5</v>
      </c>
      <c r="T66" s="228" t="n">
        <v>3.5</v>
      </c>
      <c r="U66" s="228" t="n">
        <v>3.5</v>
      </c>
      <c r="V66" s="228" t="n">
        <v>3.5</v>
      </c>
    </row>
    <row r="67">
      <c r="A67" t="inlineStr">
        <is>
          <t>SOFR</t>
        </is>
      </c>
      <c r="B67" t="inlineStr">
        <is>
          <t>%</t>
        </is>
      </c>
      <c r="C67" s="225" t="n">
        <v>0.0425</v>
      </c>
      <c r="D67" s="225" t="n">
        <v>0.0425</v>
      </c>
      <c r="E67" s="225" t="n">
        <v>0.0425</v>
      </c>
      <c r="F67" s="225" t="n">
        <v>0.0375</v>
      </c>
      <c r="G67" s="225" t="n">
        <v>0.0375</v>
      </c>
      <c r="H67" s="225" t="n">
        <v>0.0375</v>
      </c>
      <c r="I67" s="225" t="n">
        <v>0.0375</v>
      </c>
      <c r="J67" s="225" t="n">
        <v>0.035</v>
      </c>
      <c r="K67" s="225" t="n">
        <v>0.035</v>
      </c>
      <c r="L67" s="225" t="n">
        <v>0.035</v>
      </c>
      <c r="M67" s="225" t="n">
        <v>0.035</v>
      </c>
      <c r="N67" s="225" t="n">
        <v>0.0325</v>
      </c>
      <c r="O67" s="225" t="n">
        <v>0.0325</v>
      </c>
      <c r="P67" s="225" t="n">
        <v>0.0325</v>
      </c>
      <c r="Q67" s="225" t="n">
        <v>0.0325</v>
      </c>
      <c r="R67" s="225" t="n">
        <v>0.03</v>
      </c>
      <c r="S67" s="225" t="n">
        <v>0.03</v>
      </c>
      <c r="T67" s="225" t="n">
        <v>0.03</v>
      </c>
      <c r="U67" s="225" t="n">
        <v>0.03</v>
      </c>
      <c r="V67" s="225" t="n">
        <v>0.03</v>
      </c>
    </row>
    <row r="68">
      <c r="A68" t="inlineStr">
        <is>
          <t>Rate step-up</t>
        </is>
      </c>
      <c r="B68" t="inlineStr">
        <is>
          <t>%</t>
        </is>
      </c>
      <c r="C68" s="225" t="n">
        <v>0</v>
      </c>
      <c r="D68" s="225" t="n">
        <v>0</v>
      </c>
      <c r="E68" s="225" t="n">
        <v>0</v>
      </c>
      <c r="F68" s="225" t="n">
        <v>0</v>
      </c>
      <c r="G68" s="225" t="n">
        <v>0</v>
      </c>
      <c r="H68" s="225" t="n">
        <v>0</v>
      </c>
      <c r="I68" s="225" t="n">
        <v>0</v>
      </c>
      <c r="J68" s="225" t="n">
        <v>0</v>
      </c>
      <c r="K68" s="225" t="n">
        <v>0</v>
      </c>
      <c r="L68" s="225" t="n">
        <v>0</v>
      </c>
      <c r="M68" s="225" t="n">
        <v>0</v>
      </c>
      <c r="N68" s="225" t="n">
        <v>0</v>
      </c>
      <c r="O68" s="225" t="n">
        <v>0</v>
      </c>
      <c r="P68" s="225" t="n">
        <v>0</v>
      </c>
      <c r="Q68" s="225" t="n">
        <v>0</v>
      </c>
      <c r="R68" s="225" t="n">
        <v>0</v>
      </c>
      <c r="S68" s="225" t="n">
        <v>0</v>
      </c>
      <c r="T68" s="225" t="n">
        <v>0</v>
      </c>
      <c r="U68" s="225" t="n">
        <v>0</v>
      </c>
      <c r="V68" s="225" t="n">
        <v>0</v>
      </c>
    </row>
    <row r="69">
      <c r="A69" t="inlineStr">
        <is>
          <t>Core PPA amortization</t>
        </is>
      </c>
      <c r="B69" t="inlineStr">
        <is>
          <t>$mm</t>
        </is>
      </c>
      <c r="C69" s="224" t="n">
        <v>0.75</v>
      </c>
      <c r="D69" s="224" t="n">
        <v>0.75</v>
      </c>
      <c r="E69" s="224" t="n">
        <v>0.75</v>
      </c>
      <c r="F69" s="224" t="n">
        <v>0.75</v>
      </c>
      <c r="G69" s="224" t="n">
        <v>0.75</v>
      </c>
      <c r="H69" s="224" t="n">
        <v>0.75</v>
      </c>
      <c r="I69" s="224" t="n">
        <v>0.75</v>
      </c>
      <c r="J69" s="224" t="n">
        <v>0.75</v>
      </c>
      <c r="K69" s="224" t="n">
        <v>0.75</v>
      </c>
      <c r="L69" s="224" t="n">
        <v>0.75</v>
      </c>
      <c r="M69" s="224" t="n">
        <v>0.75</v>
      </c>
      <c r="N69" s="224" t="n">
        <v>0.75</v>
      </c>
      <c r="O69" s="224" t="n">
        <v>0.75</v>
      </c>
      <c r="P69" s="224" t="n">
        <v>0.75</v>
      </c>
      <c r="Q69" s="224" t="n">
        <v>0.75</v>
      </c>
      <c r="R69" s="224" t="n">
        <v>0.75</v>
      </c>
      <c r="S69" s="224" t="n">
        <v>0.75</v>
      </c>
      <c r="T69" s="224" t="n">
        <v>0.75</v>
      </c>
      <c r="U69" s="224" t="n">
        <v>0.75</v>
      </c>
      <c r="V69" s="224" t="n">
        <v>0.75</v>
      </c>
    </row>
    <row r="70">
      <c r="A70" t="inlineStr">
        <is>
          <t>Seasonality</t>
        </is>
      </c>
      <c r="B70" t="inlineStr">
        <is>
          <t>%</t>
        </is>
      </c>
      <c r="C70" s="225" t="n">
        <v>0.25</v>
      </c>
      <c r="D70" s="225" t="n">
        <v>0.26</v>
      </c>
      <c r="E70" s="225" t="n">
        <v>0.26</v>
      </c>
      <c r="F70" s="225" t="n">
        <v>0.23</v>
      </c>
      <c r="G70" s="225" t="n">
        <v>0.25</v>
      </c>
      <c r="H70" s="225" t="n">
        <v>0.26</v>
      </c>
      <c r="I70" s="225" t="n">
        <v>0.26</v>
      </c>
      <c r="J70" s="225" t="n">
        <v>0.23</v>
      </c>
      <c r="K70" s="225" t="n">
        <v>0.25</v>
      </c>
      <c r="L70" s="225" t="n">
        <v>0.26</v>
      </c>
      <c r="M70" s="225" t="n">
        <v>0.26</v>
      </c>
      <c r="N70" s="225" t="n">
        <v>0.23</v>
      </c>
      <c r="O70" s="225" t="n">
        <v>0.25</v>
      </c>
      <c r="P70" s="225" t="n">
        <v>0.26</v>
      </c>
      <c r="Q70" s="225" t="n">
        <v>0.26</v>
      </c>
      <c r="R70" s="225" t="n">
        <v>0.23</v>
      </c>
      <c r="S70" s="225" t="n">
        <v>0.25</v>
      </c>
      <c r="T70" s="225" t="n">
        <v>0.26</v>
      </c>
      <c r="U70" s="225" t="n">
        <v>0.26</v>
      </c>
      <c r="V70" s="225" t="n">
        <v>0.23</v>
      </c>
    </row>
    <row r="71"/>
    <row r="72" ht="20" customHeight="1">
      <c r="A72" s="39" t="inlineStr">
        <is>
          <t>Standalone Upside</t>
        </is>
      </c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</row>
    <row r="73">
      <c r="A73" t="inlineStr">
        <is>
          <t>Revenue</t>
        </is>
      </c>
      <c r="B73" t="inlineStr">
        <is>
          <t>$mm</t>
        </is>
      </c>
      <c r="C73" s="224" t="n">
        <v>20.0725</v>
      </c>
      <c r="D73" s="224" t="n">
        <v>20.8754</v>
      </c>
      <c r="E73" s="224" t="n">
        <v>20.8754</v>
      </c>
      <c r="F73" s="224" t="n">
        <v>20.0363695</v>
      </c>
      <c r="G73" s="224" t="n">
        <v>21.7786625</v>
      </c>
      <c r="H73" s="224" t="n">
        <v>22.649809</v>
      </c>
      <c r="I73" s="224" t="n">
        <v>22.649809</v>
      </c>
      <c r="J73" s="224" t="n">
        <v>21.7394609075</v>
      </c>
      <c r="K73" s="224" t="n">
        <v>23.62984881249999</v>
      </c>
      <c r="L73" s="224" t="n">
        <v>24.575042765</v>
      </c>
      <c r="M73" s="224" t="n">
        <v>24.575042765</v>
      </c>
      <c r="N73" s="224" t="n">
        <v>23.58731508463749</v>
      </c>
      <c r="O73" s="224" t="n">
        <v>25.63838596156249</v>
      </c>
      <c r="P73" s="224" t="n">
        <v>26.66392140002499</v>
      </c>
      <c r="Q73" s="224" t="n">
        <v>26.66392140002499</v>
      </c>
      <c r="R73" s="224" t="n">
        <v>25.59223686683168</v>
      </c>
      <c r="S73" s="224" t="n">
        <v>27.8176487682953</v>
      </c>
      <c r="T73" s="224" t="n">
        <v>28.93035471902711</v>
      </c>
      <c r="U73" s="224" t="n">
        <v>28.93035471902711</v>
      </c>
      <c r="V73" s="224" t="n">
        <v>27.76757700051237</v>
      </c>
    </row>
    <row r="74">
      <c r="A74" t="inlineStr">
        <is>
          <t>Gross margin</t>
        </is>
      </c>
      <c r="B74" t="inlineStr">
        <is>
          <t>%</t>
        </is>
      </c>
      <c r="C74" s="225" t="n">
        <v>0.365</v>
      </c>
      <c r="D74" s="225" t="n">
        <v>0.365</v>
      </c>
      <c r="E74" s="225" t="n">
        <v>0.365</v>
      </c>
      <c r="F74" s="225" t="n">
        <v>0.372</v>
      </c>
      <c r="G74" s="225" t="n">
        <v>0.3720000000000001</v>
      </c>
      <c r="H74" s="225" t="n">
        <v>0.3720000000000001</v>
      </c>
      <c r="I74" s="225" t="n">
        <v>0.3720000000000001</v>
      </c>
      <c r="J74" s="225" t="n">
        <v>0.378</v>
      </c>
      <c r="K74" s="225" t="n">
        <v>0.378</v>
      </c>
      <c r="L74" s="225" t="n">
        <v>0.378</v>
      </c>
      <c r="M74" s="225" t="n">
        <v>0.378</v>
      </c>
      <c r="N74" s="225" t="n">
        <v>0.382</v>
      </c>
      <c r="O74" s="225" t="n">
        <v>0.382</v>
      </c>
      <c r="P74" s="225" t="n">
        <v>0.382</v>
      </c>
      <c r="Q74" s="225" t="n">
        <v>0.382</v>
      </c>
      <c r="R74" s="225" t="n">
        <v>0.384</v>
      </c>
      <c r="S74" s="225" t="n">
        <v>0.384</v>
      </c>
      <c r="T74" s="225" t="n">
        <v>0.384</v>
      </c>
      <c r="U74" s="225" t="n">
        <v>0.384</v>
      </c>
      <c r="V74" s="225" t="n">
        <v>0.385</v>
      </c>
    </row>
    <row r="75">
      <c r="A75" t="inlineStr">
        <is>
          <t>Firm EBITDA</t>
        </is>
      </c>
      <c r="B75" t="inlineStr">
        <is>
          <t>$mm</t>
        </is>
      </c>
      <c r="C75" s="224" t="n">
        <v>3.2116</v>
      </c>
      <c r="D75" s="224" t="n">
        <v>3.340064</v>
      </c>
      <c r="E75" s="224" t="n">
        <v>3.340064</v>
      </c>
      <c r="F75" s="224" t="n">
        <v>3.366110076</v>
      </c>
      <c r="G75" s="224" t="n">
        <v>3.6588153</v>
      </c>
      <c r="H75" s="224" t="n">
        <v>3.805167912</v>
      </c>
      <c r="I75" s="224" t="n">
        <v>3.805167912</v>
      </c>
      <c r="J75" s="224" t="n">
        <v>3.782666197904999</v>
      </c>
      <c r="K75" s="224" t="n">
        <v>4.111593693374998</v>
      </c>
      <c r="L75" s="224" t="n">
        <v>4.276057441109999</v>
      </c>
      <c r="M75" s="224" t="n">
        <v>4.276057441109999</v>
      </c>
      <c r="N75" s="224" t="n">
        <v>4.245716715234749</v>
      </c>
      <c r="O75" s="224" t="n">
        <v>4.614909473081248</v>
      </c>
      <c r="P75" s="224" t="n">
        <v>4.799505852004499</v>
      </c>
      <c r="Q75" s="224" t="n">
        <v>4.799505852004499</v>
      </c>
      <c r="R75" s="224" t="n">
        <v>4.683379346630197</v>
      </c>
      <c r="S75" s="224" t="n">
        <v>5.09062972459804</v>
      </c>
      <c r="T75" s="224" t="n">
        <v>5.294254913581962</v>
      </c>
      <c r="U75" s="224" t="n">
        <v>5.294254913581962</v>
      </c>
      <c r="V75" s="224" t="n">
        <v>5.137001745094789</v>
      </c>
    </row>
    <row r="76">
      <c r="A76" t="inlineStr">
        <is>
          <t>One-time charges</t>
        </is>
      </c>
      <c r="B76" t="inlineStr">
        <is>
          <t>$mm</t>
        </is>
      </c>
      <c r="C76" s="224" t="n">
        <v>0</v>
      </c>
      <c r="D76" s="224" t="n">
        <v>0</v>
      </c>
      <c r="E76" s="224" t="n">
        <v>0</v>
      </c>
      <c r="F76" s="224" t="n">
        <v>0</v>
      </c>
      <c r="G76" s="224" t="n">
        <v>0</v>
      </c>
      <c r="H76" s="224" t="n">
        <v>0</v>
      </c>
      <c r="I76" s="224" t="n">
        <v>0</v>
      </c>
      <c r="J76" s="224" t="n">
        <v>0</v>
      </c>
      <c r="K76" s="224" t="n">
        <v>0</v>
      </c>
      <c r="L76" s="224" t="n">
        <v>0</v>
      </c>
      <c r="M76" s="224" t="n">
        <v>0</v>
      </c>
      <c r="N76" s="224" t="n">
        <v>0</v>
      </c>
      <c r="O76" s="224" t="n">
        <v>0</v>
      </c>
      <c r="P76" s="224" t="n">
        <v>0</v>
      </c>
      <c r="Q76" s="224" t="n">
        <v>0</v>
      </c>
      <c r="R76" s="224" t="n">
        <v>0</v>
      </c>
      <c r="S76" s="224" t="n">
        <v>0</v>
      </c>
      <c r="T76" s="224" t="n">
        <v>0</v>
      </c>
      <c r="U76" s="224" t="n">
        <v>0</v>
      </c>
      <c r="V76" s="224" t="n">
        <v>0</v>
      </c>
    </row>
    <row r="77">
      <c r="A77" t="inlineStr">
        <is>
          <t>Covenant add-backs</t>
        </is>
      </c>
      <c r="B77" t="inlineStr">
        <is>
          <t>$mm</t>
        </is>
      </c>
      <c r="C77" s="224" t="n">
        <v>0</v>
      </c>
      <c r="D77" s="224" t="n">
        <v>0</v>
      </c>
      <c r="E77" s="224" t="n">
        <v>0</v>
      </c>
      <c r="F77" s="224" t="n">
        <v>0</v>
      </c>
      <c r="G77" s="224" t="n">
        <v>0</v>
      </c>
      <c r="H77" s="224" t="n">
        <v>0</v>
      </c>
      <c r="I77" s="224" t="n">
        <v>0</v>
      </c>
      <c r="J77" s="224" t="n">
        <v>0</v>
      </c>
      <c r="K77" s="224" t="n">
        <v>0</v>
      </c>
      <c r="L77" s="224" t="n">
        <v>0</v>
      </c>
      <c r="M77" s="224" t="n">
        <v>0</v>
      </c>
      <c r="N77" s="224" t="n">
        <v>0</v>
      </c>
      <c r="O77" s="224" t="n">
        <v>0</v>
      </c>
      <c r="P77" s="224" t="n">
        <v>0</v>
      </c>
      <c r="Q77" s="224" t="n">
        <v>0</v>
      </c>
      <c r="R77" s="224" t="n">
        <v>0</v>
      </c>
      <c r="S77" s="224" t="n">
        <v>0</v>
      </c>
      <c r="T77" s="224" t="n">
        <v>0</v>
      </c>
      <c r="U77" s="224" t="n">
        <v>0</v>
      </c>
      <c r="V77" s="224" t="n">
        <v>0</v>
      </c>
    </row>
    <row r="78">
      <c r="A78" t="inlineStr">
        <is>
          <t>DSO</t>
        </is>
      </c>
      <c r="B78" t="inlineStr">
        <is>
          <t>days</t>
        </is>
      </c>
      <c r="C78" s="227" t="n">
        <v>62</v>
      </c>
      <c r="D78" s="227" t="n">
        <v>62</v>
      </c>
      <c r="E78" s="227" t="n">
        <v>62</v>
      </c>
      <c r="F78" s="227" t="n">
        <v>60</v>
      </c>
      <c r="G78" s="227" t="n">
        <v>60</v>
      </c>
      <c r="H78" s="227" t="n">
        <v>60</v>
      </c>
      <c r="I78" s="227" t="n">
        <v>60</v>
      </c>
      <c r="J78" s="227" t="n">
        <v>59</v>
      </c>
      <c r="K78" s="227" t="n">
        <v>59</v>
      </c>
      <c r="L78" s="227" t="n">
        <v>59</v>
      </c>
      <c r="M78" s="227" t="n">
        <v>59</v>
      </c>
      <c r="N78" s="227" t="n">
        <v>58</v>
      </c>
      <c r="O78" s="227" t="n">
        <v>58</v>
      </c>
      <c r="P78" s="227" t="n">
        <v>58</v>
      </c>
      <c r="Q78" s="227" t="n">
        <v>58</v>
      </c>
      <c r="R78" s="227" t="n">
        <v>58</v>
      </c>
      <c r="S78" s="227" t="n">
        <v>58</v>
      </c>
      <c r="T78" s="227" t="n">
        <v>58</v>
      </c>
      <c r="U78" s="227" t="n">
        <v>58</v>
      </c>
      <c r="V78" s="227" t="n">
        <v>58</v>
      </c>
    </row>
    <row r="79">
      <c r="A79" t="inlineStr">
        <is>
          <t>WIP / annualized revenue</t>
        </is>
      </c>
      <c r="B79" t="inlineStr">
        <is>
          <t>%</t>
        </is>
      </c>
      <c r="C79" s="225" t="n">
        <v>0.065</v>
      </c>
      <c r="D79" s="225" t="n">
        <v>0.065</v>
      </c>
      <c r="E79" s="225" t="n">
        <v>0.065</v>
      </c>
      <c r="F79" s="225" t="n">
        <v>0.062</v>
      </c>
      <c r="G79" s="225" t="n">
        <v>0.062</v>
      </c>
      <c r="H79" s="225" t="n">
        <v>0.062</v>
      </c>
      <c r="I79" s="225" t="n">
        <v>0.062</v>
      </c>
      <c r="J79" s="225" t="n">
        <v>0.06</v>
      </c>
      <c r="K79" s="225" t="n">
        <v>0.06</v>
      </c>
      <c r="L79" s="225" t="n">
        <v>0.06</v>
      </c>
      <c r="M79" s="225" t="n">
        <v>0.06</v>
      </c>
      <c r="N79" s="225" t="n">
        <v>0.058</v>
      </c>
      <c r="O79" s="225" t="n">
        <v>0.058</v>
      </c>
      <c r="P79" s="225" t="n">
        <v>0.058</v>
      </c>
      <c r="Q79" s="225" t="n">
        <v>0.058</v>
      </c>
      <c r="R79" s="225" t="n">
        <v>0.057</v>
      </c>
      <c r="S79" s="225" t="n">
        <v>0.057</v>
      </c>
      <c r="T79" s="225" t="n">
        <v>0.057</v>
      </c>
      <c r="U79" s="225" t="n">
        <v>0.057</v>
      </c>
      <c r="V79" s="225" t="n">
        <v>0.056</v>
      </c>
    </row>
    <row r="80">
      <c r="A80" t="inlineStr">
        <is>
          <t>Prepaids / annualized revenue</t>
        </is>
      </c>
      <c r="B80" t="inlineStr">
        <is>
          <t>%</t>
        </is>
      </c>
      <c r="C80" s="225" t="n">
        <v>0.012</v>
      </c>
      <c r="D80" s="225" t="n">
        <v>0.012</v>
      </c>
      <c r="E80" s="225" t="n">
        <v>0.012</v>
      </c>
      <c r="F80" s="225" t="n">
        <v>0.012</v>
      </c>
      <c r="G80" s="225" t="n">
        <v>0.012</v>
      </c>
      <c r="H80" s="225" t="n">
        <v>0.012</v>
      </c>
      <c r="I80" s="225" t="n">
        <v>0.012</v>
      </c>
      <c r="J80" s="225" t="n">
        <v>0.012</v>
      </c>
      <c r="K80" s="225" t="n">
        <v>0.012</v>
      </c>
      <c r="L80" s="225" t="n">
        <v>0.012</v>
      </c>
      <c r="M80" s="225" t="n">
        <v>0.012</v>
      </c>
      <c r="N80" s="225" t="n">
        <v>0.012</v>
      </c>
      <c r="O80" s="225" t="n">
        <v>0.012</v>
      </c>
      <c r="P80" s="225" t="n">
        <v>0.012</v>
      </c>
      <c r="Q80" s="225" t="n">
        <v>0.012</v>
      </c>
      <c r="R80" s="225" t="n">
        <v>0.012</v>
      </c>
      <c r="S80" s="225" t="n">
        <v>0.012</v>
      </c>
      <c r="T80" s="225" t="n">
        <v>0.012</v>
      </c>
      <c r="U80" s="225" t="n">
        <v>0.012</v>
      </c>
      <c r="V80" s="225" t="n">
        <v>0.012</v>
      </c>
    </row>
    <row r="81">
      <c r="A81" t="inlineStr">
        <is>
          <t>AP / annualized revenue</t>
        </is>
      </c>
      <c r="B81" t="inlineStr">
        <is>
          <t>%</t>
        </is>
      </c>
      <c r="C81" s="225" t="n">
        <v>0.055</v>
      </c>
      <c r="D81" s="225" t="n">
        <v>0.055</v>
      </c>
      <c r="E81" s="225" t="n">
        <v>0.055</v>
      </c>
      <c r="F81" s="225" t="n">
        <v>0.055</v>
      </c>
      <c r="G81" s="225" t="n">
        <v>0.055</v>
      </c>
      <c r="H81" s="225" t="n">
        <v>0.055</v>
      </c>
      <c r="I81" s="225" t="n">
        <v>0.055</v>
      </c>
      <c r="J81" s="225" t="n">
        <v>0.055</v>
      </c>
      <c r="K81" s="225" t="n">
        <v>0.055</v>
      </c>
      <c r="L81" s="225" t="n">
        <v>0.055</v>
      </c>
      <c r="M81" s="225" t="n">
        <v>0.055</v>
      </c>
      <c r="N81" s="225" t="n">
        <v>0.055</v>
      </c>
      <c r="O81" s="225" t="n">
        <v>0.055</v>
      </c>
      <c r="P81" s="225" t="n">
        <v>0.055</v>
      </c>
      <c r="Q81" s="225" t="n">
        <v>0.055</v>
      </c>
      <c r="R81" s="225" t="n">
        <v>0.055</v>
      </c>
      <c r="S81" s="225" t="n">
        <v>0.055</v>
      </c>
      <c r="T81" s="225" t="n">
        <v>0.055</v>
      </c>
      <c r="U81" s="225" t="n">
        <v>0.055</v>
      </c>
      <c r="V81" s="225" t="n">
        <v>0.055</v>
      </c>
    </row>
    <row r="82">
      <c r="A82" t="inlineStr">
        <is>
          <t>Accruals / annualized revenue</t>
        </is>
      </c>
      <c r="B82" t="inlineStr">
        <is>
          <t>%</t>
        </is>
      </c>
      <c r="C82" s="225" t="n">
        <v>0.075</v>
      </c>
      <c r="D82" s="225" t="n">
        <v>0.075</v>
      </c>
      <c r="E82" s="225" t="n">
        <v>0.075</v>
      </c>
      <c r="F82" s="225" t="n">
        <v>0.075</v>
      </c>
      <c r="G82" s="225" t="n">
        <v>0.075</v>
      </c>
      <c r="H82" s="225" t="n">
        <v>0.075</v>
      </c>
      <c r="I82" s="225" t="n">
        <v>0.075</v>
      </c>
      <c r="J82" s="225" t="n">
        <v>0.075</v>
      </c>
      <c r="K82" s="225" t="n">
        <v>0.075</v>
      </c>
      <c r="L82" s="225" t="n">
        <v>0.075</v>
      </c>
      <c r="M82" s="225" t="n">
        <v>0.075</v>
      </c>
      <c r="N82" s="225" t="n">
        <v>0.075</v>
      </c>
      <c r="O82" s="225" t="n">
        <v>0.075</v>
      </c>
      <c r="P82" s="225" t="n">
        <v>0.075</v>
      </c>
      <c r="Q82" s="225" t="n">
        <v>0.075</v>
      </c>
      <c r="R82" s="225" t="n">
        <v>0.075</v>
      </c>
      <c r="S82" s="225" t="n">
        <v>0.075</v>
      </c>
      <c r="T82" s="225" t="n">
        <v>0.075</v>
      </c>
      <c r="U82" s="225" t="n">
        <v>0.075</v>
      </c>
      <c r="V82" s="225" t="n">
        <v>0.075</v>
      </c>
    </row>
    <row r="83">
      <c r="A83" t="inlineStr">
        <is>
          <t>Deferred revenue / annualized revenue</t>
        </is>
      </c>
      <c r="B83" t="inlineStr">
        <is>
          <t>%</t>
        </is>
      </c>
      <c r="C83" s="225" t="n">
        <v>0.012</v>
      </c>
      <c r="D83" s="225" t="n">
        <v>0.012</v>
      </c>
      <c r="E83" s="225" t="n">
        <v>0.012</v>
      </c>
      <c r="F83" s="225" t="n">
        <v>0.012</v>
      </c>
      <c r="G83" s="225" t="n">
        <v>0.012</v>
      </c>
      <c r="H83" s="225" t="n">
        <v>0.012</v>
      </c>
      <c r="I83" s="225" t="n">
        <v>0.012</v>
      </c>
      <c r="J83" s="225" t="n">
        <v>0.012</v>
      </c>
      <c r="K83" s="225" t="n">
        <v>0.012</v>
      </c>
      <c r="L83" s="225" t="n">
        <v>0.012</v>
      </c>
      <c r="M83" s="225" t="n">
        <v>0.012</v>
      </c>
      <c r="N83" s="225" t="n">
        <v>0.012</v>
      </c>
      <c r="O83" s="225" t="n">
        <v>0.012</v>
      </c>
      <c r="P83" s="225" t="n">
        <v>0.012</v>
      </c>
      <c r="Q83" s="225" t="n">
        <v>0.012</v>
      </c>
      <c r="R83" s="225" t="n">
        <v>0.012</v>
      </c>
      <c r="S83" s="225" t="n">
        <v>0.012</v>
      </c>
      <c r="T83" s="225" t="n">
        <v>0.012</v>
      </c>
      <c r="U83" s="225" t="n">
        <v>0.012</v>
      </c>
      <c r="V83" s="225" t="n">
        <v>0.012</v>
      </c>
    </row>
    <row r="84">
      <c r="A84" t="inlineStr">
        <is>
          <t>Capex / revenue</t>
        </is>
      </c>
      <c r="B84" t="inlineStr">
        <is>
          <t>%</t>
        </is>
      </c>
      <c r="C84" s="225" t="n">
        <v>0.016</v>
      </c>
      <c r="D84" s="225" t="n">
        <v>0.016</v>
      </c>
      <c r="E84" s="225" t="n">
        <v>0.016</v>
      </c>
      <c r="F84" s="225" t="n">
        <v>0.016</v>
      </c>
      <c r="G84" s="225" t="n">
        <v>0.016</v>
      </c>
      <c r="H84" s="225" t="n">
        <v>0.016</v>
      </c>
      <c r="I84" s="225" t="n">
        <v>0.016</v>
      </c>
      <c r="J84" s="225" t="n">
        <v>0.016</v>
      </c>
      <c r="K84" s="225" t="n">
        <v>0.016</v>
      </c>
      <c r="L84" s="225" t="n">
        <v>0.016</v>
      </c>
      <c r="M84" s="225" t="n">
        <v>0.016</v>
      </c>
      <c r="N84" s="225" t="n">
        <v>0.016</v>
      </c>
      <c r="O84" s="225" t="n">
        <v>0.016</v>
      </c>
      <c r="P84" s="225" t="n">
        <v>0.016</v>
      </c>
      <c r="Q84" s="225" t="n">
        <v>0.016</v>
      </c>
      <c r="R84" s="225" t="n">
        <v>0.016</v>
      </c>
      <c r="S84" s="225" t="n">
        <v>0.016</v>
      </c>
      <c r="T84" s="225" t="n">
        <v>0.016</v>
      </c>
      <c r="U84" s="225" t="n">
        <v>0.016</v>
      </c>
      <c r="V84" s="225" t="n">
        <v>0.016</v>
      </c>
    </row>
    <row r="85">
      <c r="A85" t="inlineStr">
        <is>
          <t>Acquired NWC</t>
        </is>
      </c>
      <c r="B85" t="inlineStr">
        <is>
          <t>$mm</t>
        </is>
      </c>
      <c r="C85" s="224" t="n">
        <v>0</v>
      </c>
      <c r="D85" s="224" t="n">
        <v>0</v>
      </c>
      <c r="E85" s="224" t="n">
        <v>0</v>
      </c>
      <c r="F85" s="224" t="n">
        <v>0</v>
      </c>
      <c r="G85" s="224" t="n">
        <v>0</v>
      </c>
      <c r="H85" s="224" t="n">
        <v>0</v>
      </c>
      <c r="I85" s="224" t="n">
        <v>0</v>
      </c>
      <c r="J85" s="224" t="n">
        <v>0</v>
      </c>
      <c r="K85" s="224" t="n">
        <v>0</v>
      </c>
      <c r="L85" s="224" t="n">
        <v>0</v>
      </c>
      <c r="M85" s="224" t="n">
        <v>0</v>
      </c>
      <c r="N85" s="224" t="n">
        <v>0</v>
      </c>
      <c r="O85" s="224" t="n">
        <v>0</v>
      </c>
      <c r="P85" s="224" t="n">
        <v>0</v>
      </c>
      <c r="Q85" s="224" t="n">
        <v>0</v>
      </c>
      <c r="R85" s="224" t="n">
        <v>0</v>
      </c>
      <c r="S85" s="224" t="n">
        <v>0</v>
      </c>
      <c r="T85" s="224" t="n">
        <v>0</v>
      </c>
      <c r="U85" s="224" t="n">
        <v>0</v>
      </c>
      <c r="V85" s="224" t="n">
        <v>0</v>
      </c>
    </row>
    <row r="86">
      <c r="A86" t="inlineStr">
        <is>
          <t>Acquired PP&amp;E</t>
        </is>
      </c>
      <c r="B86" t="inlineStr">
        <is>
          <t>$mm</t>
        </is>
      </c>
      <c r="C86" s="224" t="n">
        <v>0</v>
      </c>
      <c r="D86" s="224" t="n">
        <v>0</v>
      </c>
      <c r="E86" s="224" t="n">
        <v>0</v>
      </c>
      <c r="F86" s="224" t="n">
        <v>0</v>
      </c>
      <c r="G86" s="224" t="n">
        <v>0</v>
      </c>
      <c r="H86" s="224" t="n">
        <v>0</v>
      </c>
      <c r="I86" s="224" t="n">
        <v>0</v>
      </c>
      <c r="J86" s="224" t="n">
        <v>0</v>
      </c>
      <c r="K86" s="224" t="n">
        <v>0</v>
      </c>
      <c r="L86" s="224" t="n">
        <v>0</v>
      </c>
      <c r="M86" s="224" t="n">
        <v>0</v>
      </c>
      <c r="N86" s="224" t="n">
        <v>0</v>
      </c>
      <c r="O86" s="224" t="n">
        <v>0</v>
      </c>
      <c r="P86" s="224" t="n">
        <v>0</v>
      </c>
      <c r="Q86" s="224" t="n">
        <v>0</v>
      </c>
      <c r="R86" s="224" t="n">
        <v>0</v>
      </c>
      <c r="S86" s="224" t="n">
        <v>0</v>
      </c>
      <c r="T86" s="224" t="n">
        <v>0</v>
      </c>
      <c r="U86" s="224" t="n">
        <v>0</v>
      </c>
      <c r="V86" s="224" t="n">
        <v>0</v>
      </c>
    </row>
    <row r="87">
      <c r="A87" t="inlineStr">
        <is>
          <t>Acquisition EV</t>
        </is>
      </c>
      <c r="B87" t="inlineStr">
        <is>
          <t>$mm</t>
        </is>
      </c>
      <c r="C87" s="224" t="n">
        <v>0</v>
      </c>
      <c r="D87" s="224" t="n">
        <v>0</v>
      </c>
      <c r="E87" s="224" t="n">
        <v>0</v>
      </c>
      <c r="F87" s="224" t="n">
        <v>0</v>
      </c>
      <c r="G87" s="224" t="n">
        <v>0</v>
      </c>
      <c r="H87" s="224" t="n">
        <v>0</v>
      </c>
      <c r="I87" s="224" t="n">
        <v>0</v>
      </c>
      <c r="J87" s="224" t="n">
        <v>0</v>
      </c>
      <c r="K87" s="224" t="n">
        <v>0</v>
      </c>
      <c r="L87" s="224" t="n">
        <v>0</v>
      </c>
      <c r="M87" s="224" t="n">
        <v>0</v>
      </c>
      <c r="N87" s="224" t="n">
        <v>0</v>
      </c>
      <c r="O87" s="224" t="n">
        <v>0</v>
      </c>
      <c r="P87" s="224" t="n">
        <v>0</v>
      </c>
      <c r="Q87" s="224" t="n">
        <v>0</v>
      </c>
      <c r="R87" s="224" t="n">
        <v>0</v>
      </c>
      <c r="S87" s="224" t="n">
        <v>0</v>
      </c>
      <c r="T87" s="224" t="n">
        <v>0</v>
      </c>
      <c r="U87" s="224" t="n">
        <v>0</v>
      </c>
      <c r="V87" s="224" t="n">
        <v>0</v>
      </c>
    </row>
    <row r="88">
      <c r="A88" t="inlineStr">
        <is>
          <t>Acquisition fees</t>
        </is>
      </c>
      <c r="B88" t="inlineStr">
        <is>
          <t>$mm</t>
        </is>
      </c>
      <c r="C88" s="224" t="n">
        <v>0</v>
      </c>
      <c r="D88" s="224" t="n">
        <v>0</v>
      </c>
      <c r="E88" s="224" t="n">
        <v>0</v>
      </c>
      <c r="F88" s="224" t="n">
        <v>0</v>
      </c>
      <c r="G88" s="224" t="n">
        <v>0</v>
      </c>
      <c r="H88" s="224" t="n">
        <v>0</v>
      </c>
      <c r="I88" s="224" t="n">
        <v>0</v>
      </c>
      <c r="J88" s="224" t="n">
        <v>0</v>
      </c>
      <c r="K88" s="224" t="n">
        <v>0</v>
      </c>
      <c r="L88" s="224" t="n">
        <v>0</v>
      </c>
      <c r="M88" s="224" t="n">
        <v>0</v>
      </c>
      <c r="N88" s="224" t="n">
        <v>0</v>
      </c>
      <c r="O88" s="224" t="n">
        <v>0</v>
      </c>
      <c r="P88" s="224" t="n">
        <v>0</v>
      </c>
      <c r="Q88" s="224" t="n">
        <v>0</v>
      </c>
      <c r="R88" s="224" t="n">
        <v>0</v>
      </c>
      <c r="S88" s="224" t="n">
        <v>0</v>
      </c>
      <c r="T88" s="224" t="n">
        <v>0</v>
      </c>
      <c r="U88" s="224" t="n">
        <v>0</v>
      </c>
      <c r="V88" s="224" t="n">
        <v>0</v>
      </c>
    </row>
    <row r="89">
      <c r="A89" t="inlineStr">
        <is>
          <t>Acquired intangibles</t>
        </is>
      </c>
      <c r="B89" t="inlineStr">
        <is>
          <t>$mm</t>
        </is>
      </c>
      <c r="C89" s="224" t="n">
        <v>0</v>
      </c>
      <c r="D89" s="224" t="n">
        <v>0</v>
      </c>
      <c r="E89" s="224" t="n">
        <v>0</v>
      </c>
      <c r="F89" s="224" t="n">
        <v>0</v>
      </c>
      <c r="G89" s="224" t="n">
        <v>0</v>
      </c>
      <c r="H89" s="224" t="n">
        <v>0</v>
      </c>
      <c r="I89" s="224" t="n">
        <v>0</v>
      </c>
      <c r="J89" s="224" t="n">
        <v>0</v>
      </c>
      <c r="K89" s="224" t="n">
        <v>0</v>
      </c>
      <c r="L89" s="224" t="n">
        <v>0</v>
      </c>
      <c r="M89" s="224" t="n">
        <v>0</v>
      </c>
      <c r="N89" s="224" t="n">
        <v>0</v>
      </c>
      <c r="O89" s="224" t="n">
        <v>0</v>
      </c>
      <c r="P89" s="224" t="n">
        <v>0</v>
      </c>
      <c r="Q89" s="224" t="n">
        <v>0</v>
      </c>
      <c r="R89" s="224" t="n">
        <v>0</v>
      </c>
      <c r="S89" s="224" t="n">
        <v>0</v>
      </c>
      <c r="T89" s="224" t="n">
        <v>0</v>
      </c>
      <c r="U89" s="224" t="n">
        <v>0</v>
      </c>
      <c r="V89" s="224" t="n">
        <v>0</v>
      </c>
    </row>
    <row r="90">
      <c r="A90" t="inlineStr">
        <is>
          <t>Acquired goodwill</t>
        </is>
      </c>
      <c r="B90" t="inlineStr">
        <is>
          <t>$mm</t>
        </is>
      </c>
      <c r="C90" s="224" t="n">
        <v>0</v>
      </c>
      <c r="D90" s="224" t="n">
        <v>0</v>
      </c>
      <c r="E90" s="224" t="n">
        <v>0</v>
      </c>
      <c r="F90" s="224" t="n">
        <v>0</v>
      </c>
      <c r="G90" s="224" t="n">
        <v>0</v>
      </c>
      <c r="H90" s="224" t="n">
        <v>0</v>
      </c>
      <c r="I90" s="224" t="n">
        <v>0</v>
      </c>
      <c r="J90" s="224" t="n">
        <v>0</v>
      </c>
      <c r="K90" s="224" t="n">
        <v>0</v>
      </c>
      <c r="L90" s="224" t="n">
        <v>0</v>
      </c>
      <c r="M90" s="224" t="n">
        <v>0</v>
      </c>
      <c r="N90" s="224" t="n">
        <v>0</v>
      </c>
      <c r="O90" s="224" t="n">
        <v>0</v>
      </c>
      <c r="P90" s="224" t="n">
        <v>0</v>
      </c>
      <c r="Q90" s="224" t="n">
        <v>0</v>
      </c>
      <c r="R90" s="224" t="n">
        <v>0</v>
      </c>
      <c r="S90" s="224" t="n">
        <v>0</v>
      </c>
      <c r="T90" s="224" t="n">
        <v>0</v>
      </c>
      <c r="U90" s="224" t="n">
        <v>0</v>
      </c>
      <c r="V90" s="224" t="n">
        <v>0</v>
      </c>
    </row>
    <row r="91">
      <c r="A91" t="inlineStr">
        <is>
          <t>Acquired DTL</t>
        </is>
      </c>
      <c r="B91" t="inlineStr">
        <is>
          <t>$mm</t>
        </is>
      </c>
      <c r="C91" s="224" t="n">
        <v>0</v>
      </c>
      <c r="D91" s="224" t="n">
        <v>0</v>
      </c>
      <c r="E91" s="224" t="n">
        <v>0</v>
      </c>
      <c r="F91" s="224" t="n">
        <v>0</v>
      </c>
      <c r="G91" s="224" t="n">
        <v>0</v>
      </c>
      <c r="H91" s="224" t="n">
        <v>0</v>
      </c>
      <c r="I91" s="224" t="n">
        <v>0</v>
      </c>
      <c r="J91" s="224" t="n">
        <v>0</v>
      </c>
      <c r="K91" s="224" t="n">
        <v>0</v>
      </c>
      <c r="L91" s="224" t="n">
        <v>0</v>
      </c>
      <c r="M91" s="224" t="n">
        <v>0</v>
      </c>
      <c r="N91" s="224" t="n">
        <v>0</v>
      </c>
      <c r="O91" s="224" t="n">
        <v>0</v>
      </c>
      <c r="P91" s="224" t="n">
        <v>0</v>
      </c>
      <c r="Q91" s="224" t="n">
        <v>0</v>
      </c>
      <c r="R91" s="224" t="n">
        <v>0</v>
      </c>
      <c r="S91" s="224" t="n">
        <v>0</v>
      </c>
      <c r="T91" s="224" t="n">
        <v>0</v>
      </c>
      <c r="U91" s="224" t="n">
        <v>0</v>
      </c>
      <c r="V91" s="224" t="n">
        <v>0</v>
      </c>
    </row>
    <row r="92">
      <c r="A92" t="inlineStr">
        <is>
          <t>Acquired other liabilities</t>
        </is>
      </c>
      <c r="B92" t="inlineStr">
        <is>
          <t>$mm</t>
        </is>
      </c>
      <c r="C92" s="224" t="n">
        <v>0</v>
      </c>
      <c r="D92" s="224" t="n">
        <v>0</v>
      </c>
      <c r="E92" s="224" t="n">
        <v>0</v>
      </c>
      <c r="F92" s="224" t="n">
        <v>0</v>
      </c>
      <c r="G92" s="224" t="n">
        <v>0</v>
      </c>
      <c r="H92" s="224" t="n">
        <v>0</v>
      </c>
      <c r="I92" s="224" t="n">
        <v>0</v>
      </c>
      <c r="J92" s="224" t="n">
        <v>0</v>
      </c>
      <c r="K92" s="224" t="n">
        <v>0</v>
      </c>
      <c r="L92" s="224" t="n">
        <v>0</v>
      </c>
      <c r="M92" s="224" t="n">
        <v>0</v>
      </c>
      <c r="N92" s="224" t="n">
        <v>0</v>
      </c>
      <c r="O92" s="224" t="n">
        <v>0</v>
      </c>
      <c r="P92" s="224" t="n">
        <v>0</v>
      </c>
      <c r="Q92" s="224" t="n">
        <v>0</v>
      </c>
      <c r="R92" s="224" t="n">
        <v>0</v>
      </c>
      <c r="S92" s="224" t="n">
        <v>0</v>
      </c>
      <c r="T92" s="224" t="n">
        <v>0</v>
      </c>
      <c r="U92" s="224" t="n">
        <v>0</v>
      </c>
      <c r="V92" s="224" t="n">
        <v>0</v>
      </c>
    </row>
    <row r="93">
      <c r="A93" t="inlineStr">
        <is>
          <t>DDTL draw</t>
        </is>
      </c>
      <c r="B93" t="inlineStr">
        <is>
          <t>$mm</t>
        </is>
      </c>
      <c r="C93" s="224" t="n">
        <v>0</v>
      </c>
      <c r="D93" s="224" t="n">
        <v>0</v>
      </c>
      <c r="E93" s="224" t="n">
        <v>0</v>
      </c>
      <c r="F93" s="224" t="n">
        <v>0</v>
      </c>
      <c r="G93" s="224" t="n">
        <v>0</v>
      </c>
      <c r="H93" s="224" t="n">
        <v>0</v>
      </c>
      <c r="I93" s="224" t="n">
        <v>0</v>
      </c>
      <c r="J93" s="224" t="n">
        <v>0</v>
      </c>
      <c r="K93" s="224" t="n">
        <v>0</v>
      </c>
      <c r="L93" s="224" t="n">
        <v>0</v>
      </c>
      <c r="M93" s="224" t="n">
        <v>0</v>
      </c>
      <c r="N93" s="224" t="n">
        <v>0</v>
      </c>
      <c r="O93" s="224" t="n">
        <v>0</v>
      </c>
      <c r="P93" s="224" t="n">
        <v>0</v>
      </c>
      <c r="Q93" s="224" t="n">
        <v>0</v>
      </c>
      <c r="R93" s="224" t="n">
        <v>0</v>
      </c>
      <c r="S93" s="224" t="n">
        <v>0</v>
      </c>
      <c r="T93" s="224" t="n">
        <v>0</v>
      </c>
      <c r="U93" s="224" t="n">
        <v>0</v>
      </c>
      <c r="V93" s="224" t="n">
        <v>0</v>
      </c>
    </row>
    <row r="94">
      <c r="A94" t="inlineStr">
        <is>
          <t>Sponsor equity contribution</t>
        </is>
      </c>
      <c r="B94" t="inlineStr">
        <is>
          <t>$mm</t>
        </is>
      </c>
      <c r="C94" s="224" t="n">
        <v>0</v>
      </c>
      <c r="D94" s="224" t="n">
        <v>0</v>
      </c>
      <c r="E94" s="224" t="n">
        <v>0</v>
      </c>
      <c r="F94" s="224" t="n">
        <v>0</v>
      </c>
      <c r="G94" s="224" t="n">
        <v>0</v>
      </c>
      <c r="H94" s="224" t="n">
        <v>0</v>
      </c>
      <c r="I94" s="224" t="n">
        <v>0</v>
      </c>
      <c r="J94" s="224" t="n">
        <v>0</v>
      </c>
      <c r="K94" s="224" t="n">
        <v>0</v>
      </c>
      <c r="L94" s="224" t="n">
        <v>0</v>
      </c>
      <c r="M94" s="224" t="n">
        <v>0</v>
      </c>
      <c r="N94" s="224" t="n">
        <v>0</v>
      </c>
      <c r="O94" s="224" t="n">
        <v>0</v>
      </c>
      <c r="P94" s="224" t="n">
        <v>0</v>
      </c>
      <c r="Q94" s="224" t="n">
        <v>0</v>
      </c>
      <c r="R94" s="224" t="n">
        <v>0</v>
      </c>
      <c r="S94" s="224" t="n">
        <v>0</v>
      </c>
      <c r="T94" s="224" t="n">
        <v>0</v>
      </c>
      <c r="U94" s="224" t="n">
        <v>0</v>
      </c>
      <c r="V94" s="224" t="n">
        <v>0</v>
      </c>
    </row>
    <row r="95">
      <c r="A95" t="inlineStr">
        <is>
          <t>Capitalized integration spend</t>
        </is>
      </c>
      <c r="B95" t="inlineStr">
        <is>
          <t>$mm</t>
        </is>
      </c>
      <c r="C95" s="224" t="n">
        <v>0</v>
      </c>
      <c r="D95" s="224" t="n">
        <v>0</v>
      </c>
      <c r="E95" s="224" t="n">
        <v>0</v>
      </c>
      <c r="F95" s="224" t="n">
        <v>0</v>
      </c>
      <c r="G95" s="224" t="n">
        <v>0</v>
      </c>
      <c r="H95" s="224" t="n">
        <v>0</v>
      </c>
      <c r="I95" s="224" t="n">
        <v>0</v>
      </c>
      <c r="J95" s="224" t="n">
        <v>0</v>
      </c>
      <c r="K95" s="224" t="n">
        <v>0</v>
      </c>
      <c r="L95" s="224" t="n">
        <v>0</v>
      </c>
      <c r="M95" s="224" t="n">
        <v>0</v>
      </c>
      <c r="N95" s="224" t="n">
        <v>0</v>
      </c>
      <c r="O95" s="224" t="n">
        <v>0</v>
      </c>
      <c r="P95" s="224" t="n">
        <v>0</v>
      </c>
      <c r="Q95" s="224" t="n">
        <v>0</v>
      </c>
      <c r="R95" s="224" t="n">
        <v>0</v>
      </c>
      <c r="S95" s="224" t="n">
        <v>0</v>
      </c>
      <c r="T95" s="224" t="n">
        <v>0</v>
      </c>
      <c r="U95" s="224" t="n">
        <v>0</v>
      </c>
      <c r="V95" s="224" t="n">
        <v>0</v>
      </c>
    </row>
    <row r="96">
      <c r="A96" t="inlineStr">
        <is>
          <t>Letters of credit</t>
        </is>
      </c>
      <c r="B96" t="inlineStr">
        <is>
          <t>$mm</t>
        </is>
      </c>
      <c r="C96" s="224" t="n">
        <v>0</v>
      </c>
      <c r="D96" s="224" t="n">
        <v>0</v>
      </c>
      <c r="E96" s="224" t="n">
        <v>0</v>
      </c>
      <c r="F96" s="224" t="n">
        <v>0</v>
      </c>
      <c r="G96" s="224" t="n">
        <v>0</v>
      </c>
      <c r="H96" s="224" t="n">
        <v>0</v>
      </c>
      <c r="I96" s="224" t="n">
        <v>0</v>
      </c>
      <c r="J96" s="224" t="n">
        <v>0</v>
      </c>
      <c r="K96" s="224" t="n">
        <v>0</v>
      </c>
      <c r="L96" s="224" t="n">
        <v>0</v>
      </c>
      <c r="M96" s="224" t="n">
        <v>0</v>
      </c>
      <c r="N96" s="224" t="n">
        <v>0</v>
      </c>
      <c r="O96" s="224" t="n">
        <v>0</v>
      </c>
      <c r="P96" s="224" t="n">
        <v>0</v>
      </c>
      <c r="Q96" s="224" t="n">
        <v>0</v>
      </c>
      <c r="R96" s="224" t="n">
        <v>0</v>
      </c>
      <c r="S96" s="224" t="n">
        <v>0</v>
      </c>
      <c r="T96" s="224" t="n">
        <v>0</v>
      </c>
      <c r="U96" s="224" t="n">
        <v>0</v>
      </c>
      <c r="V96" s="224" t="n">
        <v>0</v>
      </c>
    </row>
    <row r="97">
      <c r="A97" t="inlineStr">
        <is>
          <t>Cash floor</t>
        </is>
      </c>
      <c r="B97" t="inlineStr">
        <is>
          <t>$mm</t>
        </is>
      </c>
      <c r="C97" s="224" t="n">
        <v>3</v>
      </c>
      <c r="D97" s="224" t="n">
        <v>3</v>
      </c>
      <c r="E97" s="224" t="n">
        <v>3</v>
      </c>
      <c r="F97" s="224" t="n">
        <v>3</v>
      </c>
      <c r="G97" s="224" t="n">
        <v>3</v>
      </c>
      <c r="H97" s="224" t="n">
        <v>3</v>
      </c>
      <c r="I97" s="224" t="n">
        <v>3</v>
      </c>
      <c r="J97" s="224" t="n">
        <v>3</v>
      </c>
      <c r="K97" s="224" t="n">
        <v>3</v>
      </c>
      <c r="L97" s="224" t="n">
        <v>3</v>
      </c>
      <c r="M97" s="224" t="n">
        <v>3</v>
      </c>
      <c r="N97" s="224" t="n">
        <v>3</v>
      </c>
      <c r="O97" s="224" t="n">
        <v>3</v>
      </c>
      <c r="P97" s="224" t="n">
        <v>3</v>
      </c>
      <c r="Q97" s="224" t="n">
        <v>3</v>
      </c>
      <c r="R97" s="224" t="n">
        <v>3</v>
      </c>
      <c r="S97" s="224" t="n">
        <v>3</v>
      </c>
      <c r="T97" s="224" t="n">
        <v>3</v>
      </c>
      <c r="U97" s="224" t="n">
        <v>3</v>
      </c>
      <c r="V97" s="224" t="n">
        <v>3</v>
      </c>
    </row>
    <row r="98">
      <c r="A98" t="inlineStr">
        <is>
          <t>Forced revolver target</t>
        </is>
      </c>
      <c r="B98" t="inlineStr">
        <is>
          <t>$mm</t>
        </is>
      </c>
      <c r="C98" s="224" t="n">
        <v>-1</v>
      </c>
      <c r="D98" s="224" t="n">
        <v>-1</v>
      </c>
      <c r="E98" s="224" t="n">
        <v>-1</v>
      </c>
      <c r="F98" s="224" t="n">
        <v>-1</v>
      </c>
      <c r="G98" s="224" t="n">
        <v>-1</v>
      </c>
      <c r="H98" s="224" t="n">
        <v>-1</v>
      </c>
      <c r="I98" s="224" t="n">
        <v>-1</v>
      </c>
      <c r="J98" s="224" t="n">
        <v>-1</v>
      </c>
      <c r="K98" s="224" t="n">
        <v>-1</v>
      </c>
      <c r="L98" s="224" t="n">
        <v>-1</v>
      </c>
      <c r="M98" s="224" t="n">
        <v>-1</v>
      </c>
      <c r="N98" s="224" t="n">
        <v>-1</v>
      </c>
      <c r="O98" s="224" t="n">
        <v>-1</v>
      </c>
      <c r="P98" s="224" t="n">
        <v>-1</v>
      </c>
      <c r="Q98" s="224" t="n">
        <v>-1</v>
      </c>
      <c r="R98" s="224" t="n">
        <v>-1</v>
      </c>
      <c r="S98" s="224" t="n">
        <v>-1</v>
      </c>
      <c r="T98" s="224" t="n">
        <v>-1</v>
      </c>
      <c r="U98" s="224" t="n">
        <v>-1</v>
      </c>
      <c r="V98" s="224" t="n">
        <v>-1</v>
      </c>
    </row>
    <row r="99">
      <c r="A99" t="inlineStr">
        <is>
          <t>Repay all revolver?</t>
        </is>
      </c>
      <c r="B99" t="inlineStr">
        <is>
          <t>flag</t>
        </is>
      </c>
      <c r="C99" s="227" t="n">
        <v>0</v>
      </c>
      <c r="D99" s="227" t="n">
        <v>0</v>
      </c>
      <c r="E99" s="227" t="n">
        <v>0</v>
      </c>
      <c r="F99" s="227" t="n">
        <v>0</v>
      </c>
      <c r="G99" s="227" t="n">
        <v>0</v>
      </c>
      <c r="H99" s="227" t="n">
        <v>0</v>
      </c>
      <c r="I99" s="227" t="n">
        <v>0</v>
      </c>
      <c r="J99" s="227" t="n">
        <v>0</v>
      </c>
      <c r="K99" s="227" t="n">
        <v>0</v>
      </c>
      <c r="L99" s="227" t="n">
        <v>0</v>
      </c>
      <c r="M99" s="227" t="n">
        <v>0</v>
      </c>
      <c r="N99" s="227" t="n">
        <v>0</v>
      </c>
      <c r="O99" s="227" t="n">
        <v>0</v>
      </c>
      <c r="P99" s="227" t="n">
        <v>0</v>
      </c>
      <c r="Q99" s="227" t="n">
        <v>0</v>
      </c>
      <c r="R99" s="227" t="n">
        <v>0</v>
      </c>
      <c r="S99" s="227" t="n">
        <v>0</v>
      </c>
      <c r="T99" s="227" t="n">
        <v>0</v>
      </c>
      <c r="U99" s="227" t="n">
        <v>0</v>
      </c>
      <c r="V99" s="227" t="n">
        <v>0</v>
      </c>
    </row>
    <row r="100">
      <c r="A100" t="inlineStr">
        <is>
          <t>Covenant limit</t>
        </is>
      </c>
      <c r="B100" t="inlineStr">
        <is>
          <t>x</t>
        </is>
      </c>
      <c r="C100" s="228" t="n">
        <v>4.25</v>
      </c>
      <c r="D100" s="228" t="n">
        <v>4.25</v>
      </c>
      <c r="E100" s="228" t="n">
        <v>4.25</v>
      </c>
      <c r="F100" s="228" t="n">
        <v>4.25</v>
      </c>
      <c r="G100" s="228" t="n">
        <v>4.25</v>
      </c>
      <c r="H100" s="228" t="n">
        <v>4.25</v>
      </c>
      <c r="I100" s="228" t="n">
        <v>4.25</v>
      </c>
      <c r="J100" s="228" t="n">
        <v>4</v>
      </c>
      <c r="K100" s="228" t="n">
        <v>4</v>
      </c>
      <c r="L100" s="228" t="n">
        <v>4</v>
      </c>
      <c r="M100" s="228" t="n">
        <v>4</v>
      </c>
      <c r="N100" s="228" t="n">
        <v>3.75</v>
      </c>
      <c r="O100" s="228" t="n">
        <v>3.75</v>
      </c>
      <c r="P100" s="228" t="n">
        <v>3.75</v>
      </c>
      <c r="Q100" s="228" t="n">
        <v>3.75</v>
      </c>
      <c r="R100" s="228" t="n">
        <v>3.5</v>
      </c>
      <c r="S100" s="228" t="n">
        <v>3.5</v>
      </c>
      <c r="T100" s="228" t="n">
        <v>3.5</v>
      </c>
      <c r="U100" s="228" t="n">
        <v>3.5</v>
      </c>
      <c r="V100" s="228" t="n">
        <v>3.5</v>
      </c>
    </row>
    <row r="101">
      <c r="A101" t="inlineStr">
        <is>
          <t>SOFR</t>
        </is>
      </c>
      <c r="B101" t="inlineStr">
        <is>
          <t>%</t>
        </is>
      </c>
      <c r="C101" s="225" t="n">
        <v>0.0425</v>
      </c>
      <c r="D101" s="225" t="n">
        <v>0.0425</v>
      </c>
      <c r="E101" s="225" t="n">
        <v>0.0425</v>
      </c>
      <c r="F101" s="225" t="n">
        <v>0.0375</v>
      </c>
      <c r="G101" s="225" t="n">
        <v>0.0375</v>
      </c>
      <c r="H101" s="225" t="n">
        <v>0.0375</v>
      </c>
      <c r="I101" s="225" t="n">
        <v>0.0375</v>
      </c>
      <c r="J101" s="225" t="n">
        <v>0.035</v>
      </c>
      <c r="K101" s="225" t="n">
        <v>0.035</v>
      </c>
      <c r="L101" s="225" t="n">
        <v>0.035</v>
      </c>
      <c r="M101" s="225" t="n">
        <v>0.035</v>
      </c>
      <c r="N101" s="225" t="n">
        <v>0.0325</v>
      </c>
      <c r="O101" s="225" t="n">
        <v>0.0325</v>
      </c>
      <c r="P101" s="225" t="n">
        <v>0.0325</v>
      </c>
      <c r="Q101" s="225" t="n">
        <v>0.0325</v>
      </c>
      <c r="R101" s="225" t="n">
        <v>0.03</v>
      </c>
      <c r="S101" s="225" t="n">
        <v>0.03</v>
      </c>
      <c r="T101" s="225" t="n">
        <v>0.03</v>
      </c>
      <c r="U101" s="225" t="n">
        <v>0.03</v>
      </c>
      <c r="V101" s="225" t="n">
        <v>0.03</v>
      </c>
    </row>
    <row r="102">
      <c r="A102" t="inlineStr">
        <is>
          <t>Rate step-up</t>
        </is>
      </c>
      <c r="B102" t="inlineStr">
        <is>
          <t>%</t>
        </is>
      </c>
      <c r="C102" s="225" t="n">
        <v>0</v>
      </c>
      <c r="D102" s="225" t="n">
        <v>0</v>
      </c>
      <c r="E102" s="225" t="n">
        <v>0</v>
      </c>
      <c r="F102" s="225" t="n">
        <v>0</v>
      </c>
      <c r="G102" s="225" t="n">
        <v>0</v>
      </c>
      <c r="H102" s="225" t="n">
        <v>0</v>
      </c>
      <c r="I102" s="225" t="n">
        <v>0</v>
      </c>
      <c r="J102" s="225" t="n">
        <v>0</v>
      </c>
      <c r="K102" s="225" t="n">
        <v>0</v>
      </c>
      <c r="L102" s="225" t="n">
        <v>0</v>
      </c>
      <c r="M102" s="225" t="n">
        <v>0</v>
      </c>
      <c r="N102" s="225" t="n">
        <v>0</v>
      </c>
      <c r="O102" s="225" t="n">
        <v>0</v>
      </c>
      <c r="P102" s="225" t="n">
        <v>0</v>
      </c>
      <c r="Q102" s="225" t="n">
        <v>0</v>
      </c>
      <c r="R102" s="225" t="n">
        <v>0</v>
      </c>
      <c r="S102" s="225" t="n">
        <v>0</v>
      </c>
      <c r="T102" s="225" t="n">
        <v>0</v>
      </c>
      <c r="U102" s="225" t="n">
        <v>0</v>
      </c>
      <c r="V102" s="225" t="n">
        <v>0</v>
      </c>
    </row>
    <row r="103">
      <c r="A103" t="inlineStr">
        <is>
          <t>Core PPA amortization</t>
        </is>
      </c>
      <c r="B103" t="inlineStr">
        <is>
          <t>$mm</t>
        </is>
      </c>
      <c r="C103" s="224" t="n">
        <v>0.75</v>
      </c>
      <c r="D103" s="224" t="n">
        <v>0.75</v>
      </c>
      <c r="E103" s="224" t="n">
        <v>0.75</v>
      </c>
      <c r="F103" s="224" t="n">
        <v>0.75</v>
      </c>
      <c r="G103" s="224" t="n">
        <v>0.75</v>
      </c>
      <c r="H103" s="224" t="n">
        <v>0.75</v>
      </c>
      <c r="I103" s="224" t="n">
        <v>0.75</v>
      </c>
      <c r="J103" s="224" t="n">
        <v>0.75</v>
      </c>
      <c r="K103" s="224" t="n">
        <v>0.75</v>
      </c>
      <c r="L103" s="224" t="n">
        <v>0.75</v>
      </c>
      <c r="M103" s="224" t="n">
        <v>0.75</v>
      </c>
      <c r="N103" s="224" t="n">
        <v>0.75</v>
      </c>
      <c r="O103" s="224" t="n">
        <v>0.75</v>
      </c>
      <c r="P103" s="224" t="n">
        <v>0.75</v>
      </c>
      <c r="Q103" s="224" t="n">
        <v>0.75</v>
      </c>
      <c r="R103" s="224" t="n">
        <v>0.75</v>
      </c>
      <c r="S103" s="224" t="n">
        <v>0.75</v>
      </c>
      <c r="T103" s="224" t="n">
        <v>0.75</v>
      </c>
      <c r="U103" s="224" t="n">
        <v>0.75</v>
      </c>
      <c r="V103" s="224" t="n">
        <v>0.75</v>
      </c>
    </row>
    <row r="104">
      <c r="A104" t="inlineStr">
        <is>
          <t>Seasonality</t>
        </is>
      </c>
      <c r="B104" t="inlineStr">
        <is>
          <t>%</t>
        </is>
      </c>
      <c r="C104" s="225" t="n">
        <v>0.25</v>
      </c>
      <c r="D104" s="225" t="n">
        <v>0.26</v>
      </c>
      <c r="E104" s="225" t="n">
        <v>0.26</v>
      </c>
      <c r="F104" s="225" t="n">
        <v>0.23</v>
      </c>
      <c r="G104" s="225" t="n">
        <v>0.25</v>
      </c>
      <c r="H104" s="225" t="n">
        <v>0.26</v>
      </c>
      <c r="I104" s="225" t="n">
        <v>0.26</v>
      </c>
      <c r="J104" s="225" t="n">
        <v>0.23</v>
      </c>
      <c r="K104" s="225" t="n">
        <v>0.25</v>
      </c>
      <c r="L104" s="225" t="n">
        <v>0.26</v>
      </c>
      <c r="M104" s="225" t="n">
        <v>0.26</v>
      </c>
      <c r="N104" s="225" t="n">
        <v>0.23</v>
      </c>
      <c r="O104" s="225" t="n">
        <v>0.25</v>
      </c>
      <c r="P104" s="225" t="n">
        <v>0.26</v>
      </c>
      <c r="Q104" s="225" t="n">
        <v>0.26</v>
      </c>
      <c r="R104" s="225" t="n">
        <v>0.23</v>
      </c>
      <c r="S104" s="225" t="n">
        <v>0.25</v>
      </c>
      <c r="T104" s="225" t="n">
        <v>0.26</v>
      </c>
      <c r="U104" s="225" t="n">
        <v>0.26</v>
      </c>
      <c r="V104" s="225" t="n">
        <v>0.23</v>
      </c>
    </row>
    <row r="105"/>
    <row r="106" ht="20" customHeight="1">
      <c r="A106" s="39" t="inlineStr">
        <is>
          <t>Acquisition Base</t>
        </is>
      </c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</row>
    <row r="107">
      <c r="A107" t="inlineStr">
        <is>
          <t>Revenue</t>
        </is>
      </c>
      <c r="B107" t="inlineStr">
        <is>
          <t>$mm</t>
        </is>
      </c>
      <c r="C107" s="224" t="n">
        <v>19.795</v>
      </c>
      <c r="D107" s="224" t="n">
        <v>20.5868</v>
      </c>
      <c r="E107" s="224" t="n">
        <v>22.82558977460781</v>
      </c>
      <c r="F107" s="224" t="n">
        <v>21.46913683415501</v>
      </c>
      <c r="G107" s="224" t="n">
        <v>23.33870747140612</v>
      </c>
      <c r="H107" s="224" t="n">
        <v>27.23905600000001</v>
      </c>
      <c r="I107" s="224" t="n">
        <v>27.24185972348085</v>
      </c>
      <c r="J107" s="224" t="n">
        <v>25.46508538832578</v>
      </c>
      <c r="K107" s="224" t="n">
        <v>27.68214325876315</v>
      </c>
      <c r="L107" s="224" t="n">
        <v>28.79224322</v>
      </c>
      <c r="M107" s="224" t="n">
        <v>28.79506096209826</v>
      </c>
      <c r="N107" s="224" t="n">
        <v>26.93456588616741</v>
      </c>
      <c r="O107" s="224" t="n">
        <v>29.27941818255697</v>
      </c>
      <c r="P107" s="224" t="n">
        <v>30.45342321190001</v>
      </c>
      <c r="Q107" s="224" t="n">
        <v>30.45625504270875</v>
      </c>
      <c r="R107" s="224" t="n">
        <v>28.50626234146125</v>
      </c>
      <c r="S107" s="224" t="n">
        <v>30.98779747549476</v>
      </c>
      <c r="T107" s="224" t="n">
        <v>32.23015181806551</v>
      </c>
      <c r="U107" s="224" t="n">
        <v>32.2329978080283</v>
      </c>
      <c r="V107" s="224" t="n">
        <v>30.18732663284197</v>
      </c>
    </row>
    <row r="108">
      <c r="A108" t="inlineStr">
        <is>
          <t>Gross margin</t>
        </is>
      </c>
      <c r="B108" t="inlineStr">
        <is>
          <t>%</t>
        </is>
      </c>
      <c r="C108" s="225" t="n">
        <v>0.362</v>
      </c>
      <c r="D108" s="225" t="n">
        <v>0.362</v>
      </c>
      <c r="E108" s="225" t="n">
        <v>0.3608230105964149</v>
      </c>
      <c r="F108" s="225" t="n">
        <v>0.3636145655159733</v>
      </c>
      <c r="G108" s="225" t="n">
        <v>0.3636129967946703</v>
      </c>
      <c r="H108" s="225" t="n">
        <v>0.3621303080400437</v>
      </c>
      <c r="I108" s="225" t="n">
        <v>0.3621290595926239</v>
      </c>
      <c r="J108" s="225" t="n">
        <v>0.3647379899873438</v>
      </c>
      <c r="K108" s="225" t="n">
        <v>0.3647365511111883</v>
      </c>
      <c r="L108" s="225" t="n">
        <v>0.3647351107212549</v>
      </c>
      <c r="M108" s="225" t="n">
        <v>0.3647336688162748</v>
      </c>
      <c r="N108" s="225" t="n">
        <v>0.3673941808408654</v>
      </c>
      <c r="O108" s="225" t="n">
        <v>0.3673925672535521</v>
      </c>
      <c r="P108" s="225" t="n">
        <v>0.3673909519529301</v>
      </c>
      <c r="Q108" s="225" t="n">
        <v>0.3673893349375267</v>
      </c>
      <c r="R108" s="225" t="n">
        <v>0.3700978411022007</v>
      </c>
      <c r="S108" s="225" t="n">
        <v>0.3700960706847029</v>
      </c>
      <c r="T108" s="225" t="n">
        <v>0.3700942983707889</v>
      </c>
      <c r="U108" s="225" t="n">
        <v>0.3700925241587899</v>
      </c>
      <c r="V108" s="225" t="n">
        <v>0.3728455349583158</v>
      </c>
    </row>
    <row r="109">
      <c r="A109" t="inlineStr">
        <is>
          <t>Firm EBITDA</t>
        </is>
      </c>
      <c r="B109" t="inlineStr">
        <is>
          <t>$mm</t>
        </is>
      </c>
      <c r="C109" s="224" t="n">
        <v>3.08802</v>
      </c>
      <c r="D109" s="224" t="n">
        <v>3.211540800000001</v>
      </c>
      <c r="E109" s="224" t="n">
        <v>3.539390447290598</v>
      </c>
      <c r="F109" s="224" t="n">
        <v>3.42982540444982</v>
      </c>
      <c r="G109" s="224" t="n">
        <v>3.780823850546774</v>
      </c>
      <c r="H109" s="224" t="n">
        <v>4.440641858222222</v>
      </c>
      <c r="I109" s="224" t="n">
        <v>4.496233552955172</v>
      </c>
      <c r="J109" s="224" t="n">
        <v>4.352707829671657</v>
      </c>
      <c r="K109" s="224" t="n">
        <v>4.669202294132996</v>
      </c>
      <c r="L109" s="224" t="n">
        <v>4.855582076577779</v>
      </c>
      <c r="M109" s="224" t="n">
        <v>4.711200456875209</v>
      </c>
      <c r="N109" s="224" t="n">
        <v>4.502635608667907</v>
      </c>
      <c r="O109" s="224" t="n">
        <v>4.899584328420622</v>
      </c>
      <c r="P109" s="224" t="n">
        <v>5.101206223895602</v>
      </c>
      <c r="Q109" s="224" t="n">
        <v>5.106851484709679</v>
      </c>
      <c r="R109" s="224" t="n">
        <v>4.882009288428462</v>
      </c>
      <c r="S109" s="224" t="n">
        <v>5.311972964652075</v>
      </c>
      <c r="T109" s="224" t="n">
        <v>5.530117433148213</v>
      </c>
      <c r="U109" s="224" t="n">
        <v>5.535789770713484</v>
      </c>
      <c r="V109" s="224" t="n">
        <v>5.293321394813899</v>
      </c>
    </row>
    <row r="110">
      <c r="A110" t="inlineStr">
        <is>
          <t>One-time charges</t>
        </is>
      </c>
      <c r="B110" t="inlineStr">
        <is>
          <t>$mm</t>
        </is>
      </c>
      <c r="C110" s="224" t="n">
        <v>0</v>
      </c>
      <c r="D110" s="224" t="n">
        <v>0.6000000000000001</v>
      </c>
      <c r="E110" s="224" t="n">
        <v>0.2</v>
      </c>
      <c r="F110" s="224" t="n">
        <v>0.2</v>
      </c>
      <c r="G110" s="224" t="n">
        <v>1</v>
      </c>
      <c r="H110" s="224" t="n">
        <v>0.25</v>
      </c>
      <c r="I110" s="224" t="n">
        <v>0.15</v>
      </c>
      <c r="J110" s="224" t="n">
        <v>0.1</v>
      </c>
      <c r="K110" s="224" t="n">
        <v>0</v>
      </c>
      <c r="L110" s="224" t="n">
        <v>0</v>
      </c>
      <c r="M110" s="224" t="n">
        <v>0</v>
      </c>
      <c r="N110" s="224" t="n">
        <v>0</v>
      </c>
      <c r="O110" s="224" t="n">
        <v>0</v>
      </c>
      <c r="P110" s="224" t="n">
        <v>0</v>
      </c>
      <c r="Q110" s="224" t="n">
        <v>0</v>
      </c>
      <c r="R110" s="224" t="n">
        <v>0</v>
      </c>
      <c r="S110" s="224" t="n">
        <v>0</v>
      </c>
      <c r="T110" s="224" t="n">
        <v>0</v>
      </c>
      <c r="U110" s="224" t="n">
        <v>0</v>
      </c>
      <c r="V110" s="224" t="n">
        <v>0</v>
      </c>
    </row>
    <row r="111">
      <c r="A111" t="inlineStr">
        <is>
          <t>Covenant add-backs</t>
        </is>
      </c>
      <c r="B111" t="inlineStr">
        <is>
          <t>$mm</t>
        </is>
      </c>
      <c r="C111" s="224" t="n">
        <v>0</v>
      </c>
      <c r="D111" s="224" t="n">
        <v>0.4817311200000001</v>
      </c>
      <c r="E111" s="224" t="n">
        <v>0.2</v>
      </c>
      <c r="F111" s="224" t="n">
        <v>0.2</v>
      </c>
      <c r="G111" s="224" t="n">
        <v>0.5671235775820161</v>
      </c>
      <c r="H111" s="224" t="n">
        <v>0.25</v>
      </c>
      <c r="I111" s="224" t="n">
        <v>0.15</v>
      </c>
      <c r="J111" s="224" t="n">
        <v>0.1</v>
      </c>
      <c r="K111" s="224" t="n">
        <v>0</v>
      </c>
      <c r="L111" s="224" t="n">
        <v>0</v>
      </c>
      <c r="M111" s="224" t="n">
        <v>0</v>
      </c>
      <c r="N111" s="224" t="n">
        <v>0</v>
      </c>
      <c r="O111" s="224" t="n">
        <v>0</v>
      </c>
      <c r="P111" s="224" t="n">
        <v>0</v>
      </c>
      <c r="Q111" s="224" t="n">
        <v>0</v>
      </c>
      <c r="R111" s="224" t="n">
        <v>0</v>
      </c>
      <c r="S111" s="224" t="n">
        <v>0</v>
      </c>
      <c r="T111" s="224" t="n">
        <v>0</v>
      </c>
      <c r="U111" s="224" t="n">
        <v>0</v>
      </c>
      <c r="V111" s="224" t="n">
        <v>0</v>
      </c>
    </row>
    <row r="112">
      <c r="A112" t="inlineStr">
        <is>
          <t>DSO</t>
        </is>
      </c>
      <c r="B112" t="inlineStr">
        <is>
          <t>days</t>
        </is>
      </c>
      <c r="C112" s="227" t="n">
        <v>64</v>
      </c>
      <c r="D112" s="227" t="n">
        <v>64</v>
      </c>
      <c r="E112" s="227" t="n">
        <v>64</v>
      </c>
      <c r="F112" s="227" t="n">
        <v>63</v>
      </c>
      <c r="G112" s="227" t="n">
        <v>63</v>
      </c>
      <c r="H112" s="227" t="n">
        <v>63</v>
      </c>
      <c r="I112" s="227" t="n">
        <v>63</v>
      </c>
      <c r="J112" s="227" t="n">
        <v>62</v>
      </c>
      <c r="K112" s="227" t="n">
        <v>62</v>
      </c>
      <c r="L112" s="227" t="n">
        <v>62</v>
      </c>
      <c r="M112" s="227" t="n">
        <v>62</v>
      </c>
      <c r="N112" s="227" t="n">
        <v>61</v>
      </c>
      <c r="O112" s="227" t="n">
        <v>61</v>
      </c>
      <c r="P112" s="227" t="n">
        <v>61</v>
      </c>
      <c r="Q112" s="227" t="n">
        <v>61</v>
      </c>
      <c r="R112" s="227" t="n">
        <v>60</v>
      </c>
      <c r="S112" s="227" t="n">
        <v>60</v>
      </c>
      <c r="T112" s="227" t="n">
        <v>60</v>
      </c>
      <c r="U112" s="227" t="n">
        <v>60</v>
      </c>
      <c r="V112" s="227" t="n">
        <v>60</v>
      </c>
    </row>
    <row r="113">
      <c r="A113" t="inlineStr">
        <is>
          <t>WIP / annualized revenue</t>
        </is>
      </c>
      <c r="B113" t="inlineStr">
        <is>
          <t>%</t>
        </is>
      </c>
      <c r="C113" s="225" t="n">
        <v>0.067</v>
      </c>
      <c r="D113" s="225" t="n">
        <v>0.067</v>
      </c>
      <c r="E113" s="225" t="n">
        <v>0.067</v>
      </c>
      <c r="F113" s="225" t="n">
        <v>0.065</v>
      </c>
      <c r="G113" s="225" t="n">
        <v>0.065</v>
      </c>
      <c r="H113" s="225" t="n">
        <v>0.065</v>
      </c>
      <c r="I113" s="225" t="n">
        <v>0.065</v>
      </c>
      <c r="J113" s="225" t="n">
        <v>0.063</v>
      </c>
      <c r="K113" s="225" t="n">
        <v>0.063</v>
      </c>
      <c r="L113" s="225" t="n">
        <v>0.063</v>
      </c>
      <c r="M113" s="225" t="n">
        <v>0.063</v>
      </c>
      <c r="N113" s="225" t="n">
        <v>0.061</v>
      </c>
      <c r="O113" s="225" t="n">
        <v>0.061</v>
      </c>
      <c r="P113" s="225" t="n">
        <v>0.061</v>
      </c>
      <c r="Q113" s="225" t="n">
        <v>0.061</v>
      </c>
      <c r="R113" s="225" t="n">
        <v>0.06</v>
      </c>
      <c r="S113" s="225" t="n">
        <v>0.06</v>
      </c>
      <c r="T113" s="225" t="n">
        <v>0.06</v>
      </c>
      <c r="U113" s="225" t="n">
        <v>0.06</v>
      </c>
      <c r="V113" s="225" t="n">
        <v>0.06</v>
      </c>
    </row>
    <row r="114">
      <c r="A114" t="inlineStr">
        <is>
          <t>Prepaids / annualized revenue</t>
        </is>
      </c>
      <c r="B114" t="inlineStr">
        <is>
          <t>%</t>
        </is>
      </c>
      <c r="C114" s="225" t="n">
        <v>0.012</v>
      </c>
      <c r="D114" s="225" t="n">
        <v>0.012</v>
      </c>
      <c r="E114" s="225" t="n">
        <v>0.012</v>
      </c>
      <c r="F114" s="225" t="n">
        <v>0.012</v>
      </c>
      <c r="G114" s="225" t="n">
        <v>0.012</v>
      </c>
      <c r="H114" s="225" t="n">
        <v>0.012</v>
      </c>
      <c r="I114" s="225" t="n">
        <v>0.012</v>
      </c>
      <c r="J114" s="225" t="n">
        <v>0.012</v>
      </c>
      <c r="K114" s="225" t="n">
        <v>0.012</v>
      </c>
      <c r="L114" s="225" t="n">
        <v>0.012</v>
      </c>
      <c r="M114" s="225" t="n">
        <v>0.012</v>
      </c>
      <c r="N114" s="225" t="n">
        <v>0.012</v>
      </c>
      <c r="O114" s="225" t="n">
        <v>0.012</v>
      </c>
      <c r="P114" s="225" t="n">
        <v>0.012</v>
      </c>
      <c r="Q114" s="225" t="n">
        <v>0.012</v>
      </c>
      <c r="R114" s="225" t="n">
        <v>0.012</v>
      </c>
      <c r="S114" s="225" t="n">
        <v>0.012</v>
      </c>
      <c r="T114" s="225" t="n">
        <v>0.012</v>
      </c>
      <c r="U114" s="225" t="n">
        <v>0.012</v>
      </c>
      <c r="V114" s="225" t="n">
        <v>0.012</v>
      </c>
    </row>
    <row r="115">
      <c r="A115" t="inlineStr">
        <is>
          <t>AP / annualized revenue</t>
        </is>
      </c>
      <c r="B115" t="inlineStr">
        <is>
          <t>%</t>
        </is>
      </c>
      <c r="C115" s="225" t="n">
        <v>0.055</v>
      </c>
      <c r="D115" s="225" t="n">
        <v>0.055</v>
      </c>
      <c r="E115" s="225" t="n">
        <v>0.055</v>
      </c>
      <c r="F115" s="225" t="n">
        <v>0.055</v>
      </c>
      <c r="G115" s="225" t="n">
        <v>0.055</v>
      </c>
      <c r="H115" s="225" t="n">
        <v>0.055</v>
      </c>
      <c r="I115" s="225" t="n">
        <v>0.055</v>
      </c>
      <c r="J115" s="225" t="n">
        <v>0.055</v>
      </c>
      <c r="K115" s="225" t="n">
        <v>0.055</v>
      </c>
      <c r="L115" s="225" t="n">
        <v>0.055</v>
      </c>
      <c r="M115" s="225" t="n">
        <v>0.055</v>
      </c>
      <c r="N115" s="225" t="n">
        <v>0.055</v>
      </c>
      <c r="O115" s="225" t="n">
        <v>0.055</v>
      </c>
      <c r="P115" s="225" t="n">
        <v>0.055</v>
      </c>
      <c r="Q115" s="225" t="n">
        <v>0.055</v>
      </c>
      <c r="R115" s="225" t="n">
        <v>0.055</v>
      </c>
      <c r="S115" s="225" t="n">
        <v>0.055</v>
      </c>
      <c r="T115" s="225" t="n">
        <v>0.055</v>
      </c>
      <c r="U115" s="225" t="n">
        <v>0.055</v>
      </c>
      <c r="V115" s="225" t="n">
        <v>0.055</v>
      </c>
    </row>
    <row r="116">
      <c r="A116" t="inlineStr">
        <is>
          <t>Accruals / annualized revenue</t>
        </is>
      </c>
      <c r="B116" t="inlineStr">
        <is>
          <t>%</t>
        </is>
      </c>
      <c r="C116" s="225" t="n">
        <v>0.075</v>
      </c>
      <c r="D116" s="225" t="n">
        <v>0.075</v>
      </c>
      <c r="E116" s="225" t="n">
        <v>0.075</v>
      </c>
      <c r="F116" s="225" t="n">
        <v>0.075</v>
      </c>
      <c r="G116" s="225" t="n">
        <v>0.075</v>
      </c>
      <c r="H116" s="225" t="n">
        <v>0.075</v>
      </c>
      <c r="I116" s="225" t="n">
        <v>0.075</v>
      </c>
      <c r="J116" s="225" t="n">
        <v>0.075</v>
      </c>
      <c r="K116" s="225" t="n">
        <v>0.075</v>
      </c>
      <c r="L116" s="225" t="n">
        <v>0.075</v>
      </c>
      <c r="M116" s="225" t="n">
        <v>0.075</v>
      </c>
      <c r="N116" s="225" t="n">
        <v>0.075</v>
      </c>
      <c r="O116" s="225" t="n">
        <v>0.075</v>
      </c>
      <c r="P116" s="225" t="n">
        <v>0.075</v>
      </c>
      <c r="Q116" s="225" t="n">
        <v>0.075</v>
      </c>
      <c r="R116" s="225" t="n">
        <v>0.075</v>
      </c>
      <c r="S116" s="225" t="n">
        <v>0.075</v>
      </c>
      <c r="T116" s="225" t="n">
        <v>0.075</v>
      </c>
      <c r="U116" s="225" t="n">
        <v>0.075</v>
      </c>
      <c r="V116" s="225" t="n">
        <v>0.075</v>
      </c>
    </row>
    <row r="117">
      <c r="A117" t="inlineStr">
        <is>
          <t>Deferred revenue / annualized revenue</t>
        </is>
      </c>
      <c r="B117" t="inlineStr">
        <is>
          <t>%</t>
        </is>
      </c>
      <c r="C117" s="225" t="n">
        <v>0.012</v>
      </c>
      <c r="D117" s="225" t="n">
        <v>0.012</v>
      </c>
      <c r="E117" s="225" t="n">
        <v>0.012</v>
      </c>
      <c r="F117" s="225" t="n">
        <v>0.012</v>
      </c>
      <c r="G117" s="225" t="n">
        <v>0.012</v>
      </c>
      <c r="H117" s="225" t="n">
        <v>0.012</v>
      </c>
      <c r="I117" s="225" t="n">
        <v>0.012</v>
      </c>
      <c r="J117" s="225" t="n">
        <v>0.012</v>
      </c>
      <c r="K117" s="225" t="n">
        <v>0.012</v>
      </c>
      <c r="L117" s="225" t="n">
        <v>0.012</v>
      </c>
      <c r="M117" s="225" t="n">
        <v>0.012</v>
      </c>
      <c r="N117" s="225" t="n">
        <v>0.012</v>
      </c>
      <c r="O117" s="225" t="n">
        <v>0.012</v>
      </c>
      <c r="P117" s="225" t="n">
        <v>0.012</v>
      </c>
      <c r="Q117" s="225" t="n">
        <v>0.012</v>
      </c>
      <c r="R117" s="225" t="n">
        <v>0.012</v>
      </c>
      <c r="S117" s="225" t="n">
        <v>0.012</v>
      </c>
      <c r="T117" s="225" t="n">
        <v>0.012</v>
      </c>
      <c r="U117" s="225" t="n">
        <v>0.012</v>
      </c>
      <c r="V117" s="225" t="n">
        <v>0.012</v>
      </c>
    </row>
    <row r="118">
      <c r="A118" t="inlineStr">
        <is>
          <t>Capex / revenue</t>
        </is>
      </c>
      <c r="B118" t="inlineStr">
        <is>
          <t>%</t>
        </is>
      </c>
      <c r="C118" s="225" t="n">
        <v>0.016</v>
      </c>
      <c r="D118" s="225" t="n">
        <v>0.016</v>
      </c>
      <c r="E118" s="225" t="n">
        <v>0.016</v>
      </c>
      <c r="F118" s="225" t="n">
        <v>0.016</v>
      </c>
      <c r="G118" s="225" t="n">
        <v>0.016</v>
      </c>
      <c r="H118" s="225" t="n">
        <v>0.016</v>
      </c>
      <c r="I118" s="225" t="n">
        <v>0.016</v>
      </c>
      <c r="J118" s="225" t="n">
        <v>0.016</v>
      </c>
      <c r="K118" s="225" t="n">
        <v>0.016</v>
      </c>
      <c r="L118" s="225" t="n">
        <v>0.016</v>
      </c>
      <c r="M118" s="225" t="n">
        <v>0.016</v>
      </c>
      <c r="N118" s="225" t="n">
        <v>0.016</v>
      </c>
      <c r="O118" s="225" t="n">
        <v>0.016</v>
      </c>
      <c r="P118" s="225" t="n">
        <v>0.016</v>
      </c>
      <c r="Q118" s="225" t="n">
        <v>0.016</v>
      </c>
      <c r="R118" s="225" t="n">
        <v>0.016</v>
      </c>
      <c r="S118" s="225" t="n">
        <v>0.016</v>
      </c>
      <c r="T118" s="225" t="n">
        <v>0.016</v>
      </c>
      <c r="U118" s="225" t="n">
        <v>0.016</v>
      </c>
      <c r="V118" s="225" t="n">
        <v>0.016</v>
      </c>
    </row>
    <row r="119">
      <c r="A119" t="inlineStr">
        <is>
          <t>Acquired NWC</t>
        </is>
      </c>
      <c r="B119" t="inlineStr">
        <is>
          <t>$mm</t>
        </is>
      </c>
      <c r="C119" s="224" t="n">
        <v>0</v>
      </c>
      <c r="D119" s="224" t="n">
        <v>0.95</v>
      </c>
      <c r="E119" s="224" t="n">
        <v>0</v>
      </c>
      <c r="F119" s="224" t="n">
        <v>0</v>
      </c>
      <c r="G119" s="224" t="n">
        <v>1.25</v>
      </c>
      <c r="H119" s="224" t="n">
        <v>0</v>
      </c>
      <c r="I119" s="224" t="n">
        <v>0</v>
      </c>
      <c r="J119" s="224" t="n">
        <v>0</v>
      </c>
      <c r="K119" s="224" t="n">
        <v>0</v>
      </c>
      <c r="L119" s="224" t="n">
        <v>0</v>
      </c>
      <c r="M119" s="224" t="n">
        <v>0</v>
      </c>
      <c r="N119" s="224" t="n">
        <v>0</v>
      </c>
      <c r="O119" s="224" t="n">
        <v>0</v>
      </c>
      <c r="P119" s="224" t="n">
        <v>0</v>
      </c>
      <c r="Q119" s="224" t="n">
        <v>0</v>
      </c>
      <c r="R119" s="224" t="n">
        <v>0</v>
      </c>
      <c r="S119" s="224" t="n">
        <v>0</v>
      </c>
      <c r="T119" s="224" t="n">
        <v>0</v>
      </c>
      <c r="U119" s="224" t="n">
        <v>0</v>
      </c>
      <c r="V119" s="224" t="n">
        <v>0</v>
      </c>
    </row>
    <row r="120">
      <c r="A120" t="inlineStr">
        <is>
          <t>Acquired PP&amp;E</t>
        </is>
      </c>
      <c r="B120" t="inlineStr">
        <is>
          <t>$mm</t>
        </is>
      </c>
      <c r="C120" s="224" t="n">
        <v>0</v>
      </c>
      <c r="D120" s="224" t="n">
        <v>0.4</v>
      </c>
      <c r="E120" s="224" t="n">
        <v>0</v>
      </c>
      <c r="F120" s="224" t="n">
        <v>0</v>
      </c>
      <c r="G120" s="224" t="n">
        <v>0.5</v>
      </c>
      <c r="H120" s="224" t="n">
        <v>0</v>
      </c>
      <c r="I120" s="224" t="n">
        <v>0</v>
      </c>
      <c r="J120" s="224" t="n">
        <v>0</v>
      </c>
      <c r="K120" s="224" t="n">
        <v>0</v>
      </c>
      <c r="L120" s="224" t="n">
        <v>0</v>
      </c>
      <c r="M120" s="224" t="n">
        <v>0</v>
      </c>
      <c r="N120" s="224" t="n">
        <v>0</v>
      </c>
      <c r="O120" s="224" t="n">
        <v>0</v>
      </c>
      <c r="P120" s="224" t="n">
        <v>0</v>
      </c>
      <c r="Q120" s="224" t="n">
        <v>0</v>
      </c>
      <c r="R120" s="224" t="n">
        <v>0</v>
      </c>
      <c r="S120" s="224" t="n">
        <v>0</v>
      </c>
      <c r="T120" s="224" t="n">
        <v>0</v>
      </c>
      <c r="U120" s="224" t="n">
        <v>0</v>
      </c>
      <c r="V120" s="224" t="n">
        <v>0</v>
      </c>
    </row>
    <row r="121">
      <c r="A121" t="inlineStr">
        <is>
          <t>Acquisition EV</t>
        </is>
      </c>
      <c r="B121" t="inlineStr">
        <is>
          <t>$mm</t>
        </is>
      </c>
      <c r="C121" s="224" t="n">
        <v>0</v>
      </c>
      <c r="D121" s="224" t="n">
        <v>8.4</v>
      </c>
      <c r="E121" s="224" t="n">
        <v>0</v>
      </c>
      <c r="F121" s="224" t="n">
        <v>0</v>
      </c>
      <c r="G121" s="224" t="n">
        <v>11.9</v>
      </c>
      <c r="H121" s="224" t="n">
        <v>0</v>
      </c>
      <c r="I121" s="224" t="n">
        <v>0</v>
      </c>
      <c r="J121" s="224" t="n">
        <v>0</v>
      </c>
      <c r="K121" s="224" t="n">
        <v>0</v>
      </c>
      <c r="L121" s="224" t="n">
        <v>0</v>
      </c>
      <c r="M121" s="224" t="n">
        <v>0</v>
      </c>
      <c r="N121" s="224" t="n">
        <v>0</v>
      </c>
      <c r="O121" s="224" t="n">
        <v>0</v>
      </c>
      <c r="P121" s="224" t="n">
        <v>0</v>
      </c>
      <c r="Q121" s="224" t="n">
        <v>0</v>
      </c>
      <c r="R121" s="224" t="n">
        <v>0</v>
      </c>
      <c r="S121" s="224" t="n">
        <v>0</v>
      </c>
      <c r="T121" s="224" t="n">
        <v>0</v>
      </c>
      <c r="U121" s="224" t="n">
        <v>0</v>
      </c>
      <c r="V121" s="224" t="n">
        <v>0</v>
      </c>
    </row>
    <row r="122">
      <c r="A122" t="inlineStr">
        <is>
          <t>Acquisition fees</t>
        </is>
      </c>
      <c r="B122" t="inlineStr">
        <is>
          <t>$mm</t>
        </is>
      </c>
      <c r="C122" s="224" t="n">
        <v>0</v>
      </c>
      <c r="D122" s="224" t="n">
        <v>0.4</v>
      </c>
      <c r="E122" s="224" t="n">
        <v>0</v>
      </c>
      <c r="F122" s="224" t="n">
        <v>0</v>
      </c>
      <c r="G122" s="224" t="n">
        <v>0.6</v>
      </c>
      <c r="H122" s="224" t="n">
        <v>0</v>
      </c>
      <c r="I122" s="224" t="n">
        <v>0</v>
      </c>
      <c r="J122" s="224" t="n">
        <v>0</v>
      </c>
      <c r="K122" s="224" t="n">
        <v>0</v>
      </c>
      <c r="L122" s="224" t="n">
        <v>0</v>
      </c>
      <c r="M122" s="224" t="n">
        <v>0</v>
      </c>
      <c r="N122" s="224" t="n">
        <v>0</v>
      </c>
      <c r="O122" s="224" t="n">
        <v>0</v>
      </c>
      <c r="P122" s="224" t="n">
        <v>0</v>
      </c>
      <c r="Q122" s="224" t="n">
        <v>0</v>
      </c>
      <c r="R122" s="224" t="n">
        <v>0</v>
      </c>
      <c r="S122" s="224" t="n">
        <v>0</v>
      </c>
      <c r="T122" s="224" t="n">
        <v>0</v>
      </c>
      <c r="U122" s="224" t="n">
        <v>0</v>
      </c>
      <c r="V122" s="224" t="n">
        <v>0</v>
      </c>
    </row>
    <row r="123">
      <c r="A123" t="inlineStr">
        <is>
          <t>Acquired intangibles</t>
        </is>
      </c>
      <c r="B123" t="inlineStr">
        <is>
          <t>$mm</t>
        </is>
      </c>
      <c r="C123" s="224" t="n">
        <v>0</v>
      </c>
      <c r="D123" s="224" t="n">
        <v>3</v>
      </c>
      <c r="E123" s="224" t="n">
        <v>0</v>
      </c>
      <c r="F123" s="224" t="n">
        <v>0</v>
      </c>
      <c r="G123" s="224" t="n">
        <v>4</v>
      </c>
      <c r="H123" s="224" t="n">
        <v>0</v>
      </c>
      <c r="I123" s="224" t="n">
        <v>0</v>
      </c>
      <c r="J123" s="224" t="n">
        <v>0</v>
      </c>
      <c r="K123" s="224" t="n">
        <v>0</v>
      </c>
      <c r="L123" s="224" t="n">
        <v>0</v>
      </c>
      <c r="M123" s="224" t="n">
        <v>0</v>
      </c>
      <c r="N123" s="224" t="n">
        <v>0</v>
      </c>
      <c r="O123" s="224" t="n">
        <v>0</v>
      </c>
      <c r="P123" s="224" t="n">
        <v>0</v>
      </c>
      <c r="Q123" s="224" t="n">
        <v>0</v>
      </c>
      <c r="R123" s="224" t="n">
        <v>0</v>
      </c>
      <c r="S123" s="224" t="n">
        <v>0</v>
      </c>
      <c r="T123" s="224" t="n">
        <v>0</v>
      </c>
      <c r="U123" s="224" t="n">
        <v>0</v>
      </c>
      <c r="V123" s="224" t="n">
        <v>0</v>
      </c>
    </row>
    <row r="124">
      <c r="A124" t="inlineStr">
        <is>
          <t>Acquired goodwill</t>
        </is>
      </c>
      <c r="B124" t="inlineStr">
        <is>
          <t>$mm</t>
        </is>
      </c>
      <c r="C124" s="224" t="n">
        <v>0</v>
      </c>
      <c r="D124" s="224" t="n">
        <v>5.75</v>
      </c>
      <c r="E124" s="224" t="n">
        <v>0</v>
      </c>
      <c r="F124" s="224" t="n">
        <v>0</v>
      </c>
      <c r="G124" s="224" t="n">
        <v>8.4</v>
      </c>
      <c r="H124" s="224" t="n">
        <v>0</v>
      </c>
      <c r="I124" s="224" t="n">
        <v>0</v>
      </c>
      <c r="J124" s="224" t="n">
        <v>0</v>
      </c>
      <c r="K124" s="224" t="n">
        <v>0</v>
      </c>
      <c r="L124" s="224" t="n">
        <v>0</v>
      </c>
      <c r="M124" s="224" t="n">
        <v>0</v>
      </c>
      <c r="N124" s="224" t="n">
        <v>0</v>
      </c>
      <c r="O124" s="224" t="n">
        <v>0</v>
      </c>
      <c r="P124" s="224" t="n">
        <v>0</v>
      </c>
      <c r="Q124" s="224" t="n">
        <v>0</v>
      </c>
      <c r="R124" s="224" t="n">
        <v>0</v>
      </c>
      <c r="S124" s="224" t="n">
        <v>0</v>
      </c>
      <c r="T124" s="224" t="n">
        <v>0</v>
      </c>
      <c r="U124" s="224" t="n">
        <v>0</v>
      </c>
      <c r="V124" s="224" t="n">
        <v>0</v>
      </c>
    </row>
    <row r="125">
      <c r="A125" t="inlineStr">
        <is>
          <t>Acquired DTL</t>
        </is>
      </c>
      <c r="B125" t="inlineStr">
        <is>
          <t>$mm</t>
        </is>
      </c>
      <c r="C125" s="224" t="n">
        <v>0</v>
      </c>
      <c r="D125" s="224" t="n">
        <v>0.75</v>
      </c>
      <c r="E125" s="224" t="n">
        <v>0</v>
      </c>
      <c r="F125" s="224" t="n">
        <v>0</v>
      </c>
      <c r="G125" s="224" t="n">
        <v>1</v>
      </c>
      <c r="H125" s="224" t="n">
        <v>0</v>
      </c>
      <c r="I125" s="224" t="n">
        <v>0</v>
      </c>
      <c r="J125" s="224" t="n">
        <v>0</v>
      </c>
      <c r="K125" s="224" t="n">
        <v>0</v>
      </c>
      <c r="L125" s="224" t="n">
        <v>0</v>
      </c>
      <c r="M125" s="224" t="n">
        <v>0</v>
      </c>
      <c r="N125" s="224" t="n">
        <v>0</v>
      </c>
      <c r="O125" s="224" t="n">
        <v>0</v>
      </c>
      <c r="P125" s="224" t="n">
        <v>0</v>
      </c>
      <c r="Q125" s="224" t="n">
        <v>0</v>
      </c>
      <c r="R125" s="224" t="n">
        <v>0</v>
      </c>
      <c r="S125" s="224" t="n">
        <v>0</v>
      </c>
      <c r="T125" s="224" t="n">
        <v>0</v>
      </c>
      <c r="U125" s="224" t="n">
        <v>0</v>
      </c>
      <c r="V125" s="224" t="n">
        <v>0</v>
      </c>
    </row>
    <row r="126">
      <c r="A126" t="inlineStr">
        <is>
          <t>Acquired other liabilities</t>
        </is>
      </c>
      <c r="B126" t="inlineStr">
        <is>
          <t>$mm</t>
        </is>
      </c>
      <c r="C126" s="224" t="n">
        <v>0</v>
      </c>
      <c r="D126" s="224" t="n">
        <v>0.95</v>
      </c>
      <c r="E126" s="224" t="n">
        <v>0</v>
      </c>
      <c r="F126" s="224" t="n">
        <v>0</v>
      </c>
      <c r="G126" s="224" t="n">
        <v>1.25</v>
      </c>
      <c r="H126" s="224" t="n">
        <v>0</v>
      </c>
      <c r="I126" s="224" t="n">
        <v>0</v>
      </c>
      <c r="J126" s="224" t="n">
        <v>0</v>
      </c>
      <c r="K126" s="224" t="n">
        <v>0</v>
      </c>
      <c r="L126" s="224" t="n">
        <v>0</v>
      </c>
      <c r="M126" s="224" t="n">
        <v>0</v>
      </c>
      <c r="N126" s="224" t="n">
        <v>0</v>
      </c>
      <c r="O126" s="224" t="n">
        <v>0</v>
      </c>
      <c r="P126" s="224" t="n">
        <v>0</v>
      </c>
      <c r="Q126" s="224" t="n">
        <v>0</v>
      </c>
      <c r="R126" s="224" t="n">
        <v>0</v>
      </c>
      <c r="S126" s="224" t="n">
        <v>0</v>
      </c>
      <c r="T126" s="224" t="n">
        <v>0</v>
      </c>
      <c r="U126" s="224" t="n">
        <v>0</v>
      </c>
      <c r="V126" s="224" t="n">
        <v>0</v>
      </c>
    </row>
    <row r="127">
      <c r="A127" t="inlineStr">
        <is>
          <t>DDTL draw</t>
        </is>
      </c>
      <c r="B127" t="inlineStr">
        <is>
          <t>$mm</t>
        </is>
      </c>
      <c r="C127" s="224" t="n">
        <v>0</v>
      </c>
      <c r="D127" s="224" t="n">
        <v>6</v>
      </c>
      <c r="E127" s="224" t="n">
        <v>0</v>
      </c>
      <c r="F127" s="224" t="n">
        <v>0</v>
      </c>
      <c r="G127" s="224" t="n">
        <v>4</v>
      </c>
      <c r="H127" s="224" t="n">
        <v>0</v>
      </c>
      <c r="I127" s="224" t="n">
        <v>0</v>
      </c>
      <c r="J127" s="224" t="n">
        <v>0</v>
      </c>
      <c r="K127" s="224" t="n">
        <v>0</v>
      </c>
      <c r="L127" s="224" t="n">
        <v>0</v>
      </c>
      <c r="M127" s="224" t="n">
        <v>0</v>
      </c>
      <c r="N127" s="224" t="n">
        <v>0</v>
      </c>
      <c r="O127" s="224" t="n">
        <v>0</v>
      </c>
      <c r="P127" s="224" t="n">
        <v>0</v>
      </c>
      <c r="Q127" s="224" t="n">
        <v>0</v>
      </c>
      <c r="R127" s="224" t="n">
        <v>0</v>
      </c>
      <c r="S127" s="224" t="n">
        <v>0</v>
      </c>
      <c r="T127" s="224" t="n">
        <v>0</v>
      </c>
      <c r="U127" s="224" t="n">
        <v>0</v>
      </c>
      <c r="V127" s="224" t="n">
        <v>0</v>
      </c>
    </row>
    <row r="128">
      <c r="A128" t="inlineStr">
        <is>
          <t>Sponsor equity contribution</t>
        </is>
      </c>
      <c r="B128" t="inlineStr">
        <is>
          <t>$mm</t>
        </is>
      </c>
      <c r="C128" s="224" t="n">
        <v>0</v>
      </c>
      <c r="D128" s="224" t="n">
        <v>0</v>
      </c>
      <c r="E128" s="224" t="n">
        <v>0</v>
      </c>
      <c r="F128" s="224" t="n">
        <v>0</v>
      </c>
      <c r="G128" s="224" t="n">
        <v>5</v>
      </c>
      <c r="H128" s="224" t="n">
        <v>0</v>
      </c>
      <c r="I128" s="224" t="n">
        <v>0</v>
      </c>
      <c r="J128" s="224" t="n">
        <v>0</v>
      </c>
      <c r="K128" s="224" t="n">
        <v>0</v>
      </c>
      <c r="L128" s="224" t="n">
        <v>0</v>
      </c>
      <c r="M128" s="224" t="n">
        <v>0</v>
      </c>
      <c r="N128" s="224" t="n">
        <v>0</v>
      </c>
      <c r="O128" s="224" t="n">
        <v>0</v>
      </c>
      <c r="P128" s="224" t="n">
        <v>0</v>
      </c>
      <c r="Q128" s="224" t="n">
        <v>0</v>
      </c>
      <c r="R128" s="224" t="n">
        <v>0</v>
      </c>
      <c r="S128" s="224" t="n">
        <v>0</v>
      </c>
      <c r="T128" s="224" t="n">
        <v>0</v>
      </c>
      <c r="U128" s="224" t="n">
        <v>0</v>
      </c>
      <c r="V128" s="224" t="n">
        <v>0</v>
      </c>
    </row>
    <row r="129">
      <c r="A129" t="inlineStr">
        <is>
          <t>Capitalized integration spend</t>
        </is>
      </c>
      <c r="B129" t="inlineStr">
        <is>
          <t>$mm</t>
        </is>
      </c>
      <c r="C129" s="224" t="n">
        <v>0</v>
      </c>
      <c r="D129" s="224" t="n">
        <v>0</v>
      </c>
      <c r="E129" s="224" t="n">
        <v>0</v>
      </c>
      <c r="F129" s="224" t="n">
        <v>0</v>
      </c>
      <c r="G129" s="224" t="n">
        <v>0</v>
      </c>
      <c r="H129" s="224" t="n">
        <v>0</v>
      </c>
      <c r="I129" s="224" t="n">
        <v>0</v>
      </c>
      <c r="J129" s="224" t="n">
        <v>0</v>
      </c>
      <c r="K129" s="224" t="n">
        <v>0</v>
      </c>
      <c r="L129" s="224" t="n">
        <v>0</v>
      </c>
      <c r="M129" s="224" t="n">
        <v>0</v>
      </c>
      <c r="N129" s="224" t="n">
        <v>0</v>
      </c>
      <c r="O129" s="224" t="n">
        <v>0</v>
      </c>
      <c r="P129" s="224" t="n">
        <v>0</v>
      </c>
      <c r="Q129" s="224" t="n">
        <v>0</v>
      </c>
      <c r="R129" s="224" t="n">
        <v>0</v>
      </c>
      <c r="S129" s="224" t="n">
        <v>0</v>
      </c>
      <c r="T129" s="224" t="n">
        <v>0</v>
      </c>
      <c r="U129" s="224" t="n">
        <v>0</v>
      </c>
      <c r="V129" s="224" t="n">
        <v>0</v>
      </c>
    </row>
    <row r="130">
      <c r="A130" t="inlineStr">
        <is>
          <t>Letters of credit</t>
        </is>
      </c>
      <c r="B130" t="inlineStr">
        <is>
          <t>$mm</t>
        </is>
      </c>
      <c r="C130" s="224" t="n">
        <v>0</v>
      </c>
      <c r="D130" s="224" t="n">
        <v>0</v>
      </c>
      <c r="E130" s="224" t="n">
        <v>0</v>
      </c>
      <c r="F130" s="224" t="n">
        <v>0</v>
      </c>
      <c r="G130" s="224" t="n">
        <v>0</v>
      </c>
      <c r="H130" s="224" t="n">
        <v>0</v>
      </c>
      <c r="I130" s="224" t="n">
        <v>0</v>
      </c>
      <c r="J130" s="224" t="n">
        <v>0</v>
      </c>
      <c r="K130" s="224" t="n">
        <v>0</v>
      </c>
      <c r="L130" s="224" t="n">
        <v>0</v>
      </c>
      <c r="M130" s="224" t="n">
        <v>0</v>
      </c>
      <c r="N130" s="224" t="n">
        <v>0</v>
      </c>
      <c r="O130" s="224" t="n">
        <v>0</v>
      </c>
      <c r="P130" s="224" t="n">
        <v>0</v>
      </c>
      <c r="Q130" s="224" t="n">
        <v>0</v>
      </c>
      <c r="R130" s="224" t="n">
        <v>0</v>
      </c>
      <c r="S130" s="224" t="n">
        <v>0</v>
      </c>
      <c r="T130" s="224" t="n">
        <v>0</v>
      </c>
      <c r="U130" s="224" t="n">
        <v>0</v>
      </c>
      <c r="V130" s="224" t="n">
        <v>0</v>
      </c>
    </row>
    <row r="131">
      <c r="A131" t="inlineStr">
        <is>
          <t>Cash floor</t>
        </is>
      </c>
      <c r="B131" t="inlineStr">
        <is>
          <t>$mm</t>
        </is>
      </c>
      <c r="C131" s="224" t="n">
        <v>3</v>
      </c>
      <c r="D131" s="224" t="n">
        <v>3</v>
      </c>
      <c r="E131" s="224" t="n">
        <v>3</v>
      </c>
      <c r="F131" s="224" t="n">
        <v>3</v>
      </c>
      <c r="G131" s="224" t="n">
        <v>3</v>
      </c>
      <c r="H131" s="224" t="n">
        <v>3</v>
      </c>
      <c r="I131" s="224" t="n">
        <v>3</v>
      </c>
      <c r="J131" s="224" t="n">
        <v>3</v>
      </c>
      <c r="K131" s="224" t="n">
        <v>3</v>
      </c>
      <c r="L131" s="224" t="n">
        <v>3</v>
      </c>
      <c r="M131" s="224" t="n">
        <v>3</v>
      </c>
      <c r="N131" s="224" t="n">
        <v>3</v>
      </c>
      <c r="O131" s="224" t="n">
        <v>3</v>
      </c>
      <c r="P131" s="224" t="n">
        <v>3</v>
      </c>
      <c r="Q131" s="224" t="n">
        <v>3</v>
      </c>
      <c r="R131" s="224" t="n">
        <v>3</v>
      </c>
      <c r="S131" s="224" t="n">
        <v>3</v>
      </c>
      <c r="T131" s="224" t="n">
        <v>3</v>
      </c>
      <c r="U131" s="224" t="n">
        <v>3</v>
      </c>
      <c r="V131" s="224" t="n">
        <v>3</v>
      </c>
    </row>
    <row r="132">
      <c r="A132" t="inlineStr">
        <is>
          <t>Forced revolver target</t>
        </is>
      </c>
      <c r="B132" t="inlineStr">
        <is>
          <t>$mm</t>
        </is>
      </c>
      <c r="C132" s="224" t="n">
        <v>-1</v>
      </c>
      <c r="D132" s="224" t="n">
        <v>-1</v>
      </c>
      <c r="E132" s="224" t="n">
        <v>-1</v>
      </c>
      <c r="F132" s="224" t="n">
        <v>-1</v>
      </c>
      <c r="G132" s="224" t="n">
        <v>-1</v>
      </c>
      <c r="H132" s="224" t="n">
        <v>-1</v>
      </c>
      <c r="I132" s="224" t="n">
        <v>-1</v>
      </c>
      <c r="J132" s="224" t="n">
        <v>-1</v>
      </c>
      <c r="K132" s="224" t="n">
        <v>-1</v>
      </c>
      <c r="L132" s="224" t="n">
        <v>-1</v>
      </c>
      <c r="M132" s="224" t="n">
        <v>-1</v>
      </c>
      <c r="N132" s="224" t="n">
        <v>-1</v>
      </c>
      <c r="O132" s="224" t="n">
        <v>-1</v>
      </c>
      <c r="P132" s="224" t="n">
        <v>-1</v>
      </c>
      <c r="Q132" s="224" t="n">
        <v>-1</v>
      </c>
      <c r="R132" s="224" t="n">
        <v>-1</v>
      </c>
      <c r="S132" s="224" t="n">
        <v>-1</v>
      </c>
      <c r="T132" s="224" t="n">
        <v>-1</v>
      </c>
      <c r="U132" s="224" t="n">
        <v>-1</v>
      </c>
      <c r="V132" s="224" t="n">
        <v>-1</v>
      </c>
    </row>
    <row r="133">
      <c r="A133" t="inlineStr">
        <is>
          <t>Repay all revolver?</t>
        </is>
      </c>
      <c r="B133" t="inlineStr">
        <is>
          <t>flag</t>
        </is>
      </c>
      <c r="C133" s="227" t="n">
        <v>0</v>
      </c>
      <c r="D133" s="227" t="n">
        <v>0</v>
      </c>
      <c r="E133" s="227" t="n">
        <v>0</v>
      </c>
      <c r="F133" s="227" t="n">
        <v>0</v>
      </c>
      <c r="G133" s="227" t="n">
        <v>0</v>
      </c>
      <c r="H133" s="227" t="n">
        <v>0</v>
      </c>
      <c r="I133" s="227" t="n">
        <v>0</v>
      </c>
      <c r="J133" s="227" t="n">
        <v>0</v>
      </c>
      <c r="K133" s="227" t="n">
        <v>0</v>
      </c>
      <c r="L133" s="227" t="n">
        <v>0</v>
      </c>
      <c r="M133" s="227" t="n">
        <v>0</v>
      </c>
      <c r="N133" s="227" t="n">
        <v>0</v>
      </c>
      <c r="O133" s="227" t="n">
        <v>0</v>
      </c>
      <c r="P133" s="227" t="n">
        <v>0</v>
      </c>
      <c r="Q133" s="227" t="n">
        <v>0</v>
      </c>
      <c r="R133" s="227" t="n">
        <v>0</v>
      </c>
      <c r="S133" s="227" t="n">
        <v>0</v>
      </c>
      <c r="T133" s="227" t="n">
        <v>0</v>
      </c>
      <c r="U133" s="227" t="n">
        <v>0</v>
      </c>
      <c r="V133" s="227" t="n">
        <v>0</v>
      </c>
    </row>
    <row r="134">
      <c r="A134" t="inlineStr">
        <is>
          <t>Covenant limit</t>
        </is>
      </c>
      <c r="B134" t="inlineStr">
        <is>
          <t>x</t>
        </is>
      </c>
      <c r="C134" s="228" t="n">
        <v>4.25</v>
      </c>
      <c r="D134" s="228" t="n">
        <v>4.25</v>
      </c>
      <c r="E134" s="228" t="n">
        <v>4.25</v>
      </c>
      <c r="F134" s="228" t="n">
        <v>4.25</v>
      </c>
      <c r="G134" s="228" t="n">
        <v>4.25</v>
      </c>
      <c r="H134" s="228" t="n">
        <v>4.25</v>
      </c>
      <c r="I134" s="228" t="n">
        <v>4.25</v>
      </c>
      <c r="J134" s="228" t="n">
        <v>4</v>
      </c>
      <c r="K134" s="228" t="n">
        <v>4</v>
      </c>
      <c r="L134" s="228" t="n">
        <v>4</v>
      </c>
      <c r="M134" s="228" t="n">
        <v>4</v>
      </c>
      <c r="N134" s="228" t="n">
        <v>3.75</v>
      </c>
      <c r="O134" s="228" t="n">
        <v>3.75</v>
      </c>
      <c r="P134" s="228" t="n">
        <v>3.75</v>
      </c>
      <c r="Q134" s="228" t="n">
        <v>3.75</v>
      </c>
      <c r="R134" s="228" t="n">
        <v>3.5</v>
      </c>
      <c r="S134" s="228" t="n">
        <v>3.5</v>
      </c>
      <c r="T134" s="228" t="n">
        <v>3.5</v>
      </c>
      <c r="U134" s="228" t="n">
        <v>3.5</v>
      </c>
      <c r="V134" s="228" t="n">
        <v>3.5</v>
      </c>
    </row>
    <row r="135">
      <c r="A135" t="inlineStr">
        <is>
          <t>SOFR</t>
        </is>
      </c>
      <c r="B135" t="inlineStr">
        <is>
          <t>%</t>
        </is>
      </c>
      <c r="C135" s="225" t="n">
        <v>0.0425</v>
      </c>
      <c r="D135" s="225" t="n">
        <v>0.0425</v>
      </c>
      <c r="E135" s="225" t="n">
        <v>0.0425</v>
      </c>
      <c r="F135" s="225" t="n">
        <v>0.0375</v>
      </c>
      <c r="G135" s="225" t="n">
        <v>0.0375</v>
      </c>
      <c r="H135" s="225" t="n">
        <v>0.0375</v>
      </c>
      <c r="I135" s="225" t="n">
        <v>0.0375</v>
      </c>
      <c r="J135" s="225" t="n">
        <v>0.035</v>
      </c>
      <c r="K135" s="225" t="n">
        <v>0.035</v>
      </c>
      <c r="L135" s="225" t="n">
        <v>0.035</v>
      </c>
      <c r="M135" s="225" t="n">
        <v>0.035</v>
      </c>
      <c r="N135" s="225" t="n">
        <v>0.0325</v>
      </c>
      <c r="O135" s="225" t="n">
        <v>0.0325</v>
      </c>
      <c r="P135" s="225" t="n">
        <v>0.0325</v>
      </c>
      <c r="Q135" s="225" t="n">
        <v>0.0325</v>
      </c>
      <c r="R135" s="225" t="n">
        <v>0.03</v>
      </c>
      <c r="S135" s="225" t="n">
        <v>0.03</v>
      </c>
      <c r="T135" s="225" t="n">
        <v>0.03</v>
      </c>
      <c r="U135" s="225" t="n">
        <v>0.03</v>
      </c>
      <c r="V135" s="225" t="n">
        <v>0.03</v>
      </c>
    </row>
    <row r="136">
      <c r="A136" t="inlineStr">
        <is>
          <t>Rate step-up</t>
        </is>
      </c>
      <c r="B136" t="inlineStr">
        <is>
          <t>%</t>
        </is>
      </c>
      <c r="C136" s="225" t="n">
        <v>0</v>
      </c>
      <c r="D136" s="225" t="n">
        <v>0</v>
      </c>
      <c r="E136" s="225" t="n">
        <v>0</v>
      </c>
      <c r="F136" s="225" t="n">
        <v>0</v>
      </c>
      <c r="G136" s="225" t="n">
        <v>0</v>
      </c>
      <c r="H136" s="225" t="n">
        <v>0</v>
      </c>
      <c r="I136" s="225" t="n">
        <v>0</v>
      </c>
      <c r="J136" s="225" t="n">
        <v>0</v>
      </c>
      <c r="K136" s="225" t="n">
        <v>0</v>
      </c>
      <c r="L136" s="225" t="n">
        <v>0</v>
      </c>
      <c r="M136" s="225" t="n">
        <v>0</v>
      </c>
      <c r="N136" s="225" t="n">
        <v>0</v>
      </c>
      <c r="O136" s="225" t="n">
        <v>0</v>
      </c>
      <c r="P136" s="225" t="n">
        <v>0</v>
      </c>
      <c r="Q136" s="225" t="n">
        <v>0</v>
      </c>
      <c r="R136" s="225" t="n">
        <v>0</v>
      </c>
      <c r="S136" s="225" t="n">
        <v>0</v>
      </c>
      <c r="T136" s="225" t="n">
        <v>0</v>
      </c>
      <c r="U136" s="225" t="n">
        <v>0</v>
      </c>
      <c r="V136" s="225" t="n">
        <v>0</v>
      </c>
    </row>
    <row r="137">
      <c r="A137" t="inlineStr">
        <is>
          <t>Core PPA amortization</t>
        </is>
      </c>
      <c r="B137" t="inlineStr">
        <is>
          <t>$mm</t>
        </is>
      </c>
      <c r="C137" s="224" t="n">
        <v>0.75</v>
      </c>
      <c r="D137" s="224" t="n">
        <v>0.75</v>
      </c>
      <c r="E137" s="224" t="n">
        <v>0.853125</v>
      </c>
      <c r="F137" s="224" t="n">
        <v>0.853125</v>
      </c>
      <c r="G137" s="224" t="n">
        <v>0.853125</v>
      </c>
      <c r="H137" s="224" t="n">
        <v>0.9875</v>
      </c>
      <c r="I137" s="224" t="n">
        <v>0.9875</v>
      </c>
      <c r="J137" s="224" t="n">
        <v>0.9875</v>
      </c>
      <c r="K137" s="224" t="n">
        <v>0.9875</v>
      </c>
      <c r="L137" s="224" t="n">
        <v>0.9875</v>
      </c>
      <c r="M137" s="224" t="n">
        <v>0.9875</v>
      </c>
      <c r="N137" s="224" t="n">
        <v>0.9875</v>
      </c>
      <c r="O137" s="224" t="n">
        <v>0.9875</v>
      </c>
      <c r="P137" s="224" t="n">
        <v>0.9875</v>
      </c>
      <c r="Q137" s="224" t="n">
        <v>0.9875</v>
      </c>
      <c r="R137" s="224" t="n">
        <v>0.9875</v>
      </c>
      <c r="S137" s="224" t="n">
        <v>0.9875</v>
      </c>
      <c r="T137" s="224" t="n">
        <v>0.9875</v>
      </c>
      <c r="U137" s="224" t="n">
        <v>0.9875</v>
      </c>
      <c r="V137" s="224" t="n">
        <v>0.9875</v>
      </c>
    </row>
    <row r="138">
      <c r="A138" t="inlineStr">
        <is>
          <t>Seasonality</t>
        </is>
      </c>
      <c r="B138" t="inlineStr">
        <is>
          <t>%</t>
        </is>
      </c>
      <c r="C138" s="225" t="n">
        <v>0.25</v>
      </c>
      <c r="D138" s="225" t="n">
        <v>0.26</v>
      </c>
      <c r="E138" s="225" t="n">
        <v>0.26</v>
      </c>
      <c r="F138" s="225" t="n">
        <v>0.23</v>
      </c>
      <c r="G138" s="225" t="n">
        <v>0.25</v>
      </c>
      <c r="H138" s="225" t="n">
        <v>0.26</v>
      </c>
      <c r="I138" s="225" t="n">
        <v>0.26</v>
      </c>
      <c r="J138" s="225" t="n">
        <v>0.23</v>
      </c>
      <c r="K138" s="225" t="n">
        <v>0.25</v>
      </c>
      <c r="L138" s="225" t="n">
        <v>0.26</v>
      </c>
      <c r="M138" s="225" t="n">
        <v>0.26</v>
      </c>
      <c r="N138" s="225" t="n">
        <v>0.23</v>
      </c>
      <c r="O138" s="225" t="n">
        <v>0.25</v>
      </c>
      <c r="P138" s="225" t="n">
        <v>0.26</v>
      </c>
      <c r="Q138" s="225" t="n">
        <v>0.26</v>
      </c>
      <c r="R138" s="225" t="n">
        <v>0.23</v>
      </c>
      <c r="S138" s="225" t="n">
        <v>0.25</v>
      </c>
      <c r="T138" s="225" t="n">
        <v>0.26</v>
      </c>
      <c r="U138" s="225" t="n">
        <v>0.26</v>
      </c>
      <c r="V138" s="225" t="n">
        <v>0.23</v>
      </c>
    </row>
    <row r="139"/>
    <row r="140" ht="20" customHeight="1">
      <c r="A140" s="39" t="inlineStr">
        <is>
          <t>Combined Risk</t>
        </is>
      </c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</row>
    <row r="141">
      <c r="A141" t="inlineStr">
        <is>
          <t>Revenue</t>
        </is>
      </c>
      <c r="B141" t="inlineStr">
        <is>
          <t>$mm</t>
        </is>
      </c>
      <c r="C141" s="224" t="n">
        <v>19.795</v>
      </c>
      <c r="D141" s="224" t="n">
        <v>20.5</v>
      </c>
      <c r="E141" s="224" t="n">
        <v>22</v>
      </c>
      <c r="F141" s="224" t="n">
        <v>20</v>
      </c>
      <c r="G141" s="224" t="n">
        <v>19</v>
      </c>
      <c r="H141" s="224" t="n">
        <v>19.5</v>
      </c>
      <c r="I141" s="224" t="n">
        <v>20</v>
      </c>
      <c r="J141" s="224" t="n">
        <v>20.5</v>
      </c>
      <c r="K141" s="224" t="n">
        <v>21.5</v>
      </c>
      <c r="L141" s="224" t="n">
        <v>22.5</v>
      </c>
      <c r="M141" s="224" t="n">
        <v>23.5</v>
      </c>
      <c r="N141" s="224" t="n">
        <v>23.5</v>
      </c>
      <c r="O141" s="224" t="n">
        <v>24</v>
      </c>
      <c r="P141" s="224" t="n">
        <v>25</v>
      </c>
      <c r="Q141" s="224" t="n">
        <v>25.5</v>
      </c>
      <c r="R141" s="224" t="n">
        <v>26</v>
      </c>
      <c r="S141" s="224" t="n">
        <v>27</v>
      </c>
      <c r="T141" s="224" t="n">
        <v>27.5</v>
      </c>
      <c r="U141" s="224" t="n">
        <v>28</v>
      </c>
      <c r="V141" s="224" t="n">
        <v>29</v>
      </c>
    </row>
    <row r="142">
      <c r="A142" t="inlineStr">
        <is>
          <t>Gross margin</t>
        </is>
      </c>
      <c r="B142" t="inlineStr">
        <is>
          <t>%</t>
        </is>
      </c>
      <c r="C142" s="225" t="n">
        <v>0.355</v>
      </c>
      <c r="D142" s="225" t="n">
        <v>0.3565031219512196</v>
      </c>
      <c r="E142" s="225" t="n">
        <v>0.3678132009596698</v>
      </c>
      <c r="F142" s="225" t="n">
        <v>0.3231700055977126</v>
      </c>
      <c r="G142" s="225" t="n">
        <v>0.3698092692101128</v>
      </c>
      <c r="H142" s="225" t="n">
        <v>0.3747903200000001</v>
      </c>
      <c r="I142" s="225" t="n">
        <v>0.3654696271609149</v>
      </c>
      <c r="J142" s="225" t="n">
        <v>0.3662688904177572</v>
      </c>
      <c r="K142" s="225" t="n">
        <v>0.3796452222938187</v>
      </c>
      <c r="L142" s="225" t="n">
        <v>0.3773267622799999</v>
      </c>
      <c r="M142" s="225" t="n">
        <v>0.3613122706823144</v>
      </c>
      <c r="N142" s="225" t="n">
        <v>0.3608658804671103</v>
      </c>
      <c r="O142" s="225" t="n">
        <v>0.3841133507971848</v>
      </c>
      <c r="P142" s="225" t="n">
        <v>0.38353836566448</v>
      </c>
      <c r="Q142" s="225" t="n">
        <v>0.3760568738194141</v>
      </c>
      <c r="R142" s="225" t="n">
        <v>0.3685701907655901</v>
      </c>
      <c r="S142" s="225" t="n">
        <v>0.3858173883857977</v>
      </c>
      <c r="T142" s="225" t="n">
        <v>0.3939908044042195</v>
      </c>
      <c r="U142" s="225" t="n">
        <v>0.3869908292001076</v>
      </c>
      <c r="V142" s="225" t="n">
        <v>0.3564815608084394</v>
      </c>
    </row>
    <row r="143">
      <c r="A143" t="inlineStr">
        <is>
          <t>Firm EBITDA</t>
        </is>
      </c>
      <c r="B143" t="inlineStr">
        <is>
          <t>$mm</t>
        </is>
      </c>
      <c r="C143" s="224" t="n">
        <v>2.870275</v>
      </c>
      <c r="D143" s="224" t="n">
        <v>2.8</v>
      </c>
      <c r="E143" s="224" t="n">
        <v>3</v>
      </c>
      <c r="F143" s="224" t="n">
        <v>2.55</v>
      </c>
      <c r="G143" s="224" t="n">
        <v>2.45</v>
      </c>
      <c r="H143" s="224" t="n">
        <v>2.55</v>
      </c>
      <c r="I143" s="224" t="n">
        <v>2.75</v>
      </c>
      <c r="J143" s="224" t="n">
        <v>2.8</v>
      </c>
      <c r="K143" s="224" t="n">
        <v>2.95</v>
      </c>
      <c r="L143" s="224" t="n">
        <v>3.1</v>
      </c>
      <c r="M143" s="224" t="n">
        <v>3.25</v>
      </c>
      <c r="N143" s="224" t="n">
        <v>3.3</v>
      </c>
      <c r="O143" s="224" t="n">
        <v>3.45</v>
      </c>
      <c r="P143" s="224" t="n">
        <v>3.65</v>
      </c>
      <c r="Q143" s="224" t="n">
        <v>3.8</v>
      </c>
      <c r="R143" s="224" t="n">
        <v>3.95</v>
      </c>
      <c r="S143" s="224" t="n">
        <v>4.15</v>
      </c>
      <c r="T143" s="224" t="n">
        <v>4.35</v>
      </c>
      <c r="U143" s="224" t="n">
        <v>4.55</v>
      </c>
      <c r="V143" s="224" t="n">
        <v>4.8</v>
      </c>
    </row>
    <row r="144">
      <c r="A144" t="inlineStr">
        <is>
          <t>One-time charges</t>
        </is>
      </c>
      <c r="B144" t="inlineStr">
        <is>
          <t>$mm</t>
        </is>
      </c>
      <c r="C144" s="224" t="n">
        <v>0</v>
      </c>
      <c r="D144" s="224" t="n">
        <v>0.1</v>
      </c>
      <c r="E144" s="224" t="n">
        <v>0.2</v>
      </c>
      <c r="F144" s="224" t="n">
        <v>0.35</v>
      </c>
      <c r="G144" s="224" t="n">
        <v>0.75</v>
      </c>
      <c r="H144" s="224" t="n">
        <v>0.35</v>
      </c>
      <c r="I144" s="224" t="n">
        <v>0.25</v>
      </c>
      <c r="J144" s="224" t="n">
        <v>0.2</v>
      </c>
      <c r="K144" s="224" t="n">
        <v>0.15</v>
      </c>
      <c r="L144" s="224" t="n">
        <v>0.1</v>
      </c>
      <c r="M144" s="224" t="n">
        <v>0.05</v>
      </c>
      <c r="N144" s="224" t="n">
        <v>0</v>
      </c>
      <c r="O144" s="224" t="n">
        <v>0</v>
      </c>
      <c r="P144" s="224" t="n">
        <v>0</v>
      </c>
      <c r="Q144" s="224" t="n">
        <v>0</v>
      </c>
      <c r="R144" s="224" t="n">
        <v>0</v>
      </c>
      <c r="S144" s="224" t="n">
        <v>0</v>
      </c>
      <c r="T144" s="224" t="n">
        <v>0</v>
      </c>
      <c r="U144" s="224" t="n">
        <v>0</v>
      </c>
      <c r="V144" s="224" t="n">
        <v>0</v>
      </c>
    </row>
    <row r="145">
      <c r="A145" t="inlineStr">
        <is>
          <t>Covenant add-backs</t>
        </is>
      </c>
      <c r="B145" t="inlineStr">
        <is>
          <t>$mm</t>
        </is>
      </c>
      <c r="C145" s="224" t="n">
        <v>0</v>
      </c>
      <c r="D145" s="224" t="n">
        <v>0.1</v>
      </c>
      <c r="E145" s="224" t="n">
        <v>0.2</v>
      </c>
      <c r="F145" s="224" t="n">
        <v>0.5</v>
      </c>
      <c r="G145" s="224" t="n">
        <v>0.6</v>
      </c>
      <c r="H145" s="224" t="n">
        <v>0.35</v>
      </c>
      <c r="I145" s="224" t="n">
        <v>0.25</v>
      </c>
      <c r="J145" s="224" t="n">
        <v>0.2</v>
      </c>
      <c r="K145" s="224" t="n">
        <v>0.15</v>
      </c>
      <c r="L145" s="224" t="n">
        <v>0.1</v>
      </c>
      <c r="M145" s="224" t="n">
        <v>0.05</v>
      </c>
      <c r="N145" s="224" t="n">
        <v>0</v>
      </c>
      <c r="O145" s="224" t="n">
        <v>0</v>
      </c>
      <c r="P145" s="224" t="n">
        <v>0</v>
      </c>
      <c r="Q145" s="224" t="n">
        <v>0</v>
      </c>
      <c r="R145" s="224" t="n">
        <v>0</v>
      </c>
      <c r="S145" s="224" t="n">
        <v>0</v>
      </c>
      <c r="T145" s="224" t="n">
        <v>0</v>
      </c>
      <c r="U145" s="224" t="n">
        <v>0</v>
      </c>
      <c r="V145" s="224" t="n">
        <v>0</v>
      </c>
    </row>
    <row r="146">
      <c r="A146" t="inlineStr">
        <is>
          <t>DSO</t>
        </is>
      </c>
      <c r="B146" t="inlineStr">
        <is>
          <t>days</t>
        </is>
      </c>
      <c r="C146" s="227" t="n">
        <v>68</v>
      </c>
      <c r="D146" s="227" t="n">
        <v>68</v>
      </c>
      <c r="E146" s="227" t="n">
        <v>68</v>
      </c>
      <c r="F146" s="227" t="n">
        <v>82</v>
      </c>
      <c r="G146" s="227" t="n">
        <v>82</v>
      </c>
      <c r="H146" s="227" t="n">
        <v>82</v>
      </c>
      <c r="I146" s="227" t="n">
        <v>82</v>
      </c>
      <c r="J146" s="227" t="n">
        <v>74</v>
      </c>
      <c r="K146" s="227" t="n">
        <v>74</v>
      </c>
      <c r="L146" s="227" t="n">
        <v>74</v>
      </c>
      <c r="M146" s="227" t="n">
        <v>74</v>
      </c>
      <c r="N146" s="227" t="n">
        <v>68</v>
      </c>
      <c r="O146" s="227" t="n">
        <v>68</v>
      </c>
      <c r="P146" s="227" t="n">
        <v>68</v>
      </c>
      <c r="Q146" s="227" t="n">
        <v>68</v>
      </c>
      <c r="R146" s="227" t="n">
        <v>64</v>
      </c>
      <c r="S146" s="227" t="n">
        <v>64</v>
      </c>
      <c r="T146" s="227" t="n">
        <v>64</v>
      </c>
      <c r="U146" s="227" t="n">
        <v>64</v>
      </c>
      <c r="V146" s="227" t="n">
        <v>62</v>
      </c>
    </row>
    <row r="147">
      <c r="A147" t="inlineStr">
        <is>
          <t>WIP / annualized revenue</t>
        </is>
      </c>
      <c r="B147" t="inlineStr">
        <is>
          <t>%</t>
        </is>
      </c>
      <c r="C147" s="225" t="n">
        <v>0.078</v>
      </c>
      <c r="D147" s="225" t="n">
        <v>0.078</v>
      </c>
      <c r="E147" s="225" t="n">
        <v>0.078</v>
      </c>
      <c r="F147" s="225" t="n">
        <v>0.105</v>
      </c>
      <c r="G147" s="225" t="n">
        <v>0.105</v>
      </c>
      <c r="H147" s="225" t="n">
        <v>0.105</v>
      </c>
      <c r="I147" s="225" t="n">
        <v>0.105</v>
      </c>
      <c r="J147" s="225" t="n">
        <v>0.08500000000000001</v>
      </c>
      <c r="K147" s="225" t="n">
        <v>0.08500000000000001</v>
      </c>
      <c r="L147" s="225" t="n">
        <v>0.08500000000000001</v>
      </c>
      <c r="M147" s="225" t="n">
        <v>0.08500000000000001</v>
      </c>
      <c r="N147" s="225" t="n">
        <v>0.07199999999999999</v>
      </c>
      <c r="O147" s="225" t="n">
        <v>0.07199999999999999</v>
      </c>
      <c r="P147" s="225" t="n">
        <v>0.07199999999999999</v>
      </c>
      <c r="Q147" s="225" t="n">
        <v>0.07199999999999999</v>
      </c>
      <c r="R147" s="225" t="n">
        <v>0.065</v>
      </c>
      <c r="S147" s="225" t="n">
        <v>0.065</v>
      </c>
      <c r="T147" s="225" t="n">
        <v>0.065</v>
      </c>
      <c r="U147" s="225" t="n">
        <v>0.065</v>
      </c>
      <c r="V147" s="225" t="n">
        <v>0.062</v>
      </c>
    </row>
    <row r="148">
      <c r="A148" t="inlineStr">
        <is>
          <t>Prepaids / annualized revenue</t>
        </is>
      </c>
      <c r="B148" t="inlineStr">
        <is>
          <t>%</t>
        </is>
      </c>
      <c r="C148" s="225" t="n">
        <v>0.012</v>
      </c>
      <c r="D148" s="225" t="n">
        <v>0.012</v>
      </c>
      <c r="E148" s="225" t="n">
        <v>0.012</v>
      </c>
      <c r="F148" s="225" t="n">
        <v>0.012</v>
      </c>
      <c r="G148" s="225" t="n">
        <v>0.012</v>
      </c>
      <c r="H148" s="225" t="n">
        <v>0.012</v>
      </c>
      <c r="I148" s="225" t="n">
        <v>0.012</v>
      </c>
      <c r="J148" s="225" t="n">
        <v>0.012</v>
      </c>
      <c r="K148" s="225" t="n">
        <v>0.012</v>
      </c>
      <c r="L148" s="225" t="n">
        <v>0.012</v>
      </c>
      <c r="M148" s="225" t="n">
        <v>0.012</v>
      </c>
      <c r="N148" s="225" t="n">
        <v>0.012</v>
      </c>
      <c r="O148" s="225" t="n">
        <v>0.012</v>
      </c>
      <c r="P148" s="225" t="n">
        <v>0.012</v>
      </c>
      <c r="Q148" s="225" t="n">
        <v>0.012</v>
      </c>
      <c r="R148" s="225" t="n">
        <v>0.012</v>
      </c>
      <c r="S148" s="225" t="n">
        <v>0.012</v>
      </c>
      <c r="T148" s="225" t="n">
        <v>0.012</v>
      </c>
      <c r="U148" s="225" t="n">
        <v>0.012</v>
      </c>
      <c r="V148" s="225" t="n">
        <v>0.012</v>
      </c>
    </row>
    <row r="149">
      <c r="A149" t="inlineStr">
        <is>
          <t>AP / annualized revenue</t>
        </is>
      </c>
      <c r="B149" t="inlineStr">
        <is>
          <t>%</t>
        </is>
      </c>
      <c r="C149" s="225" t="n">
        <v>0.055</v>
      </c>
      <c r="D149" s="225" t="n">
        <v>0.055</v>
      </c>
      <c r="E149" s="225" t="n">
        <v>0.055</v>
      </c>
      <c r="F149" s="225" t="n">
        <v>0.055</v>
      </c>
      <c r="G149" s="225" t="n">
        <v>0.055</v>
      </c>
      <c r="H149" s="225" t="n">
        <v>0.055</v>
      </c>
      <c r="I149" s="225" t="n">
        <v>0.055</v>
      </c>
      <c r="J149" s="225" t="n">
        <v>0.055</v>
      </c>
      <c r="K149" s="225" t="n">
        <v>0.055</v>
      </c>
      <c r="L149" s="225" t="n">
        <v>0.055</v>
      </c>
      <c r="M149" s="225" t="n">
        <v>0.055</v>
      </c>
      <c r="N149" s="225" t="n">
        <v>0.055</v>
      </c>
      <c r="O149" s="225" t="n">
        <v>0.055</v>
      </c>
      <c r="P149" s="225" t="n">
        <v>0.055</v>
      </c>
      <c r="Q149" s="225" t="n">
        <v>0.055</v>
      </c>
      <c r="R149" s="225" t="n">
        <v>0.055</v>
      </c>
      <c r="S149" s="225" t="n">
        <v>0.055</v>
      </c>
      <c r="T149" s="225" t="n">
        <v>0.055</v>
      </c>
      <c r="U149" s="225" t="n">
        <v>0.055</v>
      </c>
      <c r="V149" s="225" t="n">
        <v>0.055</v>
      </c>
    </row>
    <row r="150">
      <c r="A150" t="inlineStr">
        <is>
          <t>Accruals / annualized revenue</t>
        </is>
      </c>
      <c r="B150" t="inlineStr">
        <is>
          <t>%</t>
        </is>
      </c>
      <c r="C150" s="225" t="n">
        <v>0.075</v>
      </c>
      <c r="D150" s="225" t="n">
        <v>0.075</v>
      </c>
      <c r="E150" s="225" t="n">
        <v>0.075</v>
      </c>
      <c r="F150" s="225" t="n">
        <v>0.075</v>
      </c>
      <c r="G150" s="225" t="n">
        <v>0.075</v>
      </c>
      <c r="H150" s="225" t="n">
        <v>0.075</v>
      </c>
      <c r="I150" s="225" t="n">
        <v>0.075</v>
      </c>
      <c r="J150" s="225" t="n">
        <v>0.075</v>
      </c>
      <c r="K150" s="225" t="n">
        <v>0.075</v>
      </c>
      <c r="L150" s="225" t="n">
        <v>0.075</v>
      </c>
      <c r="M150" s="225" t="n">
        <v>0.075</v>
      </c>
      <c r="N150" s="225" t="n">
        <v>0.075</v>
      </c>
      <c r="O150" s="225" t="n">
        <v>0.075</v>
      </c>
      <c r="P150" s="225" t="n">
        <v>0.075</v>
      </c>
      <c r="Q150" s="225" t="n">
        <v>0.075</v>
      </c>
      <c r="R150" s="225" t="n">
        <v>0.075</v>
      </c>
      <c r="S150" s="225" t="n">
        <v>0.075</v>
      </c>
      <c r="T150" s="225" t="n">
        <v>0.075</v>
      </c>
      <c r="U150" s="225" t="n">
        <v>0.075</v>
      </c>
      <c r="V150" s="225" t="n">
        <v>0.075</v>
      </c>
    </row>
    <row r="151">
      <c r="A151" t="inlineStr">
        <is>
          <t>Deferred revenue / annualized revenue</t>
        </is>
      </c>
      <c r="B151" t="inlineStr">
        <is>
          <t>%</t>
        </is>
      </c>
      <c r="C151" s="225" t="n">
        <v>0.012</v>
      </c>
      <c r="D151" s="225" t="n">
        <v>0.012</v>
      </c>
      <c r="E151" s="225" t="n">
        <v>0.012</v>
      </c>
      <c r="F151" s="225" t="n">
        <v>0.012</v>
      </c>
      <c r="G151" s="225" t="n">
        <v>0.012</v>
      </c>
      <c r="H151" s="225" t="n">
        <v>0.012</v>
      </c>
      <c r="I151" s="225" t="n">
        <v>0.012</v>
      </c>
      <c r="J151" s="225" t="n">
        <v>0.012</v>
      </c>
      <c r="K151" s="225" t="n">
        <v>0.012</v>
      </c>
      <c r="L151" s="225" t="n">
        <v>0.012</v>
      </c>
      <c r="M151" s="225" t="n">
        <v>0.012</v>
      </c>
      <c r="N151" s="225" t="n">
        <v>0.012</v>
      </c>
      <c r="O151" s="225" t="n">
        <v>0.012</v>
      </c>
      <c r="P151" s="225" t="n">
        <v>0.012</v>
      </c>
      <c r="Q151" s="225" t="n">
        <v>0.012</v>
      </c>
      <c r="R151" s="225" t="n">
        <v>0.012</v>
      </c>
      <c r="S151" s="225" t="n">
        <v>0.012</v>
      </c>
      <c r="T151" s="225" t="n">
        <v>0.012</v>
      </c>
      <c r="U151" s="225" t="n">
        <v>0.012</v>
      </c>
      <c r="V151" s="225" t="n">
        <v>0.012</v>
      </c>
    </row>
    <row r="152">
      <c r="A152" t="inlineStr">
        <is>
          <t>Capex / revenue</t>
        </is>
      </c>
      <c r="B152" t="inlineStr">
        <is>
          <t>%</t>
        </is>
      </c>
      <c r="C152" s="225" t="n">
        <v>0.016</v>
      </c>
      <c r="D152" s="225" t="n">
        <v>0.016</v>
      </c>
      <c r="E152" s="225" t="n">
        <v>0.016</v>
      </c>
      <c r="F152" s="225" t="n">
        <v>0.016</v>
      </c>
      <c r="G152" s="225" t="n">
        <v>0.016</v>
      </c>
      <c r="H152" s="225" t="n">
        <v>0.016</v>
      </c>
      <c r="I152" s="225" t="n">
        <v>0.016</v>
      </c>
      <c r="J152" s="225" t="n">
        <v>0.016</v>
      </c>
      <c r="K152" s="225" t="n">
        <v>0.016</v>
      </c>
      <c r="L152" s="225" t="n">
        <v>0.016</v>
      </c>
      <c r="M152" s="225" t="n">
        <v>0.016</v>
      </c>
      <c r="N152" s="225" t="n">
        <v>0.016</v>
      </c>
      <c r="O152" s="225" t="n">
        <v>0.016</v>
      </c>
      <c r="P152" s="225" t="n">
        <v>0.016</v>
      </c>
      <c r="Q152" s="225" t="n">
        <v>0.016</v>
      </c>
      <c r="R152" s="225" t="n">
        <v>0.016</v>
      </c>
      <c r="S152" s="225" t="n">
        <v>0.016</v>
      </c>
      <c r="T152" s="225" t="n">
        <v>0.016</v>
      </c>
      <c r="U152" s="225" t="n">
        <v>0.016</v>
      </c>
      <c r="V152" s="225" t="n">
        <v>0.016</v>
      </c>
    </row>
    <row r="153">
      <c r="A153" t="inlineStr">
        <is>
          <t>Acquired NWC</t>
        </is>
      </c>
      <c r="B153" t="inlineStr">
        <is>
          <t>$mm</t>
        </is>
      </c>
      <c r="C153" s="224" t="n">
        <v>0</v>
      </c>
      <c r="D153" s="224" t="n">
        <v>0.95</v>
      </c>
      <c r="E153" s="224" t="n">
        <v>0</v>
      </c>
      <c r="F153" s="224" t="n">
        <v>0</v>
      </c>
      <c r="G153" s="224" t="n">
        <v>0</v>
      </c>
      <c r="H153" s="224" t="n">
        <v>0</v>
      </c>
      <c r="I153" s="224" t="n">
        <v>0</v>
      </c>
      <c r="J153" s="224" t="n">
        <v>0</v>
      </c>
      <c r="K153" s="224" t="n">
        <v>0</v>
      </c>
      <c r="L153" s="224" t="n">
        <v>0</v>
      </c>
      <c r="M153" s="224" t="n">
        <v>0</v>
      </c>
      <c r="N153" s="224" t="n">
        <v>0</v>
      </c>
      <c r="O153" s="224" t="n">
        <v>0</v>
      </c>
      <c r="P153" s="224" t="n">
        <v>0</v>
      </c>
      <c r="Q153" s="224" t="n">
        <v>0</v>
      </c>
      <c r="R153" s="224" t="n">
        <v>0</v>
      </c>
      <c r="S153" s="224" t="n">
        <v>0</v>
      </c>
      <c r="T153" s="224" t="n">
        <v>0</v>
      </c>
      <c r="U153" s="224" t="n">
        <v>0</v>
      </c>
      <c r="V153" s="224" t="n">
        <v>0</v>
      </c>
    </row>
    <row r="154">
      <c r="A154" t="inlineStr">
        <is>
          <t>Acquired PP&amp;E</t>
        </is>
      </c>
      <c r="B154" t="inlineStr">
        <is>
          <t>$mm</t>
        </is>
      </c>
      <c r="C154" s="224" t="n">
        <v>0</v>
      </c>
      <c r="D154" s="224" t="n">
        <v>0.4</v>
      </c>
      <c r="E154" s="224" t="n">
        <v>0</v>
      </c>
      <c r="F154" s="224" t="n">
        <v>0</v>
      </c>
      <c r="G154" s="224" t="n">
        <v>0</v>
      </c>
      <c r="H154" s="224" t="n">
        <v>0</v>
      </c>
      <c r="I154" s="224" t="n">
        <v>0</v>
      </c>
      <c r="J154" s="224" t="n">
        <v>0</v>
      </c>
      <c r="K154" s="224" t="n">
        <v>0</v>
      </c>
      <c r="L154" s="224" t="n">
        <v>0</v>
      </c>
      <c r="M154" s="224" t="n">
        <v>0</v>
      </c>
      <c r="N154" s="224" t="n">
        <v>0</v>
      </c>
      <c r="O154" s="224" t="n">
        <v>0</v>
      </c>
      <c r="P154" s="224" t="n">
        <v>0</v>
      </c>
      <c r="Q154" s="224" t="n">
        <v>0</v>
      </c>
      <c r="R154" s="224" t="n">
        <v>0</v>
      </c>
      <c r="S154" s="224" t="n">
        <v>0</v>
      </c>
      <c r="T154" s="224" t="n">
        <v>0</v>
      </c>
      <c r="U154" s="224" t="n">
        <v>0</v>
      </c>
      <c r="V154" s="224" t="n">
        <v>0</v>
      </c>
    </row>
    <row r="155">
      <c r="A155" t="inlineStr">
        <is>
          <t>Acquisition EV</t>
        </is>
      </c>
      <c r="B155" t="inlineStr">
        <is>
          <t>$mm</t>
        </is>
      </c>
      <c r="C155" s="224" t="n">
        <v>0</v>
      </c>
      <c r="D155" s="224" t="n">
        <v>8.4</v>
      </c>
      <c r="E155" s="224" t="n">
        <v>0</v>
      </c>
      <c r="F155" s="224" t="n">
        <v>0</v>
      </c>
      <c r="G155" s="224" t="n">
        <v>0</v>
      </c>
      <c r="H155" s="224" t="n">
        <v>0</v>
      </c>
      <c r="I155" s="224" t="n">
        <v>0</v>
      </c>
      <c r="J155" s="224" t="n">
        <v>0</v>
      </c>
      <c r="K155" s="224" t="n">
        <v>0</v>
      </c>
      <c r="L155" s="224" t="n">
        <v>0</v>
      </c>
      <c r="M155" s="224" t="n">
        <v>0</v>
      </c>
      <c r="N155" s="224" t="n">
        <v>0</v>
      </c>
      <c r="O155" s="224" t="n">
        <v>0</v>
      </c>
      <c r="P155" s="224" t="n">
        <v>0</v>
      </c>
      <c r="Q155" s="224" t="n">
        <v>0</v>
      </c>
      <c r="R155" s="224" t="n">
        <v>0</v>
      </c>
      <c r="S155" s="224" t="n">
        <v>0</v>
      </c>
      <c r="T155" s="224" t="n">
        <v>0</v>
      </c>
      <c r="U155" s="224" t="n">
        <v>0</v>
      </c>
      <c r="V155" s="224" t="n">
        <v>0</v>
      </c>
    </row>
    <row r="156">
      <c r="A156" t="inlineStr">
        <is>
          <t>Acquisition fees</t>
        </is>
      </c>
      <c r="B156" t="inlineStr">
        <is>
          <t>$mm</t>
        </is>
      </c>
      <c r="C156" s="224" t="n">
        <v>0</v>
      </c>
      <c r="D156" s="224" t="n">
        <v>0.4</v>
      </c>
      <c r="E156" s="224" t="n">
        <v>0</v>
      </c>
      <c r="F156" s="224" t="n">
        <v>0</v>
      </c>
      <c r="G156" s="224" t="n">
        <v>0</v>
      </c>
      <c r="H156" s="224" t="n">
        <v>0</v>
      </c>
      <c r="I156" s="224" t="n">
        <v>0</v>
      </c>
      <c r="J156" s="224" t="n">
        <v>0</v>
      </c>
      <c r="K156" s="224" t="n">
        <v>0</v>
      </c>
      <c r="L156" s="224" t="n">
        <v>0</v>
      </c>
      <c r="M156" s="224" t="n">
        <v>0</v>
      </c>
      <c r="N156" s="224" t="n">
        <v>0</v>
      </c>
      <c r="O156" s="224" t="n">
        <v>0</v>
      </c>
      <c r="P156" s="224" t="n">
        <v>0</v>
      </c>
      <c r="Q156" s="224" t="n">
        <v>0</v>
      </c>
      <c r="R156" s="224" t="n">
        <v>0</v>
      </c>
      <c r="S156" s="224" t="n">
        <v>0</v>
      </c>
      <c r="T156" s="224" t="n">
        <v>0</v>
      </c>
      <c r="U156" s="224" t="n">
        <v>0</v>
      </c>
      <c r="V156" s="224" t="n">
        <v>0</v>
      </c>
    </row>
    <row r="157">
      <c r="A157" t="inlineStr">
        <is>
          <t>Acquired intangibles</t>
        </is>
      </c>
      <c r="B157" t="inlineStr">
        <is>
          <t>$mm</t>
        </is>
      </c>
      <c r="C157" s="224" t="n">
        <v>0</v>
      </c>
      <c r="D157" s="224" t="n">
        <v>3</v>
      </c>
      <c r="E157" s="224" t="n">
        <v>0</v>
      </c>
      <c r="F157" s="224" t="n">
        <v>0</v>
      </c>
      <c r="G157" s="224" t="n">
        <v>0</v>
      </c>
      <c r="H157" s="224" t="n">
        <v>0</v>
      </c>
      <c r="I157" s="224" t="n">
        <v>0</v>
      </c>
      <c r="J157" s="224" t="n">
        <v>0</v>
      </c>
      <c r="K157" s="224" t="n">
        <v>0</v>
      </c>
      <c r="L157" s="224" t="n">
        <v>0</v>
      </c>
      <c r="M157" s="224" t="n">
        <v>0</v>
      </c>
      <c r="N157" s="224" t="n">
        <v>0</v>
      </c>
      <c r="O157" s="224" t="n">
        <v>0</v>
      </c>
      <c r="P157" s="224" t="n">
        <v>0</v>
      </c>
      <c r="Q157" s="224" t="n">
        <v>0</v>
      </c>
      <c r="R157" s="224" t="n">
        <v>0</v>
      </c>
      <c r="S157" s="224" t="n">
        <v>0</v>
      </c>
      <c r="T157" s="224" t="n">
        <v>0</v>
      </c>
      <c r="U157" s="224" t="n">
        <v>0</v>
      </c>
      <c r="V157" s="224" t="n">
        <v>0</v>
      </c>
    </row>
    <row r="158">
      <c r="A158" t="inlineStr">
        <is>
          <t>Acquired goodwill</t>
        </is>
      </c>
      <c r="B158" t="inlineStr">
        <is>
          <t>$mm</t>
        </is>
      </c>
      <c r="C158" s="224" t="n">
        <v>0</v>
      </c>
      <c r="D158" s="224" t="n">
        <v>5.75</v>
      </c>
      <c r="E158" s="224" t="n">
        <v>0</v>
      </c>
      <c r="F158" s="224" t="n">
        <v>0</v>
      </c>
      <c r="G158" s="224" t="n">
        <v>0</v>
      </c>
      <c r="H158" s="224" t="n">
        <v>0</v>
      </c>
      <c r="I158" s="224" t="n">
        <v>0</v>
      </c>
      <c r="J158" s="224" t="n">
        <v>0</v>
      </c>
      <c r="K158" s="224" t="n">
        <v>0</v>
      </c>
      <c r="L158" s="224" t="n">
        <v>0</v>
      </c>
      <c r="M158" s="224" t="n">
        <v>0</v>
      </c>
      <c r="N158" s="224" t="n">
        <v>0</v>
      </c>
      <c r="O158" s="224" t="n">
        <v>0</v>
      </c>
      <c r="P158" s="224" t="n">
        <v>0</v>
      </c>
      <c r="Q158" s="224" t="n">
        <v>0</v>
      </c>
      <c r="R158" s="224" t="n">
        <v>0</v>
      </c>
      <c r="S158" s="224" t="n">
        <v>0</v>
      </c>
      <c r="T158" s="224" t="n">
        <v>0</v>
      </c>
      <c r="U158" s="224" t="n">
        <v>0</v>
      </c>
      <c r="V158" s="224" t="n">
        <v>0</v>
      </c>
    </row>
    <row r="159">
      <c r="A159" t="inlineStr">
        <is>
          <t>Acquired DTL</t>
        </is>
      </c>
      <c r="B159" t="inlineStr">
        <is>
          <t>$mm</t>
        </is>
      </c>
      <c r="C159" s="224" t="n">
        <v>0</v>
      </c>
      <c r="D159" s="224" t="n">
        <v>0.75</v>
      </c>
      <c r="E159" s="224" t="n">
        <v>0</v>
      </c>
      <c r="F159" s="224" t="n">
        <v>0</v>
      </c>
      <c r="G159" s="224" t="n">
        <v>0</v>
      </c>
      <c r="H159" s="224" t="n">
        <v>0</v>
      </c>
      <c r="I159" s="224" t="n">
        <v>0</v>
      </c>
      <c r="J159" s="224" t="n">
        <v>0</v>
      </c>
      <c r="K159" s="224" t="n">
        <v>0</v>
      </c>
      <c r="L159" s="224" t="n">
        <v>0</v>
      </c>
      <c r="M159" s="224" t="n">
        <v>0</v>
      </c>
      <c r="N159" s="224" t="n">
        <v>0</v>
      </c>
      <c r="O159" s="224" t="n">
        <v>0</v>
      </c>
      <c r="P159" s="224" t="n">
        <v>0</v>
      </c>
      <c r="Q159" s="224" t="n">
        <v>0</v>
      </c>
      <c r="R159" s="224" t="n">
        <v>0</v>
      </c>
      <c r="S159" s="224" t="n">
        <v>0</v>
      </c>
      <c r="T159" s="224" t="n">
        <v>0</v>
      </c>
      <c r="U159" s="224" t="n">
        <v>0</v>
      </c>
      <c r="V159" s="224" t="n">
        <v>0</v>
      </c>
    </row>
    <row r="160">
      <c r="A160" t="inlineStr">
        <is>
          <t>Acquired other liabilities</t>
        </is>
      </c>
      <c r="B160" t="inlineStr">
        <is>
          <t>$mm</t>
        </is>
      </c>
      <c r="C160" s="224" t="n">
        <v>0</v>
      </c>
      <c r="D160" s="224" t="n">
        <v>0.95</v>
      </c>
      <c r="E160" s="224" t="n">
        <v>0</v>
      </c>
      <c r="F160" s="224" t="n">
        <v>0</v>
      </c>
      <c r="G160" s="224" t="n">
        <v>0</v>
      </c>
      <c r="H160" s="224" t="n">
        <v>0</v>
      </c>
      <c r="I160" s="224" t="n">
        <v>0</v>
      </c>
      <c r="J160" s="224" t="n">
        <v>0</v>
      </c>
      <c r="K160" s="224" t="n">
        <v>0</v>
      </c>
      <c r="L160" s="224" t="n">
        <v>0</v>
      </c>
      <c r="M160" s="224" t="n">
        <v>0</v>
      </c>
      <c r="N160" s="224" t="n">
        <v>0</v>
      </c>
      <c r="O160" s="224" t="n">
        <v>0</v>
      </c>
      <c r="P160" s="224" t="n">
        <v>0</v>
      </c>
      <c r="Q160" s="224" t="n">
        <v>0</v>
      </c>
      <c r="R160" s="224" t="n">
        <v>0</v>
      </c>
      <c r="S160" s="224" t="n">
        <v>0</v>
      </c>
      <c r="T160" s="224" t="n">
        <v>0</v>
      </c>
      <c r="U160" s="224" t="n">
        <v>0</v>
      </c>
      <c r="V160" s="224" t="n">
        <v>0</v>
      </c>
    </row>
    <row r="161">
      <c r="A161" t="inlineStr">
        <is>
          <t>DDTL draw</t>
        </is>
      </c>
      <c r="B161" t="inlineStr">
        <is>
          <t>$mm</t>
        </is>
      </c>
      <c r="C161" s="224" t="n">
        <v>0</v>
      </c>
      <c r="D161" s="224" t="n">
        <v>6</v>
      </c>
      <c r="E161" s="224" t="n">
        <v>0</v>
      </c>
      <c r="F161" s="224" t="n">
        <v>0</v>
      </c>
      <c r="G161" s="224" t="n">
        <v>0</v>
      </c>
      <c r="H161" s="224" t="n">
        <v>0</v>
      </c>
      <c r="I161" s="224" t="n">
        <v>0</v>
      </c>
      <c r="J161" s="224" t="n">
        <v>0</v>
      </c>
      <c r="K161" s="224" t="n">
        <v>0</v>
      </c>
      <c r="L161" s="224" t="n">
        <v>0</v>
      </c>
      <c r="M161" s="224" t="n">
        <v>0</v>
      </c>
      <c r="N161" s="224" t="n">
        <v>0</v>
      </c>
      <c r="O161" s="224" t="n">
        <v>0</v>
      </c>
      <c r="P161" s="224" t="n">
        <v>0</v>
      </c>
      <c r="Q161" s="224" t="n">
        <v>0</v>
      </c>
      <c r="R161" s="224" t="n">
        <v>0</v>
      </c>
      <c r="S161" s="224" t="n">
        <v>0</v>
      </c>
      <c r="T161" s="224" t="n">
        <v>0</v>
      </c>
      <c r="U161" s="224" t="n">
        <v>0</v>
      </c>
      <c r="V161" s="224" t="n">
        <v>0</v>
      </c>
    </row>
    <row r="162">
      <c r="A162" t="inlineStr">
        <is>
          <t>Sponsor equity contribution</t>
        </is>
      </c>
      <c r="B162" t="inlineStr">
        <is>
          <t>$mm</t>
        </is>
      </c>
      <c r="C162" s="224" t="n">
        <v>0</v>
      </c>
      <c r="D162" s="224" t="n">
        <v>0</v>
      </c>
      <c r="E162" s="224" t="n">
        <v>0</v>
      </c>
      <c r="F162" s="224" t="n">
        <v>0</v>
      </c>
      <c r="G162" s="224" t="n">
        <v>0</v>
      </c>
      <c r="H162" s="224" t="n">
        <v>7.5</v>
      </c>
      <c r="I162" s="224" t="n">
        <v>0</v>
      </c>
      <c r="J162" s="224" t="n">
        <v>0</v>
      </c>
      <c r="K162" s="224" t="n">
        <v>0</v>
      </c>
      <c r="L162" s="224" t="n">
        <v>0</v>
      </c>
      <c r="M162" s="224" t="n">
        <v>0</v>
      </c>
      <c r="N162" s="224" t="n">
        <v>0</v>
      </c>
      <c r="O162" s="224" t="n">
        <v>0</v>
      </c>
      <c r="P162" s="224" t="n">
        <v>0</v>
      </c>
      <c r="Q162" s="224" t="n">
        <v>0</v>
      </c>
      <c r="R162" s="224" t="n">
        <v>0</v>
      </c>
      <c r="S162" s="224" t="n">
        <v>0</v>
      </c>
      <c r="T162" s="224" t="n">
        <v>0</v>
      </c>
      <c r="U162" s="224" t="n">
        <v>0</v>
      </c>
      <c r="V162" s="224" t="n">
        <v>0</v>
      </c>
    </row>
    <row r="163">
      <c r="A163" t="inlineStr">
        <is>
          <t>Capitalized integration spend</t>
        </is>
      </c>
      <c r="B163" t="inlineStr">
        <is>
          <t>$mm</t>
        </is>
      </c>
      <c r="C163" s="224" t="n">
        <v>0</v>
      </c>
      <c r="D163" s="224" t="n">
        <v>0</v>
      </c>
      <c r="E163" s="224" t="n">
        <v>0.7</v>
      </c>
      <c r="F163" s="224" t="n">
        <v>0.8</v>
      </c>
      <c r="G163" s="224" t="n">
        <v>0.5</v>
      </c>
      <c r="H163" s="224" t="n">
        <v>0</v>
      </c>
      <c r="I163" s="224" t="n">
        <v>0</v>
      </c>
      <c r="J163" s="224" t="n">
        <v>0</v>
      </c>
      <c r="K163" s="224" t="n">
        <v>0</v>
      </c>
      <c r="L163" s="224" t="n">
        <v>0</v>
      </c>
      <c r="M163" s="224" t="n">
        <v>0</v>
      </c>
      <c r="N163" s="224" t="n">
        <v>0</v>
      </c>
      <c r="O163" s="224" t="n">
        <v>0</v>
      </c>
      <c r="P163" s="224" t="n">
        <v>0</v>
      </c>
      <c r="Q163" s="224" t="n">
        <v>0</v>
      </c>
      <c r="R163" s="224" t="n">
        <v>0</v>
      </c>
      <c r="S163" s="224" t="n">
        <v>0</v>
      </c>
      <c r="T163" s="224" t="n">
        <v>0</v>
      </c>
      <c r="U163" s="224" t="n">
        <v>0</v>
      </c>
      <c r="V163" s="224" t="n">
        <v>0</v>
      </c>
    </row>
    <row r="164">
      <c r="A164" t="inlineStr">
        <is>
          <t>Letters of credit</t>
        </is>
      </c>
      <c r="B164" t="inlineStr">
        <is>
          <t>$mm</t>
        </is>
      </c>
      <c r="C164" s="224" t="n">
        <v>0</v>
      </c>
      <c r="D164" s="224" t="n">
        <v>0</v>
      </c>
      <c r="E164" s="224" t="n">
        <v>0</v>
      </c>
      <c r="F164" s="224" t="n">
        <v>0</v>
      </c>
      <c r="G164" s="224" t="n">
        <v>2</v>
      </c>
      <c r="H164" s="224" t="n">
        <v>2</v>
      </c>
      <c r="I164" s="224" t="n">
        <v>2</v>
      </c>
      <c r="J164" s="224" t="n">
        <v>2</v>
      </c>
      <c r="K164" s="224" t="n">
        <v>2</v>
      </c>
      <c r="L164" s="224" t="n">
        <v>2</v>
      </c>
      <c r="M164" s="224" t="n">
        <v>2</v>
      </c>
      <c r="N164" s="224" t="n">
        <v>0</v>
      </c>
      <c r="O164" s="224" t="n">
        <v>0</v>
      </c>
      <c r="P164" s="224" t="n">
        <v>0</v>
      </c>
      <c r="Q164" s="224" t="n">
        <v>0</v>
      </c>
      <c r="R164" s="224" t="n">
        <v>0</v>
      </c>
      <c r="S164" s="224" t="n">
        <v>0</v>
      </c>
      <c r="T164" s="224" t="n">
        <v>0</v>
      </c>
      <c r="U164" s="224" t="n">
        <v>0</v>
      </c>
      <c r="V164" s="224" t="n">
        <v>0</v>
      </c>
    </row>
    <row r="165">
      <c r="A165" t="inlineStr">
        <is>
          <t>Cash floor</t>
        </is>
      </c>
      <c r="B165" t="inlineStr">
        <is>
          <t>$mm</t>
        </is>
      </c>
      <c r="C165" s="224" t="n">
        <v>3</v>
      </c>
      <c r="D165" s="224" t="n">
        <v>3</v>
      </c>
      <c r="E165" s="224" t="n">
        <v>3</v>
      </c>
      <c r="F165" s="224" t="n">
        <v>3</v>
      </c>
      <c r="G165" s="224" t="n">
        <v>2.2</v>
      </c>
      <c r="H165" s="224" t="n">
        <v>4</v>
      </c>
      <c r="I165" s="224" t="n">
        <v>4</v>
      </c>
      <c r="J165" s="224" t="n">
        <v>4</v>
      </c>
      <c r="K165" s="224" t="n">
        <v>4</v>
      </c>
      <c r="L165" s="224" t="n">
        <v>4</v>
      </c>
      <c r="M165" s="224" t="n">
        <v>4</v>
      </c>
      <c r="N165" s="224" t="n">
        <v>4</v>
      </c>
      <c r="O165" s="224" t="n">
        <v>4</v>
      </c>
      <c r="P165" s="224" t="n">
        <v>4</v>
      </c>
      <c r="Q165" s="224" t="n">
        <v>4</v>
      </c>
      <c r="R165" s="224" t="n">
        <v>4</v>
      </c>
      <c r="S165" s="224" t="n">
        <v>4</v>
      </c>
      <c r="T165" s="224" t="n">
        <v>4</v>
      </c>
      <c r="U165" s="224" t="n">
        <v>4</v>
      </c>
      <c r="V165" s="224" t="n">
        <v>4</v>
      </c>
    </row>
    <row r="166">
      <c r="A166" t="inlineStr">
        <is>
          <t>Forced revolver target</t>
        </is>
      </c>
      <c r="B166" t="inlineStr">
        <is>
          <t>$mm</t>
        </is>
      </c>
      <c r="C166" s="224" t="n">
        <v>-1</v>
      </c>
      <c r="D166" s="224" t="n">
        <v>-1</v>
      </c>
      <c r="E166" s="224" t="n">
        <v>-1</v>
      </c>
      <c r="F166" s="224" t="n">
        <v>-1</v>
      </c>
      <c r="G166" s="224" t="n">
        <v>4.78</v>
      </c>
      <c r="H166" s="224" t="n">
        <v>-1</v>
      </c>
      <c r="I166" s="224" t="n">
        <v>-1</v>
      </c>
      <c r="J166" s="224" t="n">
        <v>-1</v>
      </c>
      <c r="K166" s="224" t="n">
        <v>-1</v>
      </c>
      <c r="L166" s="224" t="n">
        <v>-1</v>
      </c>
      <c r="M166" s="224" t="n">
        <v>-1</v>
      </c>
      <c r="N166" s="224" t="n">
        <v>-1</v>
      </c>
      <c r="O166" s="224" t="n">
        <v>-1</v>
      </c>
      <c r="P166" s="224" t="n">
        <v>-1</v>
      </c>
      <c r="Q166" s="224" t="n">
        <v>-1</v>
      </c>
      <c r="R166" s="224" t="n">
        <v>-1</v>
      </c>
      <c r="S166" s="224" t="n">
        <v>-1</v>
      </c>
      <c r="T166" s="224" t="n">
        <v>-1</v>
      </c>
      <c r="U166" s="224" t="n">
        <v>-1</v>
      </c>
      <c r="V166" s="224" t="n">
        <v>-1</v>
      </c>
    </row>
    <row r="167">
      <c r="A167" t="inlineStr">
        <is>
          <t>Repay all revolver?</t>
        </is>
      </c>
      <c r="B167" t="inlineStr">
        <is>
          <t>flag</t>
        </is>
      </c>
      <c r="C167" s="227" t="n">
        <v>0</v>
      </c>
      <c r="D167" s="227" t="n">
        <v>0</v>
      </c>
      <c r="E167" s="227" t="n">
        <v>0</v>
      </c>
      <c r="F167" s="227" t="n">
        <v>0</v>
      </c>
      <c r="G167" s="227" t="n">
        <v>0</v>
      </c>
      <c r="H167" s="227" t="n">
        <v>1</v>
      </c>
      <c r="I167" s="227" t="n">
        <v>0</v>
      </c>
      <c r="J167" s="227" t="n">
        <v>0</v>
      </c>
      <c r="K167" s="227" t="n">
        <v>0</v>
      </c>
      <c r="L167" s="227" t="n">
        <v>0</v>
      </c>
      <c r="M167" s="227" t="n">
        <v>0</v>
      </c>
      <c r="N167" s="227" t="n">
        <v>0</v>
      </c>
      <c r="O167" s="227" t="n">
        <v>0</v>
      </c>
      <c r="P167" s="227" t="n">
        <v>0</v>
      </c>
      <c r="Q167" s="227" t="n">
        <v>0</v>
      </c>
      <c r="R167" s="227" t="n">
        <v>0</v>
      </c>
      <c r="S167" s="227" t="n">
        <v>0</v>
      </c>
      <c r="T167" s="227" t="n">
        <v>0</v>
      </c>
      <c r="U167" s="227" t="n">
        <v>0</v>
      </c>
      <c r="V167" s="227" t="n">
        <v>0</v>
      </c>
    </row>
    <row r="168">
      <c r="A168" t="inlineStr">
        <is>
          <t>Covenant limit</t>
        </is>
      </c>
      <c r="B168" t="inlineStr">
        <is>
          <t>x</t>
        </is>
      </c>
      <c r="C168" s="228" t="n">
        <v>4.25</v>
      </c>
      <c r="D168" s="228" t="n">
        <v>4.25</v>
      </c>
      <c r="E168" s="228" t="n">
        <v>4.25</v>
      </c>
      <c r="F168" s="228" t="n">
        <v>4.25</v>
      </c>
      <c r="G168" s="228" t="n">
        <v>4.25</v>
      </c>
      <c r="H168" s="228" t="n">
        <v>4.75</v>
      </c>
      <c r="I168" s="228" t="n">
        <v>4.5</v>
      </c>
      <c r="J168" s="228" t="n">
        <v>4.25</v>
      </c>
      <c r="K168" s="228" t="n">
        <v>4.25</v>
      </c>
      <c r="L168" s="228" t="n">
        <v>4</v>
      </c>
      <c r="M168" s="228" t="n">
        <v>4</v>
      </c>
      <c r="N168" s="228" t="n">
        <v>3.75</v>
      </c>
      <c r="O168" s="228" t="n">
        <v>3.75</v>
      </c>
      <c r="P168" s="228" t="n">
        <v>3.75</v>
      </c>
      <c r="Q168" s="228" t="n">
        <v>3.75</v>
      </c>
      <c r="R168" s="228" t="n">
        <v>3.5</v>
      </c>
      <c r="S168" s="228" t="n">
        <v>3.5</v>
      </c>
      <c r="T168" s="228" t="n">
        <v>3.5</v>
      </c>
      <c r="U168" s="228" t="n">
        <v>3.5</v>
      </c>
      <c r="V168" s="228" t="n">
        <v>3.5</v>
      </c>
    </row>
    <row r="169">
      <c r="A169" t="inlineStr">
        <is>
          <t>SOFR</t>
        </is>
      </c>
      <c r="B169" t="inlineStr">
        <is>
          <t>%</t>
        </is>
      </c>
      <c r="C169" s="225" t="n">
        <v>0.0425</v>
      </c>
      <c r="D169" s="225" t="n">
        <v>0.0425</v>
      </c>
      <c r="E169" s="225" t="n">
        <v>0.0425</v>
      </c>
      <c r="F169" s="225" t="n">
        <v>0.0375</v>
      </c>
      <c r="G169" s="225" t="n">
        <v>0.0375</v>
      </c>
      <c r="H169" s="225" t="n">
        <v>0.0375</v>
      </c>
      <c r="I169" s="225" t="n">
        <v>0.0375</v>
      </c>
      <c r="J169" s="225" t="n">
        <v>0.035</v>
      </c>
      <c r="K169" s="225" t="n">
        <v>0.035</v>
      </c>
      <c r="L169" s="225" t="n">
        <v>0.035</v>
      </c>
      <c r="M169" s="225" t="n">
        <v>0.035</v>
      </c>
      <c r="N169" s="225" t="n">
        <v>0.0325</v>
      </c>
      <c r="O169" s="225" t="n">
        <v>0.0325</v>
      </c>
      <c r="P169" s="225" t="n">
        <v>0.0325</v>
      </c>
      <c r="Q169" s="225" t="n">
        <v>0.0325</v>
      </c>
      <c r="R169" s="225" t="n">
        <v>0.03</v>
      </c>
      <c r="S169" s="225" t="n">
        <v>0.03</v>
      </c>
      <c r="T169" s="225" t="n">
        <v>0.03</v>
      </c>
      <c r="U169" s="225" t="n">
        <v>0.03</v>
      </c>
      <c r="V169" s="225" t="n">
        <v>0.03</v>
      </c>
    </row>
    <row r="170">
      <c r="A170" t="inlineStr">
        <is>
          <t>Rate step-up</t>
        </is>
      </c>
      <c r="B170" t="inlineStr">
        <is>
          <t>%</t>
        </is>
      </c>
      <c r="C170" s="225" t="n">
        <v>0</v>
      </c>
      <c r="D170" s="225" t="n">
        <v>0</v>
      </c>
      <c r="E170" s="225" t="n">
        <v>0</v>
      </c>
      <c r="F170" s="225" t="n">
        <v>0</v>
      </c>
      <c r="G170" s="225" t="n">
        <v>0</v>
      </c>
      <c r="H170" s="225" t="n">
        <v>0.0075</v>
      </c>
      <c r="I170" s="225" t="n">
        <v>0.015</v>
      </c>
      <c r="J170" s="225" t="n">
        <v>0.015</v>
      </c>
      <c r="K170" s="225" t="n">
        <v>0.015</v>
      </c>
      <c r="L170" s="225" t="n">
        <v>0.015</v>
      </c>
      <c r="M170" s="225" t="n">
        <v>0.015</v>
      </c>
      <c r="N170" s="225" t="n">
        <v>0.015</v>
      </c>
      <c r="O170" s="225" t="n">
        <v>0.015</v>
      </c>
      <c r="P170" s="225" t="n">
        <v>0.015</v>
      </c>
      <c r="Q170" s="225" t="n">
        <v>0.015</v>
      </c>
      <c r="R170" s="225" t="n">
        <v>0.015</v>
      </c>
      <c r="S170" s="225" t="n">
        <v>0.015</v>
      </c>
      <c r="T170" s="225" t="n">
        <v>0.015</v>
      </c>
      <c r="U170" s="225" t="n">
        <v>0.015</v>
      </c>
      <c r="V170" s="225" t="n">
        <v>0.015</v>
      </c>
    </row>
    <row r="171">
      <c r="A171" t="inlineStr">
        <is>
          <t>Core PPA amortization</t>
        </is>
      </c>
      <c r="B171" t="inlineStr">
        <is>
          <t>$mm</t>
        </is>
      </c>
      <c r="C171" s="224" t="n">
        <v>0.75</v>
      </c>
      <c r="D171" s="224" t="n">
        <v>0.75</v>
      </c>
      <c r="E171" s="224" t="n">
        <v>0.853125</v>
      </c>
      <c r="F171" s="224" t="n">
        <v>0.853125</v>
      </c>
      <c r="G171" s="224" t="n">
        <v>0.853125</v>
      </c>
      <c r="H171" s="224" t="n">
        <v>0.853125</v>
      </c>
      <c r="I171" s="224" t="n">
        <v>0.853125</v>
      </c>
      <c r="J171" s="224" t="n">
        <v>0.853125</v>
      </c>
      <c r="K171" s="224" t="n">
        <v>0.853125</v>
      </c>
      <c r="L171" s="224" t="n">
        <v>0.853125</v>
      </c>
      <c r="M171" s="224" t="n">
        <v>0.853125</v>
      </c>
      <c r="N171" s="224" t="n">
        <v>0.853125</v>
      </c>
      <c r="O171" s="224" t="n">
        <v>0.853125</v>
      </c>
      <c r="P171" s="224" t="n">
        <v>0.853125</v>
      </c>
      <c r="Q171" s="224" t="n">
        <v>0.853125</v>
      </c>
      <c r="R171" s="224" t="n">
        <v>0.853125</v>
      </c>
      <c r="S171" s="224" t="n">
        <v>0.853125</v>
      </c>
      <c r="T171" s="224" t="n">
        <v>0.853125</v>
      </c>
      <c r="U171" s="224" t="n">
        <v>0.853125</v>
      </c>
      <c r="V171" s="224" t="n">
        <v>0.853125</v>
      </c>
    </row>
    <row r="172">
      <c r="A172" t="inlineStr">
        <is>
          <t>Seasonality</t>
        </is>
      </c>
      <c r="B172" t="inlineStr">
        <is>
          <t>%</t>
        </is>
      </c>
      <c r="C172" s="225" t="n">
        <v>0.25</v>
      </c>
      <c r="D172" s="225" t="n">
        <v>0.26</v>
      </c>
      <c r="E172" s="225" t="n">
        <v>0.26</v>
      </c>
      <c r="F172" s="225" t="n">
        <v>0.23</v>
      </c>
      <c r="G172" s="225" t="n">
        <v>0.25</v>
      </c>
      <c r="H172" s="225" t="n">
        <v>0.26</v>
      </c>
      <c r="I172" s="225" t="n">
        <v>0.26</v>
      </c>
      <c r="J172" s="225" t="n">
        <v>0.23</v>
      </c>
      <c r="K172" s="225" t="n">
        <v>0.25</v>
      </c>
      <c r="L172" s="225" t="n">
        <v>0.26</v>
      </c>
      <c r="M172" s="225" t="n">
        <v>0.26</v>
      </c>
      <c r="N172" s="225" t="n">
        <v>0.23</v>
      </c>
      <c r="O172" s="225" t="n">
        <v>0.25</v>
      </c>
      <c r="P172" s="225" t="n">
        <v>0.26</v>
      </c>
      <c r="Q172" s="225" t="n">
        <v>0.26</v>
      </c>
      <c r="R172" s="225" t="n">
        <v>0.23</v>
      </c>
      <c r="S172" s="225" t="n">
        <v>0.25</v>
      </c>
      <c r="T172" s="225" t="n">
        <v>0.26</v>
      </c>
      <c r="U172" s="225" t="n">
        <v>0.26</v>
      </c>
      <c r="V172" s="225" t="n">
        <v>0.23</v>
      </c>
    </row>
  </sheetData>
  <mergeCells count="6">
    <mergeCell ref="A72:V72"/>
    <mergeCell ref="A1:V1"/>
    <mergeCell ref="A106:V106"/>
    <mergeCell ref="A140:V140"/>
    <mergeCell ref="A4:V4"/>
    <mergeCell ref="A38:V3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26" customHeight="1">
      <c r="A1" s="9" t="inlineStr">
        <is>
          <t>Project Keystone - Standalone Base Quarterly LBO ($mm)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30" t="n"/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</row>
    <row r="3">
      <c r="A3" s="164" t="inlineStr">
        <is>
          <t>Line Item</t>
        </is>
      </c>
      <c r="B3" s="164" t="inlineStr">
        <is>
          <t>Unit</t>
        </is>
      </c>
      <c r="C3" s="238" t="n">
        <v>46203</v>
      </c>
      <c r="D3" s="238" t="n">
        <v>46295</v>
      </c>
      <c r="E3" s="238" t="n">
        <v>46387</v>
      </c>
      <c r="F3" s="238" t="n">
        <v>46477</v>
      </c>
      <c r="G3" s="238" t="n">
        <v>46568</v>
      </c>
      <c r="H3" s="238" t="n">
        <v>46660</v>
      </c>
      <c r="I3" s="238" t="n">
        <v>46752</v>
      </c>
      <c r="J3" s="238" t="n">
        <v>46843</v>
      </c>
      <c r="K3" s="238" t="n">
        <v>46934</v>
      </c>
      <c r="L3" s="238" t="n">
        <v>47026</v>
      </c>
      <c r="M3" s="238" t="n">
        <v>47118</v>
      </c>
      <c r="N3" s="238" t="n">
        <v>47208</v>
      </c>
      <c r="O3" s="238" t="n">
        <v>47299</v>
      </c>
      <c r="P3" s="238" t="n">
        <v>47391</v>
      </c>
      <c r="Q3" s="238" t="n">
        <v>47483</v>
      </c>
      <c r="R3" s="238" t="n">
        <v>47573</v>
      </c>
      <c r="S3" s="238" t="n">
        <v>47664</v>
      </c>
      <c r="T3" s="238" t="n">
        <v>47756</v>
      </c>
      <c r="U3" s="238" t="n">
        <v>47848</v>
      </c>
      <c r="V3" s="238" t="n">
        <v>47938</v>
      </c>
    </row>
    <row r="4">
      <c r="A4" s="39" t="inlineStr">
        <is>
          <t>Operating Model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s="165" t="inlineStr">
        <is>
          <t>Revenue</t>
        </is>
      </c>
      <c r="B5" s="165" t="inlineStr">
        <is>
          <t>$mm</t>
        </is>
      </c>
      <c r="C5" s="239">
        <f>'Scenario_Drivers'!C5</f>
        <v/>
      </c>
      <c r="D5" s="239">
        <f>'Scenario_Drivers'!D5</f>
        <v/>
      </c>
      <c r="E5" s="239">
        <f>'Scenario_Drivers'!E5</f>
        <v/>
      </c>
      <c r="F5" s="239">
        <f>'Scenario_Drivers'!F5</f>
        <v/>
      </c>
      <c r="G5" s="239">
        <f>'Scenario_Drivers'!G5</f>
        <v/>
      </c>
      <c r="H5" s="239">
        <f>'Scenario_Drivers'!H5</f>
        <v/>
      </c>
      <c r="I5" s="239">
        <f>'Scenario_Drivers'!I5</f>
        <v/>
      </c>
      <c r="J5" s="239">
        <f>'Scenario_Drivers'!J5</f>
        <v/>
      </c>
      <c r="K5" s="239">
        <f>'Scenario_Drivers'!K5</f>
        <v/>
      </c>
      <c r="L5" s="239">
        <f>'Scenario_Drivers'!L5</f>
        <v/>
      </c>
      <c r="M5" s="239">
        <f>'Scenario_Drivers'!M5</f>
        <v/>
      </c>
      <c r="N5" s="239">
        <f>'Scenario_Drivers'!N5</f>
        <v/>
      </c>
      <c r="O5" s="239">
        <f>'Scenario_Drivers'!O5</f>
        <v/>
      </c>
      <c r="P5" s="239">
        <f>'Scenario_Drivers'!P5</f>
        <v/>
      </c>
      <c r="Q5" s="239">
        <f>'Scenario_Drivers'!Q5</f>
        <v/>
      </c>
      <c r="R5" s="239">
        <f>'Scenario_Drivers'!R5</f>
        <v/>
      </c>
      <c r="S5" s="239">
        <f>'Scenario_Drivers'!S5</f>
        <v/>
      </c>
      <c r="T5" s="239">
        <f>'Scenario_Drivers'!T5</f>
        <v/>
      </c>
      <c r="U5" s="239">
        <f>'Scenario_Drivers'!U5</f>
        <v/>
      </c>
      <c r="V5" s="239">
        <f>'Scenario_Drivers'!V5</f>
        <v/>
      </c>
    </row>
    <row r="6">
      <c r="A6" s="165" t="inlineStr">
        <is>
          <t>Growth</t>
        </is>
      </c>
      <c r="B6" s="165" t="inlineStr">
        <is>
          <t>%</t>
        </is>
      </c>
      <c r="C6" s="240">
        <f>C5/(74.0*'Scenario_Drivers'!C36)-1</f>
        <v/>
      </c>
      <c r="D6" s="240">
        <f>D5/C5-1</f>
        <v/>
      </c>
      <c r="E6" s="240">
        <f>E5/D5-1</f>
        <v/>
      </c>
      <c r="F6" s="240">
        <f>F5/V5-1</f>
        <v/>
      </c>
      <c r="G6" s="240">
        <f>G5/F5-1</f>
        <v/>
      </c>
      <c r="H6" s="240">
        <f>H5/G5-1</f>
        <v/>
      </c>
      <c r="I6" s="240">
        <f>I5/H5-1</f>
        <v/>
      </c>
      <c r="J6" s="240">
        <f>J5/F5-1</f>
        <v/>
      </c>
      <c r="K6" s="240">
        <f>K5/J5-1</f>
        <v/>
      </c>
      <c r="L6" s="240">
        <f>L5/K5-1</f>
        <v/>
      </c>
      <c r="M6" s="240">
        <f>M5/L5-1</f>
        <v/>
      </c>
      <c r="N6" s="240">
        <f>N5/J5-1</f>
        <v/>
      </c>
      <c r="O6" s="240">
        <f>O5/N5-1</f>
        <v/>
      </c>
      <c r="P6" s="240">
        <f>P5/O5-1</f>
        <v/>
      </c>
      <c r="Q6" s="240">
        <f>Q5/P5-1</f>
        <v/>
      </c>
      <c r="R6" s="240">
        <f>R5/N5-1</f>
        <v/>
      </c>
      <c r="S6" s="240">
        <f>S5/R5-1</f>
        <v/>
      </c>
      <c r="T6" s="240">
        <f>T5/S5-1</f>
        <v/>
      </c>
      <c r="U6" s="240">
        <f>U5/T5-1</f>
        <v/>
      </c>
      <c r="V6" s="240">
        <f>V5/R5-1</f>
        <v/>
      </c>
    </row>
    <row r="7">
      <c r="A7" s="165" t="inlineStr">
        <is>
          <t>Gross margin</t>
        </is>
      </c>
      <c r="B7" s="165" t="inlineStr">
        <is>
          <t>%</t>
        </is>
      </c>
      <c r="C7" s="241">
        <f>'Scenario_Drivers'!C6</f>
        <v/>
      </c>
      <c r="D7" s="241">
        <f>'Scenario_Drivers'!D6</f>
        <v/>
      </c>
      <c r="E7" s="241">
        <f>'Scenario_Drivers'!E6</f>
        <v/>
      </c>
      <c r="F7" s="241">
        <f>'Scenario_Drivers'!F6</f>
        <v/>
      </c>
      <c r="G7" s="241">
        <f>'Scenario_Drivers'!G6</f>
        <v/>
      </c>
      <c r="H7" s="241">
        <f>'Scenario_Drivers'!H6</f>
        <v/>
      </c>
      <c r="I7" s="241">
        <f>'Scenario_Drivers'!I6</f>
        <v/>
      </c>
      <c r="J7" s="241">
        <f>'Scenario_Drivers'!J6</f>
        <v/>
      </c>
      <c r="K7" s="241">
        <f>'Scenario_Drivers'!K6</f>
        <v/>
      </c>
      <c r="L7" s="241">
        <f>'Scenario_Drivers'!L6</f>
        <v/>
      </c>
      <c r="M7" s="241">
        <f>'Scenario_Drivers'!M6</f>
        <v/>
      </c>
      <c r="N7" s="241">
        <f>'Scenario_Drivers'!N6</f>
        <v/>
      </c>
      <c r="O7" s="241">
        <f>'Scenario_Drivers'!O6</f>
        <v/>
      </c>
      <c r="P7" s="241">
        <f>'Scenario_Drivers'!P6</f>
        <v/>
      </c>
      <c r="Q7" s="241">
        <f>'Scenario_Drivers'!Q6</f>
        <v/>
      </c>
      <c r="R7" s="241">
        <f>'Scenario_Drivers'!R6</f>
        <v/>
      </c>
      <c r="S7" s="241">
        <f>'Scenario_Drivers'!S6</f>
        <v/>
      </c>
      <c r="T7" s="241">
        <f>'Scenario_Drivers'!T6</f>
        <v/>
      </c>
      <c r="U7" s="241">
        <f>'Scenario_Drivers'!U6</f>
        <v/>
      </c>
      <c r="V7" s="241">
        <f>'Scenario_Drivers'!V6</f>
        <v/>
      </c>
    </row>
    <row r="8">
      <c r="A8" s="165" t="inlineStr">
        <is>
          <t>Gross profit</t>
        </is>
      </c>
      <c r="B8" s="165" t="inlineStr">
        <is>
          <t>$mm</t>
        </is>
      </c>
      <c r="C8" s="242">
        <f>C5*C7</f>
        <v/>
      </c>
      <c r="D8" s="242">
        <f>D5*D7</f>
        <v/>
      </c>
      <c r="E8" s="242">
        <f>E5*E7</f>
        <v/>
      </c>
      <c r="F8" s="242">
        <f>F5*F7</f>
        <v/>
      </c>
      <c r="G8" s="242">
        <f>G5*G7</f>
        <v/>
      </c>
      <c r="H8" s="242">
        <f>H5*H7</f>
        <v/>
      </c>
      <c r="I8" s="242">
        <f>I5*I7</f>
        <v/>
      </c>
      <c r="J8" s="242">
        <f>J5*J7</f>
        <v/>
      </c>
      <c r="K8" s="242">
        <f>K5*K7</f>
        <v/>
      </c>
      <c r="L8" s="242">
        <f>L5*L7</f>
        <v/>
      </c>
      <c r="M8" s="242">
        <f>M5*M7</f>
        <v/>
      </c>
      <c r="N8" s="242">
        <f>N5*N7</f>
        <v/>
      </c>
      <c r="O8" s="242">
        <f>O5*O7</f>
        <v/>
      </c>
      <c r="P8" s="242">
        <f>P5*P7</f>
        <v/>
      </c>
      <c r="Q8" s="242">
        <f>Q5*Q7</f>
        <v/>
      </c>
      <c r="R8" s="242">
        <f>R5*R7</f>
        <v/>
      </c>
      <c r="S8" s="242">
        <f>S5*S7</f>
        <v/>
      </c>
      <c r="T8" s="242">
        <f>T5*T7</f>
        <v/>
      </c>
      <c r="U8" s="242">
        <f>U5*U7</f>
        <v/>
      </c>
      <c r="V8" s="242">
        <f>V5*V7</f>
        <v/>
      </c>
    </row>
    <row r="9">
      <c r="A9" s="165" t="inlineStr">
        <is>
          <t>COGS</t>
        </is>
      </c>
      <c r="B9" s="165" t="inlineStr">
        <is>
          <t>$mm</t>
        </is>
      </c>
      <c r="C9" s="242">
        <f>-(C5-C8)</f>
        <v/>
      </c>
      <c r="D9" s="242">
        <f>-(D5-D8)</f>
        <v/>
      </c>
      <c r="E9" s="242">
        <f>-(E5-E8)</f>
        <v/>
      </c>
      <c r="F9" s="242">
        <f>-(F5-F8)</f>
        <v/>
      </c>
      <c r="G9" s="242">
        <f>-(G5-G8)</f>
        <v/>
      </c>
      <c r="H9" s="242">
        <f>-(H5-H8)</f>
        <v/>
      </c>
      <c r="I9" s="242">
        <f>-(I5-I8)</f>
        <v/>
      </c>
      <c r="J9" s="242">
        <f>-(J5-J8)</f>
        <v/>
      </c>
      <c r="K9" s="242">
        <f>-(K5-K8)</f>
        <v/>
      </c>
      <c r="L9" s="242">
        <f>-(L5-L8)</f>
        <v/>
      </c>
      <c r="M9" s="242">
        <f>-(M5-M8)</f>
        <v/>
      </c>
      <c r="N9" s="242">
        <f>-(N5-N8)</f>
        <v/>
      </c>
      <c r="O9" s="242">
        <f>-(O5-O8)</f>
        <v/>
      </c>
      <c r="P9" s="242">
        <f>-(P5-P8)</f>
        <v/>
      </c>
      <c r="Q9" s="242">
        <f>-(Q5-Q8)</f>
        <v/>
      </c>
      <c r="R9" s="242">
        <f>-(R5-R8)</f>
        <v/>
      </c>
      <c r="S9" s="242">
        <f>-(S5-S8)</f>
        <v/>
      </c>
      <c r="T9" s="242">
        <f>-(T5-T8)</f>
        <v/>
      </c>
      <c r="U9" s="242">
        <f>-(U5-U8)</f>
        <v/>
      </c>
      <c r="V9" s="242">
        <f>-(V5-V8)</f>
        <v/>
      </c>
    </row>
    <row r="10">
      <c r="A10" s="165" t="inlineStr">
        <is>
          <t>Firm EBITDA</t>
        </is>
      </c>
      <c r="B10" s="165" t="inlineStr">
        <is>
          <t>$mm</t>
        </is>
      </c>
      <c r="C10" s="239">
        <f>'Scenario_Drivers'!C7</f>
        <v/>
      </c>
      <c r="D10" s="239">
        <f>'Scenario_Drivers'!D7</f>
        <v/>
      </c>
      <c r="E10" s="239">
        <f>'Scenario_Drivers'!E7</f>
        <v/>
      </c>
      <c r="F10" s="239">
        <f>'Scenario_Drivers'!F7</f>
        <v/>
      </c>
      <c r="G10" s="239">
        <f>'Scenario_Drivers'!G7</f>
        <v/>
      </c>
      <c r="H10" s="239">
        <f>'Scenario_Drivers'!H7</f>
        <v/>
      </c>
      <c r="I10" s="239">
        <f>'Scenario_Drivers'!I7</f>
        <v/>
      </c>
      <c r="J10" s="239">
        <f>'Scenario_Drivers'!J7</f>
        <v/>
      </c>
      <c r="K10" s="239">
        <f>'Scenario_Drivers'!K7</f>
        <v/>
      </c>
      <c r="L10" s="239">
        <f>'Scenario_Drivers'!L7</f>
        <v/>
      </c>
      <c r="M10" s="239">
        <f>'Scenario_Drivers'!M7</f>
        <v/>
      </c>
      <c r="N10" s="239">
        <f>'Scenario_Drivers'!N7</f>
        <v/>
      </c>
      <c r="O10" s="239">
        <f>'Scenario_Drivers'!O7</f>
        <v/>
      </c>
      <c r="P10" s="239">
        <f>'Scenario_Drivers'!P7</f>
        <v/>
      </c>
      <c r="Q10" s="239">
        <f>'Scenario_Drivers'!Q7</f>
        <v/>
      </c>
      <c r="R10" s="239">
        <f>'Scenario_Drivers'!R7</f>
        <v/>
      </c>
      <c r="S10" s="239">
        <f>'Scenario_Drivers'!S7</f>
        <v/>
      </c>
      <c r="T10" s="239">
        <f>'Scenario_Drivers'!T7</f>
        <v/>
      </c>
      <c r="U10" s="239">
        <f>'Scenario_Drivers'!U7</f>
        <v/>
      </c>
      <c r="V10" s="239">
        <f>'Scenario_Drivers'!V7</f>
        <v/>
      </c>
    </row>
    <row r="11">
      <c r="A11" s="165" t="inlineStr">
        <is>
          <t>One-time charges</t>
        </is>
      </c>
      <c r="B11" s="165" t="inlineStr">
        <is>
          <t>$mm</t>
        </is>
      </c>
      <c r="C11" s="242">
        <f>-'Scenario_Drivers'!C8</f>
        <v/>
      </c>
      <c r="D11" s="242">
        <f>-'Scenario_Drivers'!D8</f>
        <v/>
      </c>
      <c r="E11" s="242">
        <f>-'Scenario_Drivers'!E8</f>
        <v/>
      </c>
      <c r="F11" s="242">
        <f>-'Scenario_Drivers'!F8</f>
        <v/>
      </c>
      <c r="G11" s="242">
        <f>-'Scenario_Drivers'!G8</f>
        <v/>
      </c>
      <c r="H11" s="242">
        <f>-'Scenario_Drivers'!H8</f>
        <v/>
      </c>
      <c r="I11" s="242">
        <f>-'Scenario_Drivers'!I8</f>
        <v/>
      </c>
      <c r="J11" s="242">
        <f>-'Scenario_Drivers'!J8</f>
        <v/>
      </c>
      <c r="K11" s="242">
        <f>-'Scenario_Drivers'!K8</f>
        <v/>
      </c>
      <c r="L11" s="242">
        <f>-'Scenario_Drivers'!L8</f>
        <v/>
      </c>
      <c r="M11" s="242">
        <f>-'Scenario_Drivers'!M8</f>
        <v/>
      </c>
      <c r="N11" s="242">
        <f>-'Scenario_Drivers'!N8</f>
        <v/>
      </c>
      <c r="O11" s="242">
        <f>-'Scenario_Drivers'!O8</f>
        <v/>
      </c>
      <c r="P11" s="242">
        <f>-'Scenario_Drivers'!P8</f>
        <v/>
      </c>
      <c r="Q11" s="242">
        <f>-'Scenario_Drivers'!Q8</f>
        <v/>
      </c>
      <c r="R11" s="242">
        <f>-'Scenario_Drivers'!R8</f>
        <v/>
      </c>
      <c r="S11" s="242">
        <f>-'Scenario_Drivers'!S8</f>
        <v/>
      </c>
      <c r="T11" s="242">
        <f>-'Scenario_Drivers'!T8</f>
        <v/>
      </c>
      <c r="U11" s="242">
        <f>-'Scenario_Drivers'!U8</f>
        <v/>
      </c>
      <c r="V11" s="242">
        <f>-'Scenario_Drivers'!V8</f>
        <v/>
      </c>
    </row>
    <row r="12">
      <c r="A12" s="165" t="inlineStr">
        <is>
          <t>Reported EBITDA</t>
        </is>
      </c>
      <c r="B12" s="165" t="inlineStr">
        <is>
          <t>$mm</t>
        </is>
      </c>
      <c r="C12" s="242">
        <f>C10+C11</f>
        <v/>
      </c>
      <c r="D12" s="242">
        <f>D10+D11</f>
        <v/>
      </c>
      <c r="E12" s="242">
        <f>E10+E11</f>
        <v/>
      </c>
      <c r="F12" s="242">
        <f>F10+F11</f>
        <v/>
      </c>
      <c r="G12" s="242">
        <f>G10+G11</f>
        <v/>
      </c>
      <c r="H12" s="242">
        <f>H10+H11</f>
        <v/>
      </c>
      <c r="I12" s="242">
        <f>I10+I11</f>
        <v/>
      </c>
      <c r="J12" s="242">
        <f>J10+J11</f>
        <v/>
      </c>
      <c r="K12" s="242">
        <f>K10+K11</f>
        <v/>
      </c>
      <c r="L12" s="242">
        <f>L10+L11</f>
        <v/>
      </c>
      <c r="M12" s="242">
        <f>M10+M11</f>
        <v/>
      </c>
      <c r="N12" s="242">
        <f>N10+N11</f>
        <v/>
      </c>
      <c r="O12" s="242">
        <f>O10+O11</f>
        <v/>
      </c>
      <c r="P12" s="242">
        <f>P10+P11</f>
        <v/>
      </c>
      <c r="Q12" s="242">
        <f>Q10+Q11</f>
        <v/>
      </c>
      <c r="R12" s="242">
        <f>R10+R11</f>
        <v/>
      </c>
      <c r="S12" s="242">
        <f>S10+S11</f>
        <v/>
      </c>
      <c r="T12" s="242">
        <f>T10+T11</f>
        <v/>
      </c>
      <c r="U12" s="242">
        <f>U10+U11</f>
        <v/>
      </c>
      <c r="V12" s="242">
        <f>V10+V11</f>
        <v/>
      </c>
    </row>
    <row r="13">
      <c r="A13" s="165" t="inlineStr">
        <is>
          <t>Covenant add-backs</t>
        </is>
      </c>
      <c r="B13" s="165" t="inlineStr">
        <is>
          <t>$mm</t>
        </is>
      </c>
      <c r="C13" s="239">
        <f>'Scenario_Drivers'!C9</f>
        <v/>
      </c>
      <c r="D13" s="239">
        <f>'Scenario_Drivers'!D9</f>
        <v/>
      </c>
      <c r="E13" s="239">
        <f>'Scenario_Drivers'!E9</f>
        <v/>
      </c>
      <c r="F13" s="239">
        <f>'Scenario_Drivers'!F9</f>
        <v/>
      </c>
      <c r="G13" s="239">
        <f>'Scenario_Drivers'!G9</f>
        <v/>
      </c>
      <c r="H13" s="239">
        <f>'Scenario_Drivers'!H9</f>
        <v/>
      </c>
      <c r="I13" s="239">
        <f>'Scenario_Drivers'!I9</f>
        <v/>
      </c>
      <c r="J13" s="239">
        <f>'Scenario_Drivers'!J9</f>
        <v/>
      </c>
      <c r="K13" s="239">
        <f>'Scenario_Drivers'!K9</f>
        <v/>
      </c>
      <c r="L13" s="239">
        <f>'Scenario_Drivers'!L9</f>
        <v/>
      </c>
      <c r="M13" s="239">
        <f>'Scenario_Drivers'!M9</f>
        <v/>
      </c>
      <c r="N13" s="239">
        <f>'Scenario_Drivers'!N9</f>
        <v/>
      </c>
      <c r="O13" s="239">
        <f>'Scenario_Drivers'!O9</f>
        <v/>
      </c>
      <c r="P13" s="239">
        <f>'Scenario_Drivers'!P9</f>
        <v/>
      </c>
      <c r="Q13" s="239">
        <f>'Scenario_Drivers'!Q9</f>
        <v/>
      </c>
      <c r="R13" s="239">
        <f>'Scenario_Drivers'!R9</f>
        <v/>
      </c>
      <c r="S13" s="239">
        <f>'Scenario_Drivers'!S9</f>
        <v/>
      </c>
      <c r="T13" s="239">
        <f>'Scenario_Drivers'!T9</f>
        <v/>
      </c>
      <c r="U13" s="239">
        <f>'Scenario_Drivers'!U9</f>
        <v/>
      </c>
      <c r="V13" s="239">
        <f>'Scenario_Drivers'!V9</f>
        <v/>
      </c>
    </row>
    <row r="14">
      <c r="A14" s="165" t="inlineStr">
        <is>
          <t>Covenant EBITDA</t>
        </is>
      </c>
      <c r="B14" s="165" t="inlineStr">
        <is>
          <t>$mm</t>
        </is>
      </c>
      <c r="C14" s="242">
        <f>C12+C13</f>
        <v/>
      </c>
      <c r="D14" s="242">
        <f>D12+D13</f>
        <v/>
      </c>
      <c r="E14" s="242">
        <f>E12+E13</f>
        <v/>
      </c>
      <c r="F14" s="242">
        <f>F12+F13</f>
        <v/>
      </c>
      <c r="G14" s="242">
        <f>G12+G13</f>
        <v/>
      </c>
      <c r="H14" s="242">
        <f>H12+H13</f>
        <v/>
      </c>
      <c r="I14" s="242">
        <f>I12+I13</f>
        <v/>
      </c>
      <c r="J14" s="242">
        <f>J12+J13</f>
        <v/>
      </c>
      <c r="K14" s="242">
        <f>K12+K13</f>
        <v/>
      </c>
      <c r="L14" s="242">
        <f>L12+L13</f>
        <v/>
      </c>
      <c r="M14" s="242">
        <f>M12+M13</f>
        <v/>
      </c>
      <c r="N14" s="242">
        <f>N12+N13</f>
        <v/>
      </c>
      <c r="O14" s="242">
        <f>O12+O13</f>
        <v/>
      </c>
      <c r="P14" s="242">
        <f>P12+P13</f>
        <v/>
      </c>
      <c r="Q14" s="242">
        <f>Q12+Q13</f>
        <v/>
      </c>
      <c r="R14" s="242">
        <f>R12+R13</f>
        <v/>
      </c>
      <c r="S14" s="242">
        <f>S12+S13</f>
        <v/>
      </c>
      <c r="T14" s="242">
        <f>T12+T13</f>
        <v/>
      </c>
      <c r="U14" s="242">
        <f>U12+U13</f>
        <v/>
      </c>
      <c r="V14" s="242">
        <f>V12+V13</f>
        <v/>
      </c>
    </row>
    <row r="15">
      <c r="A15" s="165" t="inlineStr">
        <is>
          <t>Firm EBITDA margin</t>
        </is>
      </c>
      <c r="B15" s="165" t="inlineStr">
        <is>
          <t>%</t>
        </is>
      </c>
      <c r="C15" s="240">
        <f>C10/C5</f>
        <v/>
      </c>
      <c r="D15" s="240">
        <f>D10/D5</f>
        <v/>
      </c>
      <c r="E15" s="240">
        <f>E10/E5</f>
        <v/>
      </c>
      <c r="F15" s="240">
        <f>F10/F5</f>
        <v/>
      </c>
      <c r="G15" s="240">
        <f>G10/G5</f>
        <v/>
      </c>
      <c r="H15" s="240">
        <f>H10/H5</f>
        <v/>
      </c>
      <c r="I15" s="240">
        <f>I10/I5</f>
        <v/>
      </c>
      <c r="J15" s="240">
        <f>J10/J5</f>
        <v/>
      </c>
      <c r="K15" s="240">
        <f>K10/K5</f>
        <v/>
      </c>
      <c r="L15" s="240">
        <f>L10/L5</f>
        <v/>
      </c>
      <c r="M15" s="240">
        <f>M10/M5</f>
        <v/>
      </c>
      <c r="N15" s="240">
        <f>N10/N5</f>
        <v/>
      </c>
      <c r="O15" s="240">
        <f>O10/O5</f>
        <v/>
      </c>
      <c r="P15" s="240">
        <f>P10/P5</f>
        <v/>
      </c>
      <c r="Q15" s="240">
        <f>Q10/Q5</f>
        <v/>
      </c>
      <c r="R15" s="240">
        <f>R10/R5</f>
        <v/>
      </c>
      <c r="S15" s="240">
        <f>S10/S5</f>
        <v/>
      </c>
      <c r="T15" s="240">
        <f>T10/T5</f>
        <v/>
      </c>
      <c r="U15" s="240">
        <f>U10/U5</f>
        <v/>
      </c>
      <c r="V15" s="240">
        <f>V10/V5</f>
        <v/>
      </c>
    </row>
    <row r="16">
      <c r="A16" s="39" t="inlineStr">
        <is>
          <t>Income Statement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>
      <c r="A17" s="165" t="inlineStr">
        <is>
          <t>Depreciation</t>
        </is>
      </c>
      <c r="B17" s="165" t="inlineStr">
        <is>
          <t>$mm</t>
        </is>
      </c>
      <c r="C17" s="242">
        <f>C5*Inputs!$B$17</f>
        <v/>
      </c>
      <c r="D17" s="242">
        <f>D5*Inputs!$B$17</f>
        <v/>
      </c>
      <c r="E17" s="242">
        <f>E5*Inputs!$B$17</f>
        <v/>
      </c>
      <c r="F17" s="242">
        <f>F5*Inputs!$B$17</f>
        <v/>
      </c>
      <c r="G17" s="242">
        <f>G5*Inputs!$B$17</f>
        <v/>
      </c>
      <c r="H17" s="242">
        <f>H5*Inputs!$B$17</f>
        <v/>
      </c>
      <c r="I17" s="242">
        <f>I5*Inputs!$B$17</f>
        <v/>
      </c>
      <c r="J17" s="242">
        <f>J5*Inputs!$B$17</f>
        <v/>
      </c>
      <c r="K17" s="242">
        <f>K5*Inputs!$B$17</f>
        <v/>
      </c>
      <c r="L17" s="242">
        <f>L5*Inputs!$B$17</f>
        <v/>
      </c>
      <c r="M17" s="242">
        <f>M5*Inputs!$B$17</f>
        <v/>
      </c>
      <c r="N17" s="242">
        <f>N5*Inputs!$B$17</f>
        <v/>
      </c>
      <c r="O17" s="242">
        <f>O5*Inputs!$B$17</f>
        <v/>
      </c>
      <c r="P17" s="242">
        <f>P5*Inputs!$B$17</f>
        <v/>
      </c>
      <c r="Q17" s="242">
        <f>Q5*Inputs!$B$17</f>
        <v/>
      </c>
      <c r="R17" s="242">
        <f>R5*Inputs!$B$17</f>
        <v/>
      </c>
      <c r="S17" s="242">
        <f>S5*Inputs!$B$17</f>
        <v/>
      </c>
      <c r="T17" s="242">
        <f>T5*Inputs!$B$17</f>
        <v/>
      </c>
      <c r="U17" s="242">
        <f>U5*Inputs!$B$17</f>
        <v/>
      </c>
      <c r="V17" s="242">
        <f>V5*Inputs!$B$17</f>
        <v/>
      </c>
    </row>
    <row r="18">
      <c r="A18" s="165" t="inlineStr">
        <is>
          <t>Core PPA amortization</t>
        </is>
      </c>
      <c r="B18" s="165" t="inlineStr">
        <is>
          <t>$mm</t>
        </is>
      </c>
      <c r="C18" s="242">
        <f>'Scenario_Drivers'!C35</f>
        <v/>
      </c>
      <c r="D18" s="242">
        <f>'Scenario_Drivers'!D35</f>
        <v/>
      </c>
      <c r="E18" s="242">
        <f>'Scenario_Drivers'!E35</f>
        <v/>
      </c>
      <c r="F18" s="242">
        <f>'Scenario_Drivers'!F35</f>
        <v/>
      </c>
      <c r="G18" s="242">
        <f>'Scenario_Drivers'!G35</f>
        <v/>
      </c>
      <c r="H18" s="242">
        <f>'Scenario_Drivers'!H35</f>
        <v/>
      </c>
      <c r="I18" s="242">
        <f>'Scenario_Drivers'!I35</f>
        <v/>
      </c>
      <c r="J18" s="242">
        <f>'Scenario_Drivers'!J35</f>
        <v/>
      </c>
      <c r="K18" s="242">
        <f>'Scenario_Drivers'!K35</f>
        <v/>
      </c>
      <c r="L18" s="242">
        <f>'Scenario_Drivers'!L35</f>
        <v/>
      </c>
      <c r="M18" s="242">
        <f>'Scenario_Drivers'!M35</f>
        <v/>
      </c>
      <c r="N18" s="242">
        <f>'Scenario_Drivers'!N35</f>
        <v/>
      </c>
      <c r="O18" s="242">
        <f>'Scenario_Drivers'!O35</f>
        <v/>
      </c>
      <c r="P18" s="242">
        <f>'Scenario_Drivers'!P35</f>
        <v/>
      </c>
      <c r="Q18" s="242">
        <f>'Scenario_Drivers'!Q35</f>
        <v/>
      </c>
      <c r="R18" s="242">
        <f>'Scenario_Drivers'!R35</f>
        <v/>
      </c>
      <c r="S18" s="242">
        <f>'Scenario_Drivers'!S35</f>
        <v/>
      </c>
      <c r="T18" s="242">
        <f>'Scenario_Drivers'!T35</f>
        <v/>
      </c>
      <c r="U18" s="242">
        <f>'Scenario_Drivers'!U35</f>
        <v/>
      </c>
      <c r="V18" s="242">
        <f>'Scenario_Drivers'!V35</f>
        <v/>
      </c>
    </row>
    <row r="19">
      <c r="A19" s="165" t="inlineStr">
        <is>
          <t>Integration asset amortization</t>
        </is>
      </c>
      <c r="B19" s="165" t="inlineStr">
        <is>
          <t>$mm</t>
        </is>
      </c>
      <c r="C19" s="242">
        <f>0</f>
        <v/>
      </c>
      <c r="D19" s="242">
        <f>0</f>
        <v/>
      </c>
      <c r="E19" s="242">
        <f>0</f>
        <v/>
      </c>
      <c r="F19" s="242">
        <f>0</f>
        <v/>
      </c>
      <c r="G19" s="242">
        <f>0</f>
        <v/>
      </c>
      <c r="H19" s="242">
        <f>0</f>
        <v/>
      </c>
      <c r="I19" s="242">
        <f>0</f>
        <v/>
      </c>
      <c r="J19" s="242">
        <f>0</f>
        <v/>
      </c>
      <c r="K19" s="242">
        <f>0</f>
        <v/>
      </c>
      <c r="L19" s="242">
        <f>0</f>
        <v/>
      </c>
      <c r="M19" s="242">
        <f>0</f>
        <v/>
      </c>
      <c r="N19" s="242">
        <f>0</f>
        <v/>
      </c>
      <c r="O19" s="242">
        <f>0</f>
        <v/>
      </c>
      <c r="P19" s="242">
        <f>0</f>
        <v/>
      </c>
      <c r="Q19" s="242">
        <f>0</f>
        <v/>
      </c>
      <c r="R19" s="242">
        <f>0</f>
        <v/>
      </c>
      <c r="S19" s="242">
        <f>0</f>
        <v/>
      </c>
      <c r="T19" s="242">
        <f>0</f>
        <v/>
      </c>
      <c r="U19" s="242">
        <f>0</f>
        <v/>
      </c>
      <c r="V19" s="242">
        <f>0</f>
        <v/>
      </c>
    </row>
    <row r="20">
      <c r="A20" s="165" t="inlineStr">
        <is>
          <t>Total D&amp;A</t>
        </is>
      </c>
      <c r="B20" s="165" t="inlineStr">
        <is>
          <t>$mm</t>
        </is>
      </c>
      <c r="C20" s="242">
        <f>SUM(C17:C19)</f>
        <v/>
      </c>
      <c r="D20" s="242">
        <f>SUM(D17:D19)</f>
        <v/>
      </c>
      <c r="E20" s="242">
        <f>SUM(E17:E19)</f>
        <v/>
      </c>
      <c r="F20" s="242">
        <f>SUM(F17:F19)</f>
        <v/>
      </c>
      <c r="G20" s="242">
        <f>SUM(G17:G19)</f>
        <v/>
      </c>
      <c r="H20" s="242">
        <f>SUM(H17:H19)</f>
        <v/>
      </c>
      <c r="I20" s="242">
        <f>SUM(I17:I19)</f>
        <v/>
      </c>
      <c r="J20" s="242">
        <f>SUM(J17:J19)</f>
        <v/>
      </c>
      <c r="K20" s="242">
        <f>SUM(K17:K19)</f>
        <v/>
      </c>
      <c r="L20" s="242">
        <f>SUM(L17:L19)</f>
        <v/>
      </c>
      <c r="M20" s="242">
        <f>SUM(M17:M19)</f>
        <v/>
      </c>
      <c r="N20" s="242">
        <f>SUM(N17:N19)</f>
        <v/>
      </c>
      <c r="O20" s="242">
        <f>SUM(O17:O19)</f>
        <v/>
      </c>
      <c r="P20" s="242">
        <f>SUM(P17:P19)</f>
        <v/>
      </c>
      <c r="Q20" s="242">
        <f>SUM(Q17:Q19)</f>
        <v/>
      </c>
      <c r="R20" s="242">
        <f>SUM(R17:R19)</f>
        <v/>
      </c>
      <c r="S20" s="242">
        <f>SUM(S17:S19)</f>
        <v/>
      </c>
      <c r="T20" s="242">
        <f>SUM(T17:T19)</f>
        <v/>
      </c>
      <c r="U20" s="242">
        <f>SUM(U17:U19)</f>
        <v/>
      </c>
      <c r="V20" s="242">
        <f>SUM(V17:V19)</f>
        <v/>
      </c>
    </row>
    <row r="21">
      <c r="A21" s="165" t="inlineStr">
        <is>
          <t>EBIT</t>
        </is>
      </c>
      <c r="B21" s="165" t="inlineStr">
        <is>
          <t>$mm</t>
        </is>
      </c>
      <c r="C21" s="242">
        <f>C12-C20</f>
        <v/>
      </c>
      <c r="D21" s="242">
        <f>D12-D20</f>
        <v/>
      </c>
      <c r="E21" s="242">
        <f>E12-E20</f>
        <v/>
      </c>
      <c r="F21" s="242">
        <f>F12-F20</f>
        <v/>
      </c>
      <c r="G21" s="242">
        <f>G12-G20</f>
        <v/>
      </c>
      <c r="H21" s="242">
        <f>H12-H20</f>
        <v/>
      </c>
      <c r="I21" s="242">
        <f>I12-I20</f>
        <v/>
      </c>
      <c r="J21" s="242">
        <f>J12-J20</f>
        <v/>
      </c>
      <c r="K21" s="242">
        <f>K12-K20</f>
        <v/>
      </c>
      <c r="L21" s="242">
        <f>L12-L20</f>
        <v/>
      </c>
      <c r="M21" s="242">
        <f>M12-M20</f>
        <v/>
      </c>
      <c r="N21" s="242">
        <f>N12-N20</f>
        <v/>
      </c>
      <c r="O21" s="242">
        <f>O12-O20</f>
        <v/>
      </c>
      <c r="P21" s="242">
        <f>P12-P20</f>
        <v/>
      </c>
      <c r="Q21" s="242">
        <f>Q12-Q20</f>
        <v/>
      </c>
      <c r="R21" s="242">
        <f>R12-R20</f>
        <v/>
      </c>
      <c r="S21" s="242">
        <f>S12-S20</f>
        <v/>
      </c>
      <c r="T21" s="242">
        <f>T12-T20</f>
        <v/>
      </c>
      <c r="U21" s="242">
        <f>U12-U20</f>
        <v/>
      </c>
      <c r="V21" s="242">
        <f>V12-V20</f>
        <v/>
      </c>
    </row>
    <row r="22">
      <c r="A22" s="165" t="inlineStr">
        <is>
          <t>Cash interest</t>
        </is>
      </c>
      <c r="B22" s="165" t="inlineStr">
        <is>
          <t>$mm</t>
        </is>
      </c>
      <c r="C22" s="242">
        <f>-((('S&amp;U_Opening'!$E$18+MAX(0,'S&amp;U_Opening'!$E$18-(MIN(0.107,'S&amp;U_Opening'!$E$18))))/2)*(MAX('Scenario_Drivers'!C33,Inputs!$B$26)+Inputs!$B$23+'Scenario_Drivers'!C34)/4+((0+0+'Scenario_Drivers'!C25-(IF(0&gt;0,MIN(0.015,0),0)))/2)*(MAX('Scenario_Drivers'!C33,Inputs!$B$26)+Inputs!$B$25+'Scenario_Drivers'!C34)/4+0*(MAX('Scenario_Drivers'!C33,Inputs!$B$26)+Inputs!$B$24+'Scenario_Drivers'!C34)/4+MAX(0,Inputs!$B$20-0-'Scenario_Drivers'!C28)*Inputs!$B$29/4+0)</f>
        <v/>
      </c>
      <c r="D22" s="242">
        <f>-(((C76+MAX(0,C76-(MIN(0.107,C76))))/2)*(MAX('Scenario_Drivers'!D33,Inputs!$B$26)+Inputs!$B$23+'Scenario_Drivers'!D34)/4+((C77+C77+'Scenario_Drivers'!D25-(IF(C77&gt;0,MIN(0.015,C77),0)))/2)*(MAX('Scenario_Drivers'!D33,Inputs!$B$26)+Inputs!$B$25+'Scenario_Drivers'!D34)/4+C78*(MAX('Scenario_Drivers'!D33,Inputs!$B$26)+Inputs!$B$24+'Scenario_Drivers'!D34)/4+MAX(0,Inputs!$B$20-C78-'Scenario_Drivers'!D28)*Inputs!$B$29/4+MAX(0,Inputs!$B$21-C77-'Scenario_Drivers'!D25)*Inputs!$B$30/4)</f>
        <v/>
      </c>
      <c r="E22" s="242">
        <f>-(((D76+MAX(0,D76-(MIN(0.107,D76))))/2)*(MAX('Scenario_Drivers'!E33,Inputs!$B$26)+Inputs!$B$23+'Scenario_Drivers'!E34)/4+((D77+D77+'Scenario_Drivers'!E25-(IF(D77&gt;0,MIN(0.015,D77),0)))/2)*(MAX('Scenario_Drivers'!E33,Inputs!$B$26)+Inputs!$B$25+'Scenario_Drivers'!E34)/4+D78*(MAX('Scenario_Drivers'!E33,Inputs!$B$26)+Inputs!$B$24+'Scenario_Drivers'!E34)/4+MAX(0,Inputs!$B$20-D78-'Scenario_Drivers'!E28)*Inputs!$B$29/4+MAX(0,Inputs!$B$21-D77-'Scenario_Drivers'!E25)*Inputs!$B$30/4)</f>
        <v/>
      </c>
      <c r="F22" s="242">
        <f>-(((E76+MAX(0,E76-(MIN(0.107,E76))))/2)*(MAX('Scenario_Drivers'!F33,Inputs!$B$26)+Inputs!$B$23+'Scenario_Drivers'!F34)/4+((E77+E77+'Scenario_Drivers'!F25-(IF(E77&gt;0,MIN(0.015,E77),0)))/2)*(MAX('Scenario_Drivers'!F33,Inputs!$B$26)+Inputs!$B$25+'Scenario_Drivers'!F34)/4+E78*(MAX('Scenario_Drivers'!F33,Inputs!$B$26)+Inputs!$B$24+'Scenario_Drivers'!F34)/4+MAX(0,Inputs!$B$20-E78-'Scenario_Drivers'!F28)*Inputs!$B$29/4+MAX(0,Inputs!$B$21-E77-'Scenario_Drivers'!F25)*Inputs!$B$30/4)</f>
        <v/>
      </c>
      <c r="G22" s="242">
        <f>-(((F76+MAX(0,F76-(MIN(0.107,F76))))/2)*(MAX('Scenario_Drivers'!G33,Inputs!$B$26)+Inputs!$B$23+'Scenario_Drivers'!G34)/4+((F77+F77+'Scenario_Drivers'!G25-(IF(F77&gt;0,MIN(0.015,F77),0)))/2)*(MAX('Scenario_Drivers'!G33,Inputs!$B$26)+Inputs!$B$25+'Scenario_Drivers'!G34)/4+F78*(MAX('Scenario_Drivers'!G33,Inputs!$B$26)+Inputs!$B$24+'Scenario_Drivers'!G34)/4+MAX(0,Inputs!$B$20-F78-'Scenario_Drivers'!G28)*Inputs!$B$29/4+MAX(0,Inputs!$B$21-F77-'Scenario_Drivers'!G25)*Inputs!$B$30/4)</f>
        <v/>
      </c>
      <c r="H22" s="242">
        <f>-(((G76+MAX(0,G76-(MIN(0.107,G76))))/2)*(MAX('Scenario_Drivers'!H33,Inputs!$B$26)+Inputs!$B$23+'Scenario_Drivers'!H34)/4+((G77+G77+'Scenario_Drivers'!H25-(IF(G77&gt;0,MIN(0.015,G77),0)))/2)*(MAX('Scenario_Drivers'!H33,Inputs!$B$26)+Inputs!$B$25+'Scenario_Drivers'!H34)/4+G78*(MAX('Scenario_Drivers'!H33,Inputs!$B$26)+Inputs!$B$24+'Scenario_Drivers'!H34)/4+MAX(0,Inputs!$B$20-G78-'Scenario_Drivers'!H28)*Inputs!$B$29/4+MAX(0,Inputs!$B$21-G77-'Scenario_Drivers'!H25)*Inputs!$B$30/4)</f>
        <v/>
      </c>
      <c r="I22" s="242">
        <f>-(((H76+MAX(0,H76-(MIN(0.107,H76))))/2)*(MAX('Scenario_Drivers'!I33,Inputs!$B$26)+Inputs!$B$23+'Scenario_Drivers'!I34)/4+((H77+H77+'Scenario_Drivers'!I25-(IF(H77&gt;0,MIN(0.015,H77),0)))/2)*(MAX('Scenario_Drivers'!I33,Inputs!$B$26)+Inputs!$B$25+'Scenario_Drivers'!I34)/4+H78*(MAX('Scenario_Drivers'!I33,Inputs!$B$26)+Inputs!$B$24+'Scenario_Drivers'!I34)/4+MAX(0,Inputs!$B$20-H78-'Scenario_Drivers'!I28)*Inputs!$B$29/4+0)</f>
        <v/>
      </c>
      <c r="J22" s="242">
        <f>-(((I76+MAX(0,I76-(MIN(0.107,I76))))/2)*(MAX('Scenario_Drivers'!J33,Inputs!$B$26)+Inputs!$B$23+'Scenario_Drivers'!J34)/4+((I77+I77+'Scenario_Drivers'!J25-(IF(I77&gt;0,MIN(0.015,I77),0)))/2)*(MAX('Scenario_Drivers'!J33,Inputs!$B$26)+Inputs!$B$25+'Scenario_Drivers'!J34)/4+I78*(MAX('Scenario_Drivers'!J33,Inputs!$B$26)+Inputs!$B$24+'Scenario_Drivers'!J34)/4+MAX(0,Inputs!$B$20-I78-'Scenario_Drivers'!J28)*Inputs!$B$29/4+0)</f>
        <v/>
      </c>
      <c r="K22" s="242">
        <f>-(((J76+MAX(0,J76-(MIN(0.107,J76))))/2)*(MAX('Scenario_Drivers'!K33,Inputs!$B$26)+Inputs!$B$23+'Scenario_Drivers'!K34)/4+((J77+J77+'Scenario_Drivers'!K25-(IF(J77&gt;0,MIN(0.015,J77),0)))/2)*(MAX('Scenario_Drivers'!K33,Inputs!$B$26)+Inputs!$B$25+'Scenario_Drivers'!K34)/4+J78*(MAX('Scenario_Drivers'!K33,Inputs!$B$26)+Inputs!$B$24+'Scenario_Drivers'!K34)/4+MAX(0,Inputs!$B$20-J78-'Scenario_Drivers'!K28)*Inputs!$B$29/4+0)</f>
        <v/>
      </c>
      <c r="L22" s="242">
        <f>-(((K76+MAX(0,K76-(MIN(0.107,K76))))/2)*(MAX('Scenario_Drivers'!L33,Inputs!$B$26)+Inputs!$B$23+'Scenario_Drivers'!L34)/4+((K77+K77+'Scenario_Drivers'!L25-(IF(K77&gt;0,MIN(0.015,K77),0)))/2)*(MAX('Scenario_Drivers'!L33,Inputs!$B$26)+Inputs!$B$25+'Scenario_Drivers'!L34)/4+K78*(MAX('Scenario_Drivers'!L33,Inputs!$B$26)+Inputs!$B$24+'Scenario_Drivers'!L34)/4+MAX(0,Inputs!$B$20-K78-'Scenario_Drivers'!L28)*Inputs!$B$29/4+0)</f>
        <v/>
      </c>
      <c r="M22" s="242">
        <f>-(((L76+MAX(0,L76-(MIN(0.107,L76))))/2)*(MAX('Scenario_Drivers'!M33,Inputs!$B$26)+Inputs!$B$23+'Scenario_Drivers'!M34)/4+((L77+L77+'Scenario_Drivers'!M25-(IF(L77&gt;0,MIN(0.015,L77),0)))/2)*(MAX('Scenario_Drivers'!M33,Inputs!$B$26)+Inputs!$B$25+'Scenario_Drivers'!M34)/4+L78*(MAX('Scenario_Drivers'!M33,Inputs!$B$26)+Inputs!$B$24+'Scenario_Drivers'!M34)/4+MAX(0,Inputs!$B$20-L78-'Scenario_Drivers'!M28)*Inputs!$B$29/4+0)</f>
        <v/>
      </c>
      <c r="N22" s="242">
        <f>-(((M76+MAX(0,M76-(MIN(0.107,M76))))/2)*(MAX('Scenario_Drivers'!N33,Inputs!$B$26)+Inputs!$B$23+'Scenario_Drivers'!N34)/4+((M77+M77+'Scenario_Drivers'!N25-(IF(M77&gt;0,MIN(0.015,M77),0)))/2)*(MAX('Scenario_Drivers'!N33,Inputs!$B$26)+Inputs!$B$25+'Scenario_Drivers'!N34)/4+M78*(MAX('Scenario_Drivers'!N33,Inputs!$B$26)+Inputs!$B$24+'Scenario_Drivers'!N34)/4+MAX(0,Inputs!$B$20-M78-'Scenario_Drivers'!N28)*Inputs!$B$29/4+0)</f>
        <v/>
      </c>
      <c r="O22" s="242">
        <f>-(((N76+MAX(0,N76-(MIN(0.107,N76))))/2)*(MAX('Scenario_Drivers'!O33,Inputs!$B$26)+Inputs!$B$23+'Scenario_Drivers'!O34)/4+((N77+N77+'Scenario_Drivers'!O25-(IF(N77&gt;0,MIN(0.015,N77),0)))/2)*(MAX('Scenario_Drivers'!O33,Inputs!$B$26)+Inputs!$B$25+'Scenario_Drivers'!O34)/4+N78*(MAX('Scenario_Drivers'!O33,Inputs!$B$26)+Inputs!$B$24+'Scenario_Drivers'!O34)/4+MAX(0,Inputs!$B$20-N78-'Scenario_Drivers'!O28)*Inputs!$B$29/4+0)</f>
        <v/>
      </c>
      <c r="P22" s="242">
        <f>-(((O76+MAX(0,O76-(MIN(0.107,O76))))/2)*(MAX('Scenario_Drivers'!P33,Inputs!$B$26)+Inputs!$B$23+'Scenario_Drivers'!P34)/4+((O77+O77+'Scenario_Drivers'!P25-(IF(O77&gt;0,MIN(0.015,O77),0)))/2)*(MAX('Scenario_Drivers'!P33,Inputs!$B$26)+Inputs!$B$25+'Scenario_Drivers'!P34)/4+O78*(MAX('Scenario_Drivers'!P33,Inputs!$B$26)+Inputs!$B$24+'Scenario_Drivers'!P34)/4+MAX(0,Inputs!$B$20-O78-'Scenario_Drivers'!P28)*Inputs!$B$29/4+0)</f>
        <v/>
      </c>
      <c r="Q22" s="242">
        <f>-(((P76+MAX(0,P76-(MIN(0.107,P76))))/2)*(MAX('Scenario_Drivers'!Q33,Inputs!$B$26)+Inputs!$B$23+'Scenario_Drivers'!Q34)/4+((P77+P77+'Scenario_Drivers'!Q25-(IF(P77&gt;0,MIN(0.015,P77),0)))/2)*(MAX('Scenario_Drivers'!Q33,Inputs!$B$26)+Inputs!$B$25+'Scenario_Drivers'!Q34)/4+P78*(MAX('Scenario_Drivers'!Q33,Inputs!$B$26)+Inputs!$B$24+'Scenario_Drivers'!Q34)/4+MAX(0,Inputs!$B$20-P78-'Scenario_Drivers'!Q28)*Inputs!$B$29/4+0)</f>
        <v/>
      </c>
      <c r="R22" s="242">
        <f>-(((Q76+MAX(0,Q76-(MIN(0.107,Q76))))/2)*(MAX('Scenario_Drivers'!R33,Inputs!$B$26)+Inputs!$B$23+'Scenario_Drivers'!R34)/4+((Q77+Q77+'Scenario_Drivers'!R25-(IF(Q77&gt;0,MIN(0.015,Q77),0)))/2)*(MAX('Scenario_Drivers'!R33,Inputs!$B$26)+Inputs!$B$25+'Scenario_Drivers'!R34)/4+Q78*(MAX('Scenario_Drivers'!R33,Inputs!$B$26)+Inputs!$B$24+'Scenario_Drivers'!R34)/4+MAX(0,Inputs!$B$20-Q78-'Scenario_Drivers'!R28)*Inputs!$B$29/4+0)</f>
        <v/>
      </c>
      <c r="S22" s="242">
        <f>-(((R76+MAX(0,R76-(MIN(0.107,R76))))/2)*(MAX('Scenario_Drivers'!S33,Inputs!$B$26)+Inputs!$B$23+'Scenario_Drivers'!S34)/4+((R77+R77+'Scenario_Drivers'!S25-(IF(R77&gt;0,MIN(0.015,R77),0)))/2)*(MAX('Scenario_Drivers'!S33,Inputs!$B$26)+Inputs!$B$25+'Scenario_Drivers'!S34)/4+R78*(MAX('Scenario_Drivers'!S33,Inputs!$B$26)+Inputs!$B$24+'Scenario_Drivers'!S34)/4+MAX(0,Inputs!$B$20-R78-'Scenario_Drivers'!S28)*Inputs!$B$29/4+0)</f>
        <v/>
      </c>
      <c r="T22" s="242">
        <f>-(((S76+MAX(0,S76-(MIN(0.107,S76))))/2)*(MAX('Scenario_Drivers'!T33,Inputs!$B$26)+Inputs!$B$23+'Scenario_Drivers'!T34)/4+((S77+S77+'Scenario_Drivers'!T25-(IF(S77&gt;0,MIN(0.015,S77),0)))/2)*(MAX('Scenario_Drivers'!T33,Inputs!$B$26)+Inputs!$B$25+'Scenario_Drivers'!T34)/4+S78*(MAX('Scenario_Drivers'!T33,Inputs!$B$26)+Inputs!$B$24+'Scenario_Drivers'!T34)/4+MAX(0,Inputs!$B$20-S78-'Scenario_Drivers'!T28)*Inputs!$B$29/4+0)</f>
        <v/>
      </c>
      <c r="U22" s="242">
        <f>-(((T76+MAX(0,T76-(MIN(0.107,T76))))/2)*(MAX('Scenario_Drivers'!U33,Inputs!$B$26)+Inputs!$B$23+'Scenario_Drivers'!U34)/4+((T77+T77+'Scenario_Drivers'!U25-(IF(T77&gt;0,MIN(0.015,T77),0)))/2)*(MAX('Scenario_Drivers'!U33,Inputs!$B$26)+Inputs!$B$25+'Scenario_Drivers'!U34)/4+T78*(MAX('Scenario_Drivers'!U33,Inputs!$B$26)+Inputs!$B$24+'Scenario_Drivers'!U34)/4+MAX(0,Inputs!$B$20-T78-'Scenario_Drivers'!U28)*Inputs!$B$29/4+0)</f>
        <v/>
      </c>
      <c r="V22" s="242">
        <f>-(((U76+MAX(0,U76-(MIN(0.107,U76))))/2)*(MAX('Scenario_Drivers'!V33,Inputs!$B$26)+Inputs!$B$23+'Scenario_Drivers'!V34)/4+((U77+U77+'Scenario_Drivers'!V25-(IF(U77&gt;0,MIN(0.015,U77),0)))/2)*(MAX('Scenario_Drivers'!V33,Inputs!$B$26)+Inputs!$B$25+'Scenario_Drivers'!V34)/4+U78*(MAX('Scenario_Drivers'!V33,Inputs!$B$26)+Inputs!$B$24+'Scenario_Drivers'!V34)/4+MAX(0,Inputs!$B$20-U78-'Scenario_Drivers'!V28)*Inputs!$B$29/4+0)</f>
        <v/>
      </c>
    </row>
    <row r="23">
      <c r="A23" s="165" t="inlineStr">
        <is>
          <t>Financing fee amortization</t>
        </is>
      </c>
      <c r="B23" s="165" t="inlineStr">
        <is>
          <t>$mm</t>
        </is>
      </c>
      <c r="C23" s="242">
        <f>MIN('S&amp;U_Opening'!$B$24,1.4/24)</f>
        <v/>
      </c>
      <c r="D23" s="242">
        <f>MIN(C73,1.4/24)</f>
        <v/>
      </c>
      <c r="E23" s="242">
        <f>MIN(D73,1.4/24)</f>
        <v/>
      </c>
      <c r="F23" s="242">
        <f>MIN(E73,1.4/24)</f>
        <v/>
      </c>
      <c r="G23" s="242">
        <f>MIN(F73,1.4/24)</f>
        <v/>
      </c>
      <c r="H23" s="242">
        <f>MIN(G73,1.4/24)</f>
        <v/>
      </c>
      <c r="I23" s="242">
        <f>MIN(H73,1.4/24)</f>
        <v/>
      </c>
      <c r="J23" s="242">
        <f>MIN(I73,1.4/24)</f>
        <v/>
      </c>
      <c r="K23" s="242">
        <f>MIN(J73,1.4/24)</f>
        <v/>
      </c>
      <c r="L23" s="242">
        <f>MIN(K73,1.4/24)</f>
        <v/>
      </c>
      <c r="M23" s="242">
        <f>MIN(L73,1.4/24)</f>
        <v/>
      </c>
      <c r="N23" s="242">
        <f>MIN(M73,1.4/24)</f>
        <v/>
      </c>
      <c r="O23" s="242">
        <f>MIN(N73,1.4/24)</f>
        <v/>
      </c>
      <c r="P23" s="242">
        <f>MIN(O73,1.4/24)</f>
        <v/>
      </c>
      <c r="Q23" s="242">
        <f>MIN(P73,1.4/24)</f>
        <v/>
      </c>
      <c r="R23" s="242">
        <f>MIN(Q73,1.4/24)</f>
        <v/>
      </c>
      <c r="S23" s="242">
        <f>MIN(R73,1.4/24)</f>
        <v/>
      </c>
      <c r="T23" s="242">
        <f>MIN(S73,1.4/24)</f>
        <v/>
      </c>
      <c r="U23" s="242">
        <f>MIN(T73,1.4/24)</f>
        <v/>
      </c>
      <c r="V23" s="242">
        <f>MIN(U73,1.4/24)</f>
        <v/>
      </c>
    </row>
    <row r="24">
      <c r="A24" s="165" t="inlineStr">
        <is>
          <t>Interest income</t>
        </is>
      </c>
      <c r="B24" s="165" t="inlineStr">
        <is>
          <t>$mm</t>
        </is>
      </c>
      <c r="C24" s="242">
        <f>'S&amp;U_Opening'!$B$15*1.0%/4</f>
        <v/>
      </c>
      <c r="D24" s="242">
        <f>C67*1.0%/4</f>
        <v/>
      </c>
      <c r="E24" s="242">
        <f>D67*1.0%/4</f>
        <v/>
      </c>
      <c r="F24" s="242">
        <f>E67*1.0%/4</f>
        <v/>
      </c>
      <c r="G24" s="242">
        <f>F67*1.0%/4</f>
        <v/>
      </c>
      <c r="H24" s="242">
        <f>G67*1.0%/4</f>
        <v/>
      </c>
      <c r="I24" s="242">
        <f>H67*1.0%/4</f>
        <v/>
      </c>
      <c r="J24" s="242">
        <f>I67*1.0%/4</f>
        <v/>
      </c>
      <c r="K24" s="242">
        <f>J67*1.0%/4</f>
        <v/>
      </c>
      <c r="L24" s="242">
        <f>K67*1.0%/4</f>
        <v/>
      </c>
      <c r="M24" s="242">
        <f>L67*1.0%/4</f>
        <v/>
      </c>
      <c r="N24" s="242">
        <f>M67*1.0%/4</f>
        <v/>
      </c>
      <c r="O24" s="242">
        <f>N67*1.0%/4</f>
        <v/>
      </c>
      <c r="P24" s="242">
        <f>O67*1.0%/4</f>
        <v/>
      </c>
      <c r="Q24" s="242">
        <f>P67*1.0%/4</f>
        <v/>
      </c>
      <c r="R24" s="242">
        <f>Q67*1.0%/4</f>
        <v/>
      </c>
      <c r="S24" s="242">
        <f>R67*1.0%/4</f>
        <v/>
      </c>
      <c r="T24" s="242">
        <f>S67*1.0%/4</f>
        <v/>
      </c>
      <c r="U24" s="242">
        <f>T67*1.0%/4</f>
        <v/>
      </c>
      <c r="V24" s="242">
        <f>U67*1.0%/4</f>
        <v/>
      </c>
    </row>
    <row r="25">
      <c r="A25" s="165" t="inlineStr">
        <is>
          <t>Pre-tax income</t>
        </is>
      </c>
      <c r="B25" s="165" t="inlineStr">
        <is>
          <t>$mm</t>
        </is>
      </c>
      <c r="C25" s="242">
        <f>C21+C22-C23+C24</f>
        <v/>
      </c>
      <c r="D25" s="242">
        <f>D21+D22-D23+D24</f>
        <v/>
      </c>
      <c r="E25" s="242">
        <f>E21+E22-E23+E24</f>
        <v/>
      </c>
      <c r="F25" s="242">
        <f>F21+F22-F23+F24</f>
        <v/>
      </c>
      <c r="G25" s="242">
        <f>G21+G22-G23+G24</f>
        <v/>
      </c>
      <c r="H25" s="242">
        <f>H21+H22-H23+H24</f>
        <v/>
      </c>
      <c r="I25" s="242">
        <f>I21+I22-I23+I24</f>
        <v/>
      </c>
      <c r="J25" s="242">
        <f>J21+J22-J23+J24</f>
        <v/>
      </c>
      <c r="K25" s="242">
        <f>K21+K22-K23+K24</f>
        <v/>
      </c>
      <c r="L25" s="242">
        <f>L21+L22-L23+L24</f>
        <v/>
      </c>
      <c r="M25" s="242">
        <f>M21+M22-M23+M24</f>
        <v/>
      </c>
      <c r="N25" s="242">
        <f>N21+N22-N23+N24</f>
        <v/>
      </c>
      <c r="O25" s="242">
        <f>O21+O22-O23+O24</f>
        <v/>
      </c>
      <c r="P25" s="242">
        <f>P21+P22-P23+P24</f>
        <v/>
      </c>
      <c r="Q25" s="242">
        <f>Q21+Q22-Q23+Q24</f>
        <v/>
      </c>
      <c r="R25" s="242">
        <f>R21+R22-R23+R24</f>
        <v/>
      </c>
      <c r="S25" s="242">
        <f>S21+S22-S23+S24</f>
        <v/>
      </c>
      <c r="T25" s="242">
        <f>T21+T22-T23+T24</f>
        <v/>
      </c>
      <c r="U25" s="242">
        <f>U21+U22-U23+U24</f>
        <v/>
      </c>
      <c r="V25" s="242">
        <f>V21+V22-V23+V24</f>
        <v/>
      </c>
    </row>
    <row r="26">
      <c r="A26" s="165" t="inlineStr">
        <is>
          <t>Book tax expense</t>
        </is>
      </c>
      <c r="B26" s="165" t="inlineStr">
        <is>
          <t>$mm</t>
        </is>
      </c>
      <c r="C26" s="242">
        <f>-MAX(0,C25*Inputs!$B$15)</f>
        <v/>
      </c>
      <c r="D26" s="242">
        <f>-MAX(0,D25*Inputs!$B$15)</f>
        <v/>
      </c>
      <c r="E26" s="242">
        <f>-MAX(0,E25*Inputs!$B$15)</f>
        <v/>
      </c>
      <c r="F26" s="242">
        <f>-MAX(0,F25*Inputs!$B$15)</f>
        <v/>
      </c>
      <c r="G26" s="242">
        <f>-MAX(0,G25*Inputs!$B$15)</f>
        <v/>
      </c>
      <c r="H26" s="242">
        <f>-MAX(0,H25*Inputs!$B$15)</f>
        <v/>
      </c>
      <c r="I26" s="242">
        <f>-MAX(0,I25*Inputs!$B$15)</f>
        <v/>
      </c>
      <c r="J26" s="242">
        <f>-MAX(0,J25*Inputs!$B$15)</f>
        <v/>
      </c>
      <c r="K26" s="242">
        <f>-MAX(0,K25*Inputs!$B$15)</f>
        <v/>
      </c>
      <c r="L26" s="242">
        <f>-MAX(0,L25*Inputs!$B$15)</f>
        <v/>
      </c>
      <c r="M26" s="242">
        <f>-MAX(0,M25*Inputs!$B$15)</f>
        <v/>
      </c>
      <c r="N26" s="242">
        <f>-MAX(0,N25*Inputs!$B$15)</f>
        <v/>
      </c>
      <c r="O26" s="242">
        <f>-MAX(0,O25*Inputs!$B$15)</f>
        <v/>
      </c>
      <c r="P26" s="242">
        <f>-MAX(0,P25*Inputs!$B$15)</f>
        <v/>
      </c>
      <c r="Q26" s="242">
        <f>-MAX(0,Q25*Inputs!$B$15)</f>
        <v/>
      </c>
      <c r="R26" s="242">
        <f>-MAX(0,R25*Inputs!$B$15)</f>
        <v/>
      </c>
      <c r="S26" s="242">
        <f>-MAX(0,S25*Inputs!$B$15)</f>
        <v/>
      </c>
      <c r="T26" s="242">
        <f>-MAX(0,T25*Inputs!$B$15)</f>
        <v/>
      </c>
      <c r="U26" s="242">
        <f>-MAX(0,U25*Inputs!$B$15)</f>
        <v/>
      </c>
      <c r="V26" s="242">
        <f>-MAX(0,V25*Inputs!$B$15)</f>
        <v/>
      </c>
    </row>
    <row r="27">
      <c r="A27" s="165" t="inlineStr">
        <is>
          <t>Cash taxes</t>
        </is>
      </c>
      <c r="B27" s="165" t="inlineStr">
        <is>
          <t>$mm</t>
        </is>
      </c>
      <c r="C27" s="242">
        <f>-MAX(0,(C116-0)*Inputs!$B$15)</f>
        <v/>
      </c>
      <c r="D27" s="242">
        <f>-MAX(0,(D116-C115)*Inputs!$B$15)</f>
        <v/>
      </c>
      <c r="E27" s="242">
        <f>-MAX(0,(E116-D115)*Inputs!$B$15)</f>
        <v/>
      </c>
      <c r="F27" s="242">
        <f>-MAX(0,(F116-E115)*Inputs!$B$15)</f>
        <v/>
      </c>
      <c r="G27" s="242">
        <f>-MAX(0,(G116-F115)*Inputs!$B$15)</f>
        <v/>
      </c>
      <c r="H27" s="242">
        <f>-MAX(0,(H116-G115)*Inputs!$B$15)</f>
        <v/>
      </c>
      <c r="I27" s="242">
        <f>-MAX(0,(I116-H115)*Inputs!$B$15)</f>
        <v/>
      </c>
      <c r="J27" s="242">
        <f>-MAX(0,(J116-I115)*Inputs!$B$15)</f>
        <v/>
      </c>
      <c r="K27" s="242">
        <f>-MAX(0,(K116-J115)*Inputs!$B$15)</f>
        <v/>
      </c>
      <c r="L27" s="242">
        <f>-MAX(0,(L116-K115)*Inputs!$B$15)</f>
        <v/>
      </c>
      <c r="M27" s="242">
        <f>-MAX(0,(M116-L115)*Inputs!$B$15)</f>
        <v/>
      </c>
      <c r="N27" s="242">
        <f>-MAX(0,(N116-M115)*Inputs!$B$15)</f>
        <v/>
      </c>
      <c r="O27" s="242">
        <f>-MAX(0,(O116-N115)*Inputs!$B$15)</f>
        <v/>
      </c>
      <c r="P27" s="242">
        <f>-MAX(0,(P116-O115)*Inputs!$B$15)</f>
        <v/>
      </c>
      <c r="Q27" s="242">
        <f>-MAX(0,(Q116-P115)*Inputs!$B$15)</f>
        <v/>
      </c>
      <c r="R27" s="242">
        <f>-MAX(0,(R116-Q115)*Inputs!$B$15)</f>
        <v/>
      </c>
      <c r="S27" s="242">
        <f>-MAX(0,(S116-R115)*Inputs!$B$15)</f>
        <v/>
      </c>
      <c r="T27" s="242">
        <f>-MAX(0,(T116-S115)*Inputs!$B$15)</f>
        <v/>
      </c>
      <c r="U27" s="242">
        <f>-MAX(0,(U116-T115)*Inputs!$B$15)</f>
        <v/>
      </c>
      <c r="V27" s="242">
        <f>-MAX(0,(V116-U115)*Inputs!$B$15)</f>
        <v/>
      </c>
    </row>
    <row r="28">
      <c r="A28" s="165" t="inlineStr">
        <is>
          <t>Net income</t>
        </is>
      </c>
      <c r="B28" s="165" t="inlineStr">
        <is>
          <t>$mm</t>
        </is>
      </c>
      <c r="C28" s="242">
        <f>C25+C26</f>
        <v/>
      </c>
      <c r="D28" s="242">
        <f>D25+D26</f>
        <v/>
      </c>
      <c r="E28" s="242">
        <f>E25+E26</f>
        <v/>
      </c>
      <c r="F28" s="242">
        <f>F25+F26</f>
        <v/>
      </c>
      <c r="G28" s="242">
        <f>G25+G26</f>
        <v/>
      </c>
      <c r="H28" s="242">
        <f>H25+H26</f>
        <v/>
      </c>
      <c r="I28" s="242">
        <f>I25+I26</f>
        <v/>
      </c>
      <c r="J28" s="242">
        <f>J25+J26</f>
        <v/>
      </c>
      <c r="K28" s="242">
        <f>K25+K26</f>
        <v/>
      </c>
      <c r="L28" s="242">
        <f>L25+L26</f>
        <v/>
      </c>
      <c r="M28" s="242">
        <f>M25+M26</f>
        <v/>
      </c>
      <c r="N28" s="242">
        <f>N25+N26</f>
        <v/>
      </c>
      <c r="O28" s="242">
        <f>O25+O26</f>
        <v/>
      </c>
      <c r="P28" s="242">
        <f>P25+P26</f>
        <v/>
      </c>
      <c r="Q28" s="242">
        <f>Q25+Q26</f>
        <v/>
      </c>
      <c r="R28" s="242">
        <f>R25+R26</f>
        <v/>
      </c>
      <c r="S28" s="242">
        <f>S25+S26</f>
        <v/>
      </c>
      <c r="T28" s="242">
        <f>T25+T26</f>
        <v/>
      </c>
      <c r="U28" s="242">
        <f>U25+U26</f>
        <v/>
      </c>
      <c r="V28" s="242">
        <f>V25+V26</f>
        <v/>
      </c>
    </row>
    <row r="29">
      <c r="A29" s="39" t="inlineStr">
        <is>
          <t>Working Capital and Capital Expenditure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>
      <c r="A30" s="165" t="inlineStr">
        <is>
          <t>Accounts receivable</t>
        </is>
      </c>
      <c r="B30" s="165" t="inlineStr">
        <is>
          <t>$mm</t>
        </is>
      </c>
      <c r="C30" s="242">
        <f>(C5/'Scenario_Drivers'!C36)*'Scenario_Drivers'!C10/365</f>
        <v/>
      </c>
      <c r="D30" s="242">
        <f>(D5/'Scenario_Drivers'!D36)*'Scenario_Drivers'!D10/365</f>
        <v/>
      </c>
      <c r="E30" s="242">
        <f>(E5/'Scenario_Drivers'!E36)*'Scenario_Drivers'!E10/365</f>
        <v/>
      </c>
      <c r="F30" s="242">
        <f>(F5/'Scenario_Drivers'!F36)*'Scenario_Drivers'!F10/365</f>
        <v/>
      </c>
      <c r="G30" s="242">
        <f>(G5/'Scenario_Drivers'!G36)*'Scenario_Drivers'!G10/365</f>
        <v/>
      </c>
      <c r="H30" s="242">
        <f>(H5/'Scenario_Drivers'!H36)*'Scenario_Drivers'!H10/365</f>
        <v/>
      </c>
      <c r="I30" s="242">
        <f>(I5/'Scenario_Drivers'!I36)*'Scenario_Drivers'!I10/365</f>
        <v/>
      </c>
      <c r="J30" s="242">
        <f>(J5/'Scenario_Drivers'!J36)*'Scenario_Drivers'!J10/365</f>
        <v/>
      </c>
      <c r="K30" s="242">
        <f>(K5/'Scenario_Drivers'!K36)*'Scenario_Drivers'!K10/365</f>
        <v/>
      </c>
      <c r="L30" s="242">
        <f>(L5/'Scenario_Drivers'!L36)*'Scenario_Drivers'!L10/365</f>
        <v/>
      </c>
      <c r="M30" s="242">
        <f>(M5/'Scenario_Drivers'!M36)*'Scenario_Drivers'!M10/365</f>
        <v/>
      </c>
      <c r="N30" s="242">
        <f>(N5/'Scenario_Drivers'!N36)*'Scenario_Drivers'!N10/365</f>
        <v/>
      </c>
      <c r="O30" s="242">
        <f>(O5/'Scenario_Drivers'!O36)*'Scenario_Drivers'!O10/365</f>
        <v/>
      </c>
      <c r="P30" s="242">
        <f>(P5/'Scenario_Drivers'!P36)*'Scenario_Drivers'!P10/365</f>
        <v/>
      </c>
      <c r="Q30" s="242">
        <f>(Q5/'Scenario_Drivers'!Q36)*'Scenario_Drivers'!Q10/365</f>
        <v/>
      </c>
      <c r="R30" s="242">
        <f>(R5/'Scenario_Drivers'!R36)*'Scenario_Drivers'!R10/365</f>
        <v/>
      </c>
      <c r="S30" s="242">
        <f>(S5/'Scenario_Drivers'!S36)*'Scenario_Drivers'!S10/365</f>
        <v/>
      </c>
      <c r="T30" s="242">
        <f>(T5/'Scenario_Drivers'!T36)*'Scenario_Drivers'!T10/365</f>
        <v/>
      </c>
      <c r="U30" s="242">
        <f>(U5/'Scenario_Drivers'!U36)*'Scenario_Drivers'!U10/365</f>
        <v/>
      </c>
      <c r="V30" s="242">
        <f>(V5/'Scenario_Drivers'!V36)*'Scenario_Drivers'!V10/365</f>
        <v/>
      </c>
    </row>
    <row r="31">
      <c r="A31" s="165" t="inlineStr">
        <is>
          <t>Unbilled WIP</t>
        </is>
      </c>
      <c r="B31" s="165" t="inlineStr">
        <is>
          <t>$mm</t>
        </is>
      </c>
      <c r="C31" s="242">
        <f>(C5/'Scenario_Drivers'!C36)*'Scenario_Drivers'!C11</f>
        <v/>
      </c>
      <c r="D31" s="242">
        <f>(D5/'Scenario_Drivers'!D36)*'Scenario_Drivers'!D11</f>
        <v/>
      </c>
      <c r="E31" s="242">
        <f>(E5/'Scenario_Drivers'!E36)*'Scenario_Drivers'!E11</f>
        <v/>
      </c>
      <c r="F31" s="242">
        <f>(F5/'Scenario_Drivers'!F36)*'Scenario_Drivers'!F11</f>
        <v/>
      </c>
      <c r="G31" s="242">
        <f>(G5/'Scenario_Drivers'!G36)*'Scenario_Drivers'!G11</f>
        <v/>
      </c>
      <c r="H31" s="242">
        <f>(H5/'Scenario_Drivers'!H36)*'Scenario_Drivers'!H11</f>
        <v/>
      </c>
      <c r="I31" s="242">
        <f>(I5/'Scenario_Drivers'!I36)*'Scenario_Drivers'!I11</f>
        <v/>
      </c>
      <c r="J31" s="242">
        <f>(J5/'Scenario_Drivers'!J36)*'Scenario_Drivers'!J11</f>
        <v/>
      </c>
      <c r="K31" s="242">
        <f>(K5/'Scenario_Drivers'!K36)*'Scenario_Drivers'!K11</f>
        <v/>
      </c>
      <c r="L31" s="242">
        <f>(L5/'Scenario_Drivers'!L36)*'Scenario_Drivers'!L11</f>
        <v/>
      </c>
      <c r="M31" s="242">
        <f>(M5/'Scenario_Drivers'!M36)*'Scenario_Drivers'!M11</f>
        <v/>
      </c>
      <c r="N31" s="242">
        <f>(N5/'Scenario_Drivers'!N36)*'Scenario_Drivers'!N11</f>
        <v/>
      </c>
      <c r="O31" s="242">
        <f>(O5/'Scenario_Drivers'!O36)*'Scenario_Drivers'!O11</f>
        <v/>
      </c>
      <c r="P31" s="242">
        <f>(P5/'Scenario_Drivers'!P36)*'Scenario_Drivers'!P11</f>
        <v/>
      </c>
      <c r="Q31" s="242">
        <f>(Q5/'Scenario_Drivers'!Q36)*'Scenario_Drivers'!Q11</f>
        <v/>
      </c>
      <c r="R31" s="242">
        <f>(R5/'Scenario_Drivers'!R36)*'Scenario_Drivers'!R11</f>
        <v/>
      </c>
      <c r="S31" s="242">
        <f>(S5/'Scenario_Drivers'!S36)*'Scenario_Drivers'!S11</f>
        <v/>
      </c>
      <c r="T31" s="242">
        <f>(T5/'Scenario_Drivers'!T36)*'Scenario_Drivers'!T11</f>
        <v/>
      </c>
      <c r="U31" s="242">
        <f>(U5/'Scenario_Drivers'!U36)*'Scenario_Drivers'!U11</f>
        <v/>
      </c>
      <c r="V31" s="242">
        <f>(V5/'Scenario_Drivers'!V36)*'Scenario_Drivers'!V11</f>
        <v/>
      </c>
    </row>
    <row r="32">
      <c r="A32" s="165" t="inlineStr">
        <is>
          <t>Prepaids</t>
        </is>
      </c>
      <c r="B32" s="165" t="inlineStr">
        <is>
          <t>$mm</t>
        </is>
      </c>
      <c r="C32" s="242">
        <f>(C5/'Scenario_Drivers'!C36)*'Scenario_Drivers'!C12</f>
        <v/>
      </c>
      <c r="D32" s="242">
        <f>(D5/'Scenario_Drivers'!D36)*'Scenario_Drivers'!D12</f>
        <v/>
      </c>
      <c r="E32" s="242">
        <f>(E5/'Scenario_Drivers'!E36)*'Scenario_Drivers'!E12</f>
        <v/>
      </c>
      <c r="F32" s="242">
        <f>(F5/'Scenario_Drivers'!F36)*'Scenario_Drivers'!F12</f>
        <v/>
      </c>
      <c r="G32" s="242">
        <f>(G5/'Scenario_Drivers'!G36)*'Scenario_Drivers'!G12</f>
        <v/>
      </c>
      <c r="H32" s="242">
        <f>(H5/'Scenario_Drivers'!H36)*'Scenario_Drivers'!H12</f>
        <v/>
      </c>
      <c r="I32" s="242">
        <f>(I5/'Scenario_Drivers'!I36)*'Scenario_Drivers'!I12</f>
        <v/>
      </c>
      <c r="J32" s="242">
        <f>(J5/'Scenario_Drivers'!J36)*'Scenario_Drivers'!J12</f>
        <v/>
      </c>
      <c r="K32" s="242">
        <f>(K5/'Scenario_Drivers'!K36)*'Scenario_Drivers'!K12</f>
        <v/>
      </c>
      <c r="L32" s="242">
        <f>(L5/'Scenario_Drivers'!L36)*'Scenario_Drivers'!L12</f>
        <v/>
      </c>
      <c r="M32" s="242">
        <f>(M5/'Scenario_Drivers'!M36)*'Scenario_Drivers'!M12</f>
        <v/>
      </c>
      <c r="N32" s="242">
        <f>(N5/'Scenario_Drivers'!N36)*'Scenario_Drivers'!N12</f>
        <v/>
      </c>
      <c r="O32" s="242">
        <f>(O5/'Scenario_Drivers'!O36)*'Scenario_Drivers'!O12</f>
        <v/>
      </c>
      <c r="P32" s="242">
        <f>(P5/'Scenario_Drivers'!P36)*'Scenario_Drivers'!P12</f>
        <v/>
      </c>
      <c r="Q32" s="242">
        <f>(Q5/'Scenario_Drivers'!Q36)*'Scenario_Drivers'!Q12</f>
        <v/>
      </c>
      <c r="R32" s="242">
        <f>(R5/'Scenario_Drivers'!R36)*'Scenario_Drivers'!R12</f>
        <v/>
      </c>
      <c r="S32" s="242">
        <f>(S5/'Scenario_Drivers'!S36)*'Scenario_Drivers'!S12</f>
        <v/>
      </c>
      <c r="T32" s="242">
        <f>(T5/'Scenario_Drivers'!T36)*'Scenario_Drivers'!T12</f>
        <v/>
      </c>
      <c r="U32" s="242">
        <f>(U5/'Scenario_Drivers'!U36)*'Scenario_Drivers'!U12</f>
        <v/>
      </c>
      <c r="V32" s="242">
        <f>(V5/'Scenario_Drivers'!V36)*'Scenario_Drivers'!V12</f>
        <v/>
      </c>
    </row>
    <row r="33">
      <c r="A33" s="165" t="inlineStr">
        <is>
          <t>Accounts payable</t>
        </is>
      </c>
      <c r="B33" s="165" t="inlineStr">
        <is>
          <t>$mm</t>
        </is>
      </c>
      <c r="C33" s="242">
        <f>(C5/'Scenario_Drivers'!C36)*'Scenario_Drivers'!C13</f>
        <v/>
      </c>
      <c r="D33" s="242">
        <f>(D5/'Scenario_Drivers'!D36)*'Scenario_Drivers'!D13</f>
        <v/>
      </c>
      <c r="E33" s="242">
        <f>(E5/'Scenario_Drivers'!E36)*'Scenario_Drivers'!E13</f>
        <v/>
      </c>
      <c r="F33" s="242">
        <f>(F5/'Scenario_Drivers'!F36)*'Scenario_Drivers'!F13</f>
        <v/>
      </c>
      <c r="G33" s="242">
        <f>(G5/'Scenario_Drivers'!G36)*'Scenario_Drivers'!G13</f>
        <v/>
      </c>
      <c r="H33" s="242">
        <f>(H5/'Scenario_Drivers'!H36)*'Scenario_Drivers'!H13</f>
        <v/>
      </c>
      <c r="I33" s="242">
        <f>(I5/'Scenario_Drivers'!I36)*'Scenario_Drivers'!I13</f>
        <v/>
      </c>
      <c r="J33" s="242">
        <f>(J5/'Scenario_Drivers'!J36)*'Scenario_Drivers'!J13</f>
        <v/>
      </c>
      <c r="K33" s="242">
        <f>(K5/'Scenario_Drivers'!K36)*'Scenario_Drivers'!K13</f>
        <v/>
      </c>
      <c r="L33" s="242">
        <f>(L5/'Scenario_Drivers'!L36)*'Scenario_Drivers'!L13</f>
        <v/>
      </c>
      <c r="M33" s="242">
        <f>(M5/'Scenario_Drivers'!M36)*'Scenario_Drivers'!M13</f>
        <v/>
      </c>
      <c r="N33" s="242">
        <f>(N5/'Scenario_Drivers'!N36)*'Scenario_Drivers'!N13</f>
        <v/>
      </c>
      <c r="O33" s="242">
        <f>(O5/'Scenario_Drivers'!O36)*'Scenario_Drivers'!O13</f>
        <v/>
      </c>
      <c r="P33" s="242">
        <f>(P5/'Scenario_Drivers'!P36)*'Scenario_Drivers'!P13</f>
        <v/>
      </c>
      <c r="Q33" s="242">
        <f>(Q5/'Scenario_Drivers'!Q36)*'Scenario_Drivers'!Q13</f>
        <v/>
      </c>
      <c r="R33" s="242">
        <f>(R5/'Scenario_Drivers'!R36)*'Scenario_Drivers'!R13</f>
        <v/>
      </c>
      <c r="S33" s="242">
        <f>(S5/'Scenario_Drivers'!S36)*'Scenario_Drivers'!S13</f>
        <v/>
      </c>
      <c r="T33" s="242">
        <f>(T5/'Scenario_Drivers'!T36)*'Scenario_Drivers'!T13</f>
        <v/>
      </c>
      <c r="U33" s="242">
        <f>(U5/'Scenario_Drivers'!U36)*'Scenario_Drivers'!U13</f>
        <v/>
      </c>
      <c r="V33" s="242">
        <f>(V5/'Scenario_Drivers'!V36)*'Scenario_Drivers'!V13</f>
        <v/>
      </c>
    </row>
    <row r="34">
      <c r="A34" s="165" t="inlineStr">
        <is>
          <t>Accrued liabilities</t>
        </is>
      </c>
      <c r="B34" s="165" t="inlineStr">
        <is>
          <t>$mm</t>
        </is>
      </c>
      <c r="C34" s="242">
        <f>(C5/'Scenario_Drivers'!C36)*'Scenario_Drivers'!C14</f>
        <v/>
      </c>
      <c r="D34" s="242">
        <f>(D5/'Scenario_Drivers'!D36)*'Scenario_Drivers'!D14</f>
        <v/>
      </c>
      <c r="E34" s="242">
        <f>(E5/'Scenario_Drivers'!E36)*'Scenario_Drivers'!E14</f>
        <v/>
      </c>
      <c r="F34" s="242">
        <f>(F5/'Scenario_Drivers'!F36)*'Scenario_Drivers'!F14</f>
        <v/>
      </c>
      <c r="G34" s="242">
        <f>(G5/'Scenario_Drivers'!G36)*'Scenario_Drivers'!G14</f>
        <v/>
      </c>
      <c r="H34" s="242">
        <f>(H5/'Scenario_Drivers'!H36)*'Scenario_Drivers'!H14</f>
        <v/>
      </c>
      <c r="I34" s="242">
        <f>(I5/'Scenario_Drivers'!I36)*'Scenario_Drivers'!I14</f>
        <v/>
      </c>
      <c r="J34" s="242">
        <f>(J5/'Scenario_Drivers'!J36)*'Scenario_Drivers'!J14</f>
        <v/>
      </c>
      <c r="K34" s="242">
        <f>(K5/'Scenario_Drivers'!K36)*'Scenario_Drivers'!K14</f>
        <v/>
      </c>
      <c r="L34" s="242">
        <f>(L5/'Scenario_Drivers'!L36)*'Scenario_Drivers'!L14</f>
        <v/>
      </c>
      <c r="M34" s="242">
        <f>(M5/'Scenario_Drivers'!M36)*'Scenario_Drivers'!M14</f>
        <v/>
      </c>
      <c r="N34" s="242">
        <f>(N5/'Scenario_Drivers'!N36)*'Scenario_Drivers'!N14</f>
        <v/>
      </c>
      <c r="O34" s="242">
        <f>(O5/'Scenario_Drivers'!O36)*'Scenario_Drivers'!O14</f>
        <v/>
      </c>
      <c r="P34" s="242">
        <f>(P5/'Scenario_Drivers'!P36)*'Scenario_Drivers'!P14</f>
        <v/>
      </c>
      <c r="Q34" s="242">
        <f>(Q5/'Scenario_Drivers'!Q36)*'Scenario_Drivers'!Q14</f>
        <v/>
      </c>
      <c r="R34" s="242">
        <f>(R5/'Scenario_Drivers'!R36)*'Scenario_Drivers'!R14</f>
        <v/>
      </c>
      <c r="S34" s="242">
        <f>(S5/'Scenario_Drivers'!S36)*'Scenario_Drivers'!S14</f>
        <v/>
      </c>
      <c r="T34" s="242">
        <f>(T5/'Scenario_Drivers'!T36)*'Scenario_Drivers'!T14</f>
        <v/>
      </c>
      <c r="U34" s="242">
        <f>(U5/'Scenario_Drivers'!U36)*'Scenario_Drivers'!U14</f>
        <v/>
      </c>
      <c r="V34" s="242">
        <f>(V5/'Scenario_Drivers'!V36)*'Scenario_Drivers'!V14</f>
        <v/>
      </c>
    </row>
    <row r="35">
      <c r="A35" s="165" t="inlineStr">
        <is>
          <t>Deferred revenue</t>
        </is>
      </c>
      <c r="B35" s="165" t="inlineStr">
        <is>
          <t>$mm</t>
        </is>
      </c>
      <c r="C35" s="242">
        <f>(C5/'Scenario_Drivers'!C36)*'Scenario_Drivers'!C15</f>
        <v/>
      </c>
      <c r="D35" s="242">
        <f>(D5/'Scenario_Drivers'!D36)*'Scenario_Drivers'!D15</f>
        <v/>
      </c>
      <c r="E35" s="242">
        <f>(E5/'Scenario_Drivers'!E36)*'Scenario_Drivers'!E15</f>
        <v/>
      </c>
      <c r="F35" s="242">
        <f>(F5/'Scenario_Drivers'!F36)*'Scenario_Drivers'!F15</f>
        <v/>
      </c>
      <c r="G35" s="242">
        <f>(G5/'Scenario_Drivers'!G36)*'Scenario_Drivers'!G15</f>
        <v/>
      </c>
      <c r="H35" s="242">
        <f>(H5/'Scenario_Drivers'!H36)*'Scenario_Drivers'!H15</f>
        <v/>
      </c>
      <c r="I35" s="242">
        <f>(I5/'Scenario_Drivers'!I36)*'Scenario_Drivers'!I15</f>
        <v/>
      </c>
      <c r="J35" s="242">
        <f>(J5/'Scenario_Drivers'!J36)*'Scenario_Drivers'!J15</f>
        <v/>
      </c>
      <c r="K35" s="242">
        <f>(K5/'Scenario_Drivers'!K36)*'Scenario_Drivers'!K15</f>
        <v/>
      </c>
      <c r="L35" s="242">
        <f>(L5/'Scenario_Drivers'!L36)*'Scenario_Drivers'!L15</f>
        <v/>
      </c>
      <c r="M35" s="242">
        <f>(M5/'Scenario_Drivers'!M36)*'Scenario_Drivers'!M15</f>
        <v/>
      </c>
      <c r="N35" s="242">
        <f>(N5/'Scenario_Drivers'!N36)*'Scenario_Drivers'!N15</f>
        <v/>
      </c>
      <c r="O35" s="242">
        <f>(O5/'Scenario_Drivers'!O36)*'Scenario_Drivers'!O15</f>
        <v/>
      </c>
      <c r="P35" s="242">
        <f>(P5/'Scenario_Drivers'!P36)*'Scenario_Drivers'!P15</f>
        <v/>
      </c>
      <c r="Q35" s="242">
        <f>(Q5/'Scenario_Drivers'!Q36)*'Scenario_Drivers'!Q15</f>
        <v/>
      </c>
      <c r="R35" s="242">
        <f>(R5/'Scenario_Drivers'!R36)*'Scenario_Drivers'!R15</f>
        <v/>
      </c>
      <c r="S35" s="242">
        <f>(S5/'Scenario_Drivers'!S36)*'Scenario_Drivers'!S15</f>
        <v/>
      </c>
      <c r="T35" s="242">
        <f>(T5/'Scenario_Drivers'!T36)*'Scenario_Drivers'!T15</f>
        <v/>
      </c>
      <c r="U35" s="242">
        <f>(U5/'Scenario_Drivers'!U36)*'Scenario_Drivers'!U15</f>
        <v/>
      </c>
      <c r="V35" s="242">
        <f>(V5/'Scenario_Drivers'!V36)*'Scenario_Drivers'!V15</f>
        <v/>
      </c>
    </row>
    <row r="36">
      <c r="A36" s="165" t="inlineStr">
        <is>
          <t>Operating NWC</t>
        </is>
      </c>
      <c r="B36" s="165" t="inlineStr">
        <is>
          <t>$mm</t>
        </is>
      </c>
      <c r="C36" s="242">
        <f>C30+C31+C32-C33-C34-C35</f>
        <v/>
      </c>
      <c r="D36" s="242">
        <f>D30+D31+D32-D33-D34-D35</f>
        <v/>
      </c>
      <c r="E36" s="242">
        <f>E30+E31+E32-E33-E34-E35</f>
        <v/>
      </c>
      <c r="F36" s="242">
        <f>F30+F31+F32-F33-F34-F35</f>
        <v/>
      </c>
      <c r="G36" s="242">
        <f>G30+G31+G32-G33-G34-G35</f>
        <v/>
      </c>
      <c r="H36" s="242">
        <f>H30+H31+H32-H33-H34-H35</f>
        <v/>
      </c>
      <c r="I36" s="242">
        <f>I30+I31+I32-I33-I34-I35</f>
        <v/>
      </c>
      <c r="J36" s="242">
        <f>J30+J31+J32-J33-J34-J35</f>
        <v/>
      </c>
      <c r="K36" s="242">
        <f>K30+K31+K32-K33-K34-K35</f>
        <v/>
      </c>
      <c r="L36" s="242">
        <f>L30+L31+L32-L33-L34-L35</f>
        <v/>
      </c>
      <c r="M36" s="242">
        <f>M30+M31+M32-M33-M34-M35</f>
        <v/>
      </c>
      <c r="N36" s="242">
        <f>N30+N31+N32-N33-N34-N35</f>
        <v/>
      </c>
      <c r="O36" s="242">
        <f>O30+O31+O32-O33-O34-O35</f>
        <v/>
      </c>
      <c r="P36" s="242">
        <f>P30+P31+P32-P33-P34-P35</f>
        <v/>
      </c>
      <c r="Q36" s="242">
        <f>Q30+Q31+Q32-Q33-Q34-Q35</f>
        <v/>
      </c>
      <c r="R36" s="242">
        <f>R30+R31+R32-R33-R34-R35</f>
        <v/>
      </c>
      <c r="S36" s="242">
        <f>S30+S31+S32-S33-S34-S35</f>
        <v/>
      </c>
      <c r="T36" s="242">
        <f>T30+T31+T32-T33-T34-T35</f>
        <v/>
      </c>
      <c r="U36" s="242">
        <f>U30+U31+U32-U33-U34-U35</f>
        <v/>
      </c>
      <c r="V36" s="242">
        <f>V30+V31+V32-V33-V34-V35</f>
        <v/>
      </c>
    </row>
    <row r="37">
      <c r="A37" s="165" t="inlineStr">
        <is>
          <t>Acquired NWC</t>
        </is>
      </c>
      <c r="B37" s="165" t="inlineStr">
        <is>
          <t>$mm</t>
        </is>
      </c>
      <c r="C37" s="239">
        <f>'Scenario_Drivers'!C17</f>
        <v/>
      </c>
      <c r="D37" s="239">
        <f>'Scenario_Drivers'!D17</f>
        <v/>
      </c>
      <c r="E37" s="239">
        <f>'Scenario_Drivers'!E17</f>
        <v/>
      </c>
      <c r="F37" s="239">
        <f>'Scenario_Drivers'!F17</f>
        <v/>
      </c>
      <c r="G37" s="239">
        <f>'Scenario_Drivers'!G17</f>
        <v/>
      </c>
      <c r="H37" s="239">
        <f>'Scenario_Drivers'!H17</f>
        <v/>
      </c>
      <c r="I37" s="239">
        <f>'Scenario_Drivers'!I17</f>
        <v/>
      </c>
      <c r="J37" s="239">
        <f>'Scenario_Drivers'!J17</f>
        <v/>
      </c>
      <c r="K37" s="239">
        <f>'Scenario_Drivers'!K17</f>
        <v/>
      </c>
      <c r="L37" s="239">
        <f>'Scenario_Drivers'!L17</f>
        <v/>
      </c>
      <c r="M37" s="239">
        <f>'Scenario_Drivers'!M17</f>
        <v/>
      </c>
      <c r="N37" s="239">
        <f>'Scenario_Drivers'!N17</f>
        <v/>
      </c>
      <c r="O37" s="239">
        <f>'Scenario_Drivers'!O17</f>
        <v/>
      </c>
      <c r="P37" s="239">
        <f>'Scenario_Drivers'!P17</f>
        <v/>
      </c>
      <c r="Q37" s="239">
        <f>'Scenario_Drivers'!Q17</f>
        <v/>
      </c>
      <c r="R37" s="239">
        <f>'Scenario_Drivers'!R17</f>
        <v/>
      </c>
      <c r="S37" s="239">
        <f>'Scenario_Drivers'!S17</f>
        <v/>
      </c>
      <c r="T37" s="239">
        <f>'Scenario_Drivers'!T17</f>
        <v/>
      </c>
      <c r="U37" s="239">
        <f>'Scenario_Drivers'!U17</f>
        <v/>
      </c>
      <c r="V37" s="239">
        <f>'Scenario_Drivers'!V17</f>
        <v/>
      </c>
    </row>
    <row r="38">
      <c r="A38" s="165" t="inlineStr">
        <is>
          <t>Organic change in NWC</t>
        </is>
      </c>
      <c r="B38" s="165" t="inlineStr">
        <is>
          <t>$mm</t>
        </is>
      </c>
      <c r="C38" s="242">
        <f>C36-('S&amp;U_Opening'!$B$16+'S&amp;U_Opening'!$B$17+'S&amp;U_Opening'!$B$18-'S&amp;U_Opening'!$E$15-'S&amp;U_Opening'!$E$16-'S&amp;U_Opening'!$E$17)-C37</f>
        <v/>
      </c>
      <c r="D38" s="242">
        <f>D36-(C36)-D37</f>
        <v/>
      </c>
      <c r="E38" s="242">
        <f>E36-(D36)-E37</f>
        <v/>
      </c>
      <c r="F38" s="242">
        <f>F36-(E36)-F37</f>
        <v/>
      </c>
      <c r="G38" s="242">
        <f>G36-(F36)-G37</f>
        <v/>
      </c>
      <c r="H38" s="242">
        <f>H36-(G36)-H37</f>
        <v/>
      </c>
      <c r="I38" s="242">
        <f>I36-(H36)-I37</f>
        <v/>
      </c>
      <c r="J38" s="242">
        <f>J36-(I36)-J37</f>
        <v/>
      </c>
      <c r="K38" s="242">
        <f>K36-(J36)-K37</f>
        <v/>
      </c>
      <c r="L38" s="242">
        <f>L36-(K36)-L37</f>
        <v/>
      </c>
      <c r="M38" s="242">
        <f>M36-(L36)-M37</f>
        <v/>
      </c>
      <c r="N38" s="242">
        <f>N36-(M36)-N37</f>
        <v/>
      </c>
      <c r="O38" s="242">
        <f>O36-(N36)-O37</f>
        <v/>
      </c>
      <c r="P38" s="242">
        <f>P36-(O36)-P37</f>
        <v/>
      </c>
      <c r="Q38" s="242">
        <f>Q36-(P36)-Q37</f>
        <v/>
      </c>
      <c r="R38" s="242">
        <f>R36-(Q36)-R37</f>
        <v/>
      </c>
      <c r="S38" s="242">
        <f>S36-(R36)-S37</f>
        <v/>
      </c>
      <c r="T38" s="242">
        <f>T36-(S36)-T37</f>
        <v/>
      </c>
      <c r="U38" s="242">
        <f>U36-(T36)-U37</f>
        <v/>
      </c>
      <c r="V38" s="242">
        <f>V36-(U36)-V37</f>
        <v/>
      </c>
    </row>
    <row r="39">
      <c r="A39" s="165" t="inlineStr">
        <is>
          <t>Maintenance capex</t>
        </is>
      </c>
      <c r="B39" s="165" t="inlineStr">
        <is>
          <t>$mm</t>
        </is>
      </c>
      <c r="C39" s="242">
        <f>C5*'Scenario_Drivers'!C16*Inputs!$B$18</f>
        <v/>
      </c>
      <c r="D39" s="242">
        <f>D5*'Scenario_Drivers'!D16*Inputs!$B$18</f>
        <v/>
      </c>
      <c r="E39" s="242">
        <f>E5*'Scenario_Drivers'!E16*Inputs!$B$18</f>
        <v/>
      </c>
      <c r="F39" s="242">
        <f>F5*'Scenario_Drivers'!F16*Inputs!$B$18</f>
        <v/>
      </c>
      <c r="G39" s="242">
        <f>G5*'Scenario_Drivers'!G16*Inputs!$B$18</f>
        <v/>
      </c>
      <c r="H39" s="242">
        <f>H5*'Scenario_Drivers'!H16*Inputs!$B$18</f>
        <v/>
      </c>
      <c r="I39" s="242">
        <f>I5*'Scenario_Drivers'!I16*Inputs!$B$18</f>
        <v/>
      </c>
      <c r="J39" s="242">
        <f>J5*'Scenario_Drivers'!J16*Inputs!$B$18</f>
        <v/>
      </c>
      <c r="K39" s="242">
        <f>K5*'Scenario_Drivers'!K16*Inputs!$B$18</f>
        <v/>
      </c>
      <c r="L39" s="242">
        <f>L5*'Scenario_Drivers'!L16*Inputs!$B$18</f>
        <v/>
      </c>
      <c r="M39" s="242">
        <f>M5*'Scenario_Drivers'!M16*Inputs!$B$18</f>
        <v/>
      </c>
      <c r="N39" s="242">
        <f>N5*'Scenario_Drivers'!N16*Inputs!$B$18</f>
        <v/>
      </c>
      <c r="O39" s="242">
        <f>O5*'Scenario_Drivers'!O16*Inputs!$B$18</f>
        <v/>
      </c>
      <c r="P39" s="242">
        <f>P5*'Scenario_Drivers'!P16*Inputs!$B$18</f>
        <v/>
      </c>
      <c r="Q39" s="242">
        <f>Q5*'Scenario_Drivers'!Q16*Inputs!$B$18</f>
        <v/>
      </c>
      <c r="R39" s="242">
        <f>R5*'Scenario_Drivers'!R16*Inputs!$B$18</f>
        <v/>
      </c>
      <c r="S39" s="242">
        <f>S5*'Scenario_Drivers'!S16*Inputs!$B$18</f>
        <v/>
      </c>
      <c r="T39" s="242">
        <f>T5*'Scenario_Drivers'!T16*Inputs!$B$18</f>
        <v/>
      </c>
      <c r="U39" s="242">
        <f>U5*'Scenario_Drivers'!U16*Inputs!$B$18</f>
        <v/>
      </c>
      <c r="V39" s="242">
        <f>V5*'Scenario_Drivers'!V16*Inputs!$B$18</f>
        <v/>
      </c>
    </row>
    <row r="40">
      <c r="A40" s="165" t="inlineStr">
        <is>
          <t>Growth capex</t>
        </is>
      </c>
      <c r="B40" s="165" t="inlineStr">
        <is>
          <t>$mm</t>
        </is>
      </c>
      <c r="C40" s="242">
        <f>C5*'Scenario_Drivers'!C16*(1-Inputs!$B$18)</f>
        <v/>
      </c>
      <c r="D40" s="242">
        <f>D5*'Scenario_Drivers'!D16*(1-Inputs!$B$18)</f>
        <v/>
      </c>
      <c r="E40" s="242">
        <f>E5*'Scenario_Drivers'!E16*(1-Inputs!$B$18)</f>
        <v/>
      </c>
      <c r="F40" s="242">
        <f>F5*'Scenario_Drivers'!F16*(1-Inputs!$B$18)</f>
        <v/>
      </c>
      <c r="G40" s="242">
        <f>G5*'Scenario_Drivers'!G16*(1-Inputs!$B$18)</f>
        <v/>
      </c>
      <c r="H40" s="242">
        <f>H5*'Scenario_Drivers'!H16*(1-Inputs!$B$18)</f>
        <v/>
      </c>
      <c r="I40" s="242">
        <f>I5*'Scenario_Drivers'!I16*(1-Inputs!$B$18)</f>
        <v/>
      </c>
      <c r="J40" s="242">
        <f>J5*'Scenario_Drivers'!J16*(1-Inputs!$B$18)</f>
        <v/>
      </c>
      <c r="K40" s="242">
        <f>K5*'Scenario_Drivers'!K16*(1-Inputs!$B$18)</f>
        <v/>
      </c>
      <c r="L40" s="242">
        <f>L5*'Scenario_Drivers'!L16*(1-Inputs!$B$18)</f>
        <v/>
      </c>
      <c r="M40" s="242">
        <f>M5*'Scenario_Drivers'!M16*(1-Inputs!$B$18)</f>
        <v/>
      </c>
      <c r="N40" s="242">
        <f>N5*'Scenario_Drivers'!N16*(1-Inputs!$B$18)</f>
        <v/>
      </c>
      <c r="O40" s="242">
        <f>O5*'Scenario_Drivers'!O16*(1-Inputs!$B$18)</f>
        <v/>
      </c>
      <c r="P40" s="242">
        <f>P5*'Scenario_Drivers'!P16*(1-Inputs!$B$18)</f>
        <v/>
      </c>
      <c r="Q40" s="242">
        <f>Q5*'Scenario_Drivers'!Q16*(1-Inputs!$B$18)</f>
        <v/>
      </c>
      <c r="R40" s="242">
        <f>R5*'Scenario_Drivers'!R16*(1-Inputs!$B$18)</f>
        <v/>
      </c>
      <c r="S40" s="242">
        <f>S5*'Scenario_Drivers'!S16*(1-Inputs!$B$18)</f>
        <v/>
      </c>
      <c r="T40" s="242">
        <f>T5*'Scenario_Drivers'!T16*(1-Inputs!$B$18)</f>
        <v/>
      </c>
      <c r="U40" s="242">
        <f>U5*'Scenario_Drivers'!U16*(1-Inputs!$B$18)</f>
        <v/>
      </c>
      <c r="V40" s="242">
        <f>V5*'Scenario_Drivers'!V16*(1-Inputs!$B$18)</f>
        <v/>
      </c>
    </row>
    <row r="41">
      <c r="A41" s="165" t="inlineStr">
        <is>
          <t>Total capex</t>
        </is>
      </c>
      <c r="B41" s="165" t="inlineStr">
        <is>
          <t>$mm</t>
        </is>
      </c>
      <c r="C41" s="242">
        <f>SUM(C39:C40)</f>
        <v/>
      </c>
      <c r="D41" s="242">
        <f>SUM(D39:D40)</f>
        <v/>
      </c>
      <c r="E41" s="242">
        <f>SUM(E39:E40)</f>
        <v/>
      </c>
      <c r="F41" s="242">
        <f>SUM(F39:F40)</f>
        <v/>
      </c>
      <c r="G41" s="242">
        <f>SUM(G39:G40)</f>
        <v/>
      </c>
      <c r="H41" s="242">
        <f>SUM(H39:H40)</f>
        <v/>
      </c>
      <c r="I41" s="242">
        <f>SUM(I39:I40)</f>
        <v/>
      </c>
      <c r="J41" s="242">
        <f>SUM(J39:J40)</f>
        <v/>
      </c>
      <c r="K41" s="242">
        <f>SUM(K39:K40)</f>
        <v/>
      </c>
      <c r="L41" s="242">
        <f>SUM(L39:L40)</f>
        <v/>
      </c>
      <c r="M41" s="242">
        <f>SUM(M39:M40)</f>
        <v/>
      </c>
      <c r="N41" s="242">
        <f>SUM(N39:N40)</f>
        <v/>
      </c>
      <c r="O41" s="242">
        <f>SUM(O39:O40)</f>
        <v/>
      </c>
      <c r="P41" s="242">
        <f>SUM(P39:P40)</f>
        <v/>
      </c>
      <c r="Q41" s="242">
        <f>SUM(Q39:Q40)</f>
        <v/>
      </c>
      <c r="R41" s="242">
        <f>SUM(R39:R40)</f>
        <v/>
      </c>
      <c r="S41" s="242">
        <f>SUM(S39:S40)</f>
        <v/>
      </c>
      <c r="T41" s="242">
        <f>SUM(T39:T40)</f>
        <v/>
      </c>
      <c r="U41" s="242">
        <f>SUM(U39:U40)</f>
        <v/>
      </c>
      <c r="V41" s="242">
        <f>SUM(V39:V40)</f>
        <v/>
      </c>
    </row>
    <row r="42">
      <c r="A42" s="165" t="inlineStr">
        <is>
          <t>Acquired PP&amp;E</t>
        </is>
      </c>
      <c r="B42" s="165" t="inlineStr">
        <is>
          <t>$mm</t>
        </is>
      </c>
      <c r="C42" s="239">
        <f>'Scenario_Drivers'!C18</f>
        <v/>
      </c>
      <c r="D42" s="239">
        <f>'Scenario_Drivers'!D18</f>
        <v/>
      </c>
      <c r="E42" s="239">
        <f>'Scenario_Drivers'!E18</f>
        <v/>
      </c>
      <c r="F42" s="239">
        <f>'Scenario_Drivers'!F18</f>
        <v/>
      </c>
      <c r="G42" s="239">
        <f>'Scenario_Drivers'!G18</f>
        <v/>
      </c>
      <c r="H42" s="239">
        <f>'Scenario_Drivers'!H18</f>
        <v/>
      </c>
      <c r="I42" s="239">
        <f>'Scenario_Drivers'!I18</f>
        <v/>
      </c>
      <c r="J42" s="239">
        <f>'Scenario_Drivers'!J18</f>
        <v/>
      </c>
      <c r="K42" s="239">
        <f>'Scenario_Drivers'!K18</f>
        <v/>
      </c>
      <c r="L42" s="239">
        <f>'Scenario_Drivers'!L18</f>
        <v/>
      </c>
      <c r="M42" s="239">
        <f>'Scenario_Drivers'!M18</f>
        <v/>
      </c>
      <c r="N42" s="239">
        <f>'Scenario_Drivers'!N18</f>
        <v/>
      </c>
      <c r="O42" s="239">
        <f>'Scenario_Drivers'!O18</f>
        <v/>
      </c>
      <c r="P42" s="239">
        <f>'Scenario_Drivers'!P18</f>
        <v/>
      </c>
      <c r="Q42" s="239">
        <f>'Scenario_Drivers'!Q18</f>
        <v/>
      </c>
      <c r="R42" s="239">
        <f>'Scenario_Drivers'!R18</f>
        <v/>
      </c>
      <c r="S42" s="239">
        <f>'Scenario_Drivers'!S18</f>
        <v/>
      </c>
      <c r="T42" s="239">
        <f>'Scenario_Drivers'!T18</f>
        <v/>
      </c>
      <c r="U42" s="239">
        <f>'Scenario_Drivers'!U18</f>
        <v/>
      </c>
      <c r="V42" s="239">
        <f>'Scenario_Drivers'!V18</f>
        <v/>
      </c>
    </row>
    <row r="43">
      <c r="A43" s="165" t="inlineStr">
        <is>
          <t>Acquisition EV</t>
        </is>
      </c>
      <c r="B43" s="165" t="inlineStr">
        <is>
          <t>$mm</t>
        </is>
      </c>
      <c r="C43" s="239">
        <f>'Scenario_Drivers'!C19</f>
        <v/>
      </c>
      <c r="D43" s="239">
        <f>'Scenario_Drivers'!D19</f>
        <v/>
      </c>
      <c r="E43" s="239">
        <f>'Scenario_Drivers'!E19</f>
        <v/>
      </c>
      <c r="F43" s="239">
        <f>'Scenario_Drivers'!F19</f>
        <v/>
      </c>
      <c r="G43" s="239">
        <f>'Scenario_Drivers'!G19</f>
        <v/>
      </c>
      <c r="H43" s="239">
        <f>'Scenario_Drivers'!H19</f>
        <v/>
      </c>
      <c r="I43" s="239">
        <f>'Scenario_Drivers'!I19</f>
        <v/>
      </c>
      <c r="J43" s="239">
        <f>'Scenario_Drivers'!J19</f>
        <v/>
      </c>
      <c r="K43" s="239">
        <f>'Scenario_Drivers'!K19</f>
        <v/>
      </c>
      <c r="L43" s="239">
        <f>'Scenario_Drivers'!L19</f>
        <v/>
      </c>
      <c r="M43" s="239">
        <f>'Scenario_Drivers'!M19</f>
        <v/>
      </c>
      <c r="N43" s="239">
        <f>'Scenario_Drivers'!N19</f>
        <v/>
      </c>
      <c r="O43" s="239">
        <f>'Scenario_Drivers'!O19</f>
        <v/>
      </c>
      <c r="P43" s="239">
        <f>'Scenario_Drivers'!P19</f>
        <v/>
      </c>
      <c r="Q43" s="239">
        <f>'Scenario_Drivers'!Q19</f>
        <v/>
      </c>
      <c r="R43" s="239">
        <f>'Scenario_Drivers'!R19</f>
        <v/>
      </c>
      <c r="S43" s="239">
        <f>'Scenario_Drivers'!S19</f>
        <v/>
      </c>
      <c r="T43" s="239">
        <f>'Scenario_Drivers'!T19</f>
        <v/>
      </c>
      <c r="U43" s="239">
        <f>'Scenario_Drivers'!U19</f>
        <v/>
      </c>
      <c r="V43" s="239">
        <f>'Scenario_Drivers'!V19</f>
        <v/>
      </c>
    </row>
    <row r="44">
      <c r="A44" s="165" t="inlineStr">
        <is>
          <t>Acquisition fees</t>
        </is>
      </c>
      <c r="B44" s="165" t="inlineStr">
        <is>
          <t>$mm</t>
        </is>
      </c>
      <c r="C44" s="239">
        <f>'Scenario_Drivers'!C20</f>
        <v/>
      </c>
      <c r="D44" s="239">
        <f>'Scenario_Drivers'!D20</f>
        <v/>
      </c>
      <c r="E44" s="239">
        <f>'Scenario_Drivers'!E20</f>
        <v/>
      </c>
      <c r="F44" s="239">
        <f>'Scenario_Drivers'!F20</f>
        <v/>
      </c>
      <c r="G44" s="239">
        <f>'Scenario_Drivers'!G20</f>
        <v/>
      </c>
      <c r="H44" s="239">
        <f>'Scenario_Drivers'!H20</f>
        <v/>
      </c>
      <c r="I44" s="239">
        <f>'Scenario_Drivers'!I20</f>
        <v/>
      </c>
      <c r="J44" s="239">
        <f>'Scenario_Drivers'!J20</f>
        <v/>
      </c>
      <c r="K44" s="239">
        <f>'Scenario_Drivers'!K20</f>
        <v/>
      </c>
      <c r="L44" s="239">
        <f>'Scenario_Drivers'!L20</f>
        <v/>
      </c>
      <c r="M44" s="239">
        <f>'Scenario_Drivers'!M20</f>
        <v/>
      </c>
      <c r="N44" s="239">
        <f>'Scenario_Drivers'!N20</f>
        <v/>
      </c>
      <c r="O44" s="239">
        <f>'Scenario_Drivers'!O20</f>
        <v/>
      </c>
      <c r="P44" s="239">
        <f>'Scenario_Drivers'!P20</f>
        <v/>
      </c>
      <c r="Q44" s="239">
        <f>'Scenario_Drivers'!Q20</f>
        <v/>
      </c>
      <c r="R44" s="239">
        <f>'Scenario_Drivers'!R20</f>
        <v/>
      </c>
      <c r="S44" s="239">
        <f>'Scenario_Drivers'!S20</f>
        <v/>
      </c>
      <c r="T44" s="239">
        <f>'Scenario_Drivers'!T20</f>
        <v/>
      </c>
      <c r="U44" s="239">
        <f>'Scenario_Drivers'!U20</f>
        <v/>
      </c>
      <c r="V44" s="239">
        <f>'Scenario_Drivers'!V20</f>
        <v/>
      </c>
    </row>
    <row r="45">
      <c r="A45" s="165" t="inlineStr">
        <is>
          <t>Capitalized integration spend</t>
        </is>
      </c>
      <c r="B45" s="165" t="inlineStr">
        <is>
          <t>$mm</t>
        </is>
      </c>
      <c r="C45" s="239">
        <f>'Scenario_Drivers'!C27</f>
        <v/>
      </c>
      <c r="D45" s="239">
        <f>'Scenario_Drivers'!D27</f>
        <v/>
      </c>
      <c r="E45" s="239">
        <f>'Scenario_Drivers'!E27</f>
        <v/>
      </c>
      <c r="F45" s="239">
        <f>'Scenario_Drivers'!F27</f>
        <v/>
      </c>
      <c r="G45" s="239">
        <f>'Scenario_Drivers'!G27</f>
        <v/>
      </c>
      <c r="H45" s="239">
        <f>'Scenario_Drivers'!H27</f>
        <v/>
      </c>
      <c r="I45" s="239">
        <f>'Scenario_Drivers'!I27</f>
        <v/>
      </c>
      <c r="J45" s="239">
        <f>'Scenario_Drivers'!J27</f>
        <v/>
      </c>
      <c r="K45" s="239">
        <f>'Scenario_Drivers'!K27</f>
        <v/>
      </c>
      <c r="L45" s="239">
        <f>'Scenario_Drivers'!L27</f>
        <v/>
      </c>
      <c r="M45" s="239">
        <f>'Scenario_Drivers'!M27</f>
        <v/>
      </c>
      <c r="N45" s="239">
        <f>'Scenario_Drivers'!N27</f>
        <v/>
      </c>
      <c r="O45" s="239">
        <f>'Scenario_Drivers'!O27</f>
        <v/>
      </c>
      <c r="P45" s="239">
        <f>'Scenario_Drivers'!P27</f>
        <v/>
      </c>
      <c r="Q45" s="239">
        <f>'Scenario_Drivers'!Q27</f>
        <v/>
      </c>
      <c r="R45" s="239">
        <f>'Scenario_Drivers'!R27</f>
        <v/>
      </c>
      <c r="S45" s="239">
        <f>'Scenario_Drivers'!S27</f>
        <v/>
      </c>
      <c r="T45" s="239">
        <f>'Scenario_Drivers'!T27</f>
        <v/>
      </c>
      <c r="U45" s="239">
        <f>'Scenario_Drivers'!U27</f>
        <v/>
      </c>
      <c r="V45" s="239">
        <f>'Scenario_Drivers'!V27</f>
        <v/>
      </c>
    </row>
    <row r="46">
      <c r="A46" s="39" t="inlineStr">
        <is>
          <t>Cash Flow Statement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</row>
    <row r="47">
      <c r="A47" s="165" t="inlineStr">
        <is>
          <t>Net income - CF</t>
        </is>
      </c>
      <c r="B47" s="165" t="inlineStr">
        <is>
          <t>$mm</t>
        </is>
      </c>
      <c r="C47" s="242">
        <f>C28</f>
        <v/>
      </c>
      <c r="D47" s="242">
        <f>D28</f>
        <v/>
      </c>
      <c r="E47" s="242">
        <f>E28</f>
        <v/>
      </c>
      <c r="F47" s="242">
        <f>F28</f>
        <v/>
      </c>
      <c r="G47" s="242">
        <f>G28</f>
        <v/>
      </c>
      <c r="H47" s="242">
        <f>H28</f>
        <v/>
      </c>
      <c r="I47" s="242">
        <f>I28</f>
        <v/>
      </c>
      <c r="J47" s="242">
        <f>J28</f>
        <v/>
      </c>
      <c r="K47" s="242">
        <f>K28</f>
        <v/>
      </c>
      <c r="L47" s="242">
        <f>L28</f>
        <v/>
      </c>
      <c r="M47" s="242">
        <f>M28</f>
        <v/>
      </c>
      <c r="N47" s="242">
        <f>N28</f>
        <v/>
      </c>
      <c r="O47" s="242">
        <f>O28</f>
        <v/>
      </c>
      <c r="P47" s="242">
        <f>P28</f>
        <v/>
      </c>
      <c r="Q47" s="242">
        <f>Q28</f>
        <v/>
      </c>
      <c r="R47" s="242">
        <f>R28</f>
        <v/>
      </c>
      <c r="S47" s="242">
        <f>S28</f>
        <v/>
      </c>
      <c r="T47" s="242">
        <f>T28</f>
        <v/>
      </c>
      <c r="U47" s="242">
        <f>U28</f>
        <v/>
      </c>
      <c r="V47" s="242">
        <f>V28</f>
        <v/>
      </c>
    </row>
    <row r="48">
      <c r="A48" s="165" t="inlineStr">
        <is>
          <t>Total D&amp;A - CF</t>
        </is>
      </c>
      <c r="B48" s="165" t="inlineStr">
        <is>
          <t>$mm</t>
        </is>
      </c>
      <c r="C48" s="242">
        <f>C20</f>
        <v/>
      </c>
      <c r="D48" s="242">
        <f>D20</f>
        <v/>
      </c>
      <c r="E48" s="242">
        <f>E20</f>
        <v/>
      </c>
      <c r="F48" s="242">
        <f>F20</f>
        <v/>
      </c>
      <c r="G48" s="242">
        <f>G20</f>
        <v/>
      </c>
      <c r="H48" s="242">
        <f>H20</f>
        <v/>
      </c>
      <c r="I48" s="242">
        <f>I20</f>
        <v/>
      </c>
      <c r="J48" s="242">
        <f>J20</f>
        <v/>
      </c>
      <c r="K48" s="242">
        <f>K20</f>
        <v/>
      </c>
      <c r="L48" s="242">
        <f>L20</f>
        <v/>
      </c>
      <c r="M48" s="242">
        <f>M20</f>
        <v/>
      </c>
      <c r="N48" s="242">
        <f>N20</f>
        <v/>
      </c>
      <c r="O48" s="242">
        <f>O20</f>
        <v/>
      </c>
      <c r="P48" s="242">
        <f>P20</f>
        <v/>
      </c>
      <c r="Q48" s="242">
        <f>Q20</f>
        <v/>
      </c>
      <c r="R48" s="242">
        <f>R20</f>
        <v/>
      </c>
      <c r="S48" s="242">
        <f>S20</f>
        <v/>
      </c>
      <c r="T48" s="242">
        <f>T20</f>
        <v/>
      </c>
      <c r="U48" s="242">
        <f>U20</f>
        <v/>
      </c>
      <c r="V48" s="242">
        <f>V20</f>
        <v/>
      </c>
    </row>
    <row r="49">
      <c r="A49" s="165" t="inlineStr">
        <is>
          <t>Financing fee amortization - CF</t>
        </is>
      </c>
      <c r="B49" s="165" t="inlineStr">
        <is>
          <t>$mm</t>
        </is>
      </c>
      <c r="C49" s="242">
        <f>C23</f>
        <v/>
      </c>
      <c r="D49" s="242">
        <f>D23</f>
        <v/>
      </c>
      <c r="E49" s="242">
        <f>E23</f>
        <v/>
      </c>
      <c r="F49" s="242">
        <f>F23</f>
        <v/>
      </c>
      <c r="G49" s="242">
        <f>G23</f>
        <v/>
      </c>
      <c r="H49" s="242">
        <f>H23</f>
        <v/>
      </c>
      <c r="I49" s="242">
        <f>I23</f>
        <v/>
      </c>
      <c r="J49" s="242">
        <f>J23</f>
        <v/>
      </c>
      <c r="K49" s="242">
        <f>K23</f>
        <v/>
      </c>
      <c r="L49" s="242">
        <f>L23</f>
        <v/>
      </c>
      <c r="M49" s="242">
        <f>M23</f>
        <v/>
      </c>
      <c r="N49" s="242">
        <f>N23</f>
        <v/>
      </c>
      <c r="O49" s="242">
        <f>O23</f>
        <v/>
      </c>
      <c r="P49" s="242">
        <f>P23</f>
        <v/>
      </c>
      <c r="Q49" s="242">
        <f>Q23</f>
        <v/>
      </c>
      <c r="R49" s="242">
        <f>R23</f>
        <v/>
      </c>
      <c r="S49" s="242">
        <f>S23</f>
        <v/>
      </c>
      <c r="T49" s="242">
        <f>T23</f>
        <v/>
      </c>
      <c r="U49" s="242">
        <f>U23</f>
        <v/>
      </c>
      <c r="V49" s="242">
        <f>V23</f>
        <v/>
      </c>
    </row>
    <row r="50">
      <c r="A50" s="165" t="inlineStr">
        <is>
          <t>Deferred tax / non-cash tax</t>
        </is>
      </c>
      <c r="B50" s="165" t="inlineStr">
        <is>
          <t>$mm</t>
        </is>
      </c>
      <c r="C50" s="242">
        <f>-C26+C27</f>
        <v/>
      </c>
      <c r="D50" s="242">
        <f>-D26+D27</f>
        <v/>
      </c>
      <c r="E50" s="242">
        <f>-E26+E27</f>
        <v/>
      </c>
      <c r="F50" s="242">
        <f>-F26+F27</f>
        <v/>
      </c>
      <c r="G50" s="242">
        <f>-G26+G27</f>
        <v/>
      </c>
      <c r="H50" s="242">
        <f>-H26+H27</f>
        <v/>
      </c>
      <c r="I50" s="242">
        <f>-I26+I27</f>
        <v/>
      </c>
      <c r="J50" s="242">
        <f>-J26+J27</f>
        <v/>
      </c>
      <c r="K50" s="242">
        <f>-K26+K27</f>
        <v/>
      </c>
      <c r="L50" s="242">
        <f>-L26+L27</f>
        <v/>
      </c>
      <c r="M50" s="242">
        <f>-M26+M27</f>
        <v/>
      </c>
      <c r="N50" s="242">
        <f>-N26+N27</f>
        <v/>
      </c>
      <c r="O50" s="242">
        <f>-O26+O27</f>
        <v/>
      </c>
      <c r="P50" s="242">
        <f>-P26+P27</f>
        <v/>
      </c>
      <c r="Q50" s="242">
        <f>-Q26+Q27</f>
        <v/>
      </c>
      <c r="R50" s="242">
        <f>-R26+R27</f>
        <v/>
      </c>
      <c r="S50" s="242">
        <f>-S26+S27</f>
        <v/>
      </c>
      <c r="T50" s="242">
        <f>-T26+T27</f>
        <v/>
      </c>
      <c r="U50" s="242">
        <f>-U26+U27</f>
        <v/>
      </c>
      <c r="V50" s="242">
        <f>-V26+V27</f>
        <v/>
      </c>
    </row>
    <row r="51">
      <c r="A51" s="165" t="inlineStr">
        <is>
          <t>Change in NWC - CF</t>
        </is>
      </c>
      <c r="B51" s="165" t="inlineStr">
        <is>
          <t>$mm</t>
        </is>
      </c>
      <c r="C51" s="242">
        <f>-C38</f>
        <v/>
      </c>
      <c r="D51" s="242">
        <f>-D38</f>
        <v/>
      </c>
      <c r="E51" s="242">
        <f>-E38</f>
        <v/>
      </c>
      <c r="F51" s="242">
        <f>-F38</f>
        <v/>
      </c>
      <c r="G51" s="242">
        <f>-G38</f>
        <v/>
      </c>
      <c r="H51" s="242">
        <f>-H38</f>
        <v/>
      </c>
      <c r="I51" s="242">
        <f>-I38</f>
        <v/>
      </c>
      <c r="J51" s="242">
        <f>-J38</f>
        <v/>
      </c>
      <c r="K51" s="242">
        <f>-K38</f>
        <v/>
      </c>
      <c r="L51" s="242">
        <f>-L38</f>
        <v/>
      </c>
      <c r="M51" s="242">
        <f>-M38</f>
        <v/>
      </c>
      <c r="N51" s="242">
        <f>-N38</f>
        <v/>
      </c>
      <c r="O51" s="242">
        <f>-O38</f>
        <v/>
      </c>
      <c r="P51" s="242">
        <f>-P38</f>
        <v/>
      </c>
      <c r="Q51" s="242">
        <f>-Q38</f>
        <v/>
      </c>
      <c r="R51" s="242">
        <f>-R38</f>
        <v/>
      </c>
      <c r="S51" s="242">
        <f>-S38</f>
        <v/>
      </c>
      <c r="T51" s="242">
        <f>-T38</f>
        <v/>
      </c>
      <c r="U51" s="242">
        <f>-U38</f>
        <v/>
      </c>
      <c r="V51" s="242">
        <f>-V38</f>
        <v/>
      </c>
    </row>
    <row r="52">
      <c r="A52" s="165" t="inlineStr">
        <is>
          <t>Cash from operations</t>
        </is>
      </c>
      <c r="B52" s="165" t="inlineStr">
        <is>
          <t>$mm</t>
        </is>
      </c>
      <c r="C52" s="242">
        <f>SUM(C47:C51)</f>
        <v/>
      </c>
      <c r="D52" s="242">
        <f>SUM(D47:D51)</f>
        <v/>
      </c>
      <c r="E52" s="242">
        <f>SUM(E47:E51)</f>
        <v/>
      </c>
      <c r="F52" s="242">
        <f>SUM(F47:F51)</f>
        <v/>
      </c>
      <c r="G52" s="242">
        <f>SUM(G47:G51)</f>
        <v/>
      </c>
      <c r="H52" s="242">
        <f>SUM(H47:H51)</f>
        <v/>
      </c>
      <c r="I52" s="242">
        <f>SUM(I47:I51)</f>
        <v/>
      </c>
      <c r="J52" s="242">
        <f>SUM(J47:J51)</f>
        <v/>
      </c>
      <c r="K52" s="242">
        <f>SUM(K47:K51)</f>
        <v/>
      </c>
      <c r="L52" s="242">
        <f>SUM(L47:L51)</f>
        <v/>
      </c>
      <c r="M52" s="242">
        <f>SUM(M47:M51)</f>
        <v/>
      </c>
      <c r="N52" s="242">
        <f>SUM(N47:N51)</f>
        <v/>
      </c>
      <c r="O52" s="242">
        <f>SUM(O47:O51)</f>
        <v/>
      </c>
      <c r="P52" s="242">
        <f>SUM(P47:P51)</f>
        <v/>
      </c>
      <c r="Q52" s="242">
        <f>SUM(Q47:Q51)</f>
        <v/>
      </c>
      <c r="R52" s="242">
        <f>SUM(R47:R51)</f>
        <v/>
      </c>
      <c r="S52" s="242">
        <f>SUM(S47:S51)</f>
        <v/>
      </c>
      <c r="T52" s="242">
        <f>SUM(T47:T51)</f>
        <v/>
      </c>
      <c r="U52" s="242">
        <f>SUM(U47:U51)</f>
        <v/>
      </c>
      <c r="V52" s="242">
        <f>SUM(V47:V51)</f>
        <v/>
      </c>
    </row>
    <row r="53">
      <c r="A53" s="165" t="inlineStr">
        <is>
          <t>Capital expenditure - CF</t>
        </is>
      </c>
      <c r="B53" s="165" t="inlineStr">
        <is>
          <t>$mm</t>
        </is>
      </c>
      <c r="C53" s="242">
        <f>-C41</f>
        <v/>
      </c>
      <c r="D53" s="242">
        <f>-D41</f>
        <v/>
      </c>
      <c r="E53" s="242">
        <f>-E41</f>
        <v/>
      </c>
      <c r="F53" s="242">
        <f>-F41</f>
        <v/>
      </c>
      <c r="G53" s="242">
        <f>-G41</f>
        <v/>
      </c>
      <c r="H53" s="242">
        <f>-H41</f>
        <v/>
      </c>
      <c r="I53" s="242">
        <f>-I41</f>
        <v/>
      </c>
      <c r="J53" s="242">
        <f>-J41</f>
        <v/>
      </c>
      <c r="K53" s="242">
        <f>-K41</f>
        <v/>
      </c>
      <c r="L53" s="242">
        <f>-L41</f>
        <v/>
      </c>
      <c r="M53" s="242">
        <f>-M41</f>
        <v/>
      </c>
      <c r="N53" s="242">
        <f>-N41</f>
        <v/>
      </c>
      <c r="O53" s="242">
        <f>-O41</f>
        <v/>
      </c>
      <c r="P53" s="242">
        <f>-P41</f>
        <v/>
      </c>
      <c r="Q53" s="242">
        <f>-Q41</f>
        <v/>
      </c>
      <c r="R53" s="242">
        <f>-R41</f>
        <v/>
      </c>
      <c r="S53" s="242">
        <f>-S41</f>
        <v/>
      </c>
      <c r="T53" s="242">
        <f>-T41</f>
        <v/>
      </c>
      <c r="U53" s="242">
        <f>-U41</f>
        <v/>
      </c>
      <c r="V53" s="242">
        <f>-V41</f>
        <v/>
      </c>
    </row>
    <row r="54">
      <c r="A54" s="165" t="inlineStr">
        <is>
          <t>Acquisition EV - CF</t>
        </is>
      </c>
      <c r="B54" s="165" t="inlineStr">
        <is>
          <t>$mm</t>
        </is>
      </c>
      <c r="C54" s="242">
        <f>-C43</f>
        <v/>
      </c>
      <c r="D54" s="242">
        <f>-D43</f>
        <v/>
      </c>
      <c r="E54" s="242">
        <f>-E43</f>
        <v/>
      </c>
      <c r="F54" s="242">
        <f>-F43</f>
        <v/>
      </c>
      <c r="G54" s="242">
        <f>-G43</f>
        <v/>
      </c>
      <c r="H54" s="242">
        <f>-H43</f>
        <v/>
      </c>
      <c r="I54" s="242">
        <f>-I43</f>
        <v/>
      </c>
      <c r="J54" s="242">
        <f>-J43</f>
        <v/>
      </c>
      <c r="K54" s="242">
        <f>-K43</f>
        <v/>
      </c>
      <c r="L54" s="242">
        <f>-L43</f>
        <v/>
      </c>
      <c r="M54" s="242">
        <f>-M43</f>
        <v/>
      </c>
      <c r="N54" s="242">
        <f>-N43</f>
        <v/>
      </c>
      <c r="O54" s="242">
        <f>-O43</f>
        <v/>
      </c>
      <c r="P54" s="242">
        <f>-P43</f>
        <v/>
      </c>
      <c r="Q54" s="242">
        <f>-Q43</f>
        <v/>
      </c>
      <c r="R54" s="242">
        <f>-R43</f>
        <v/>
      </c>
      <c r="S54" s="242">
        <f>-S43</f>
        <v/>
      </c>
      <c r="T54" s="242">
        <f>-T43</f>
        <v/>
      </c>
      <c r="U54" s="242">
        <f>-U43</f>
        <v/>
      </c>
      <c r="V54" s="242">
        <f>-V43</f>
        <v/>
      </c>
    </row>
    <row r="55">
      <c r="A55" s="165" t="inlineStr">
        <is>
          <t>Capitalized integration spend - CF</t>
        </is>
      </c>
      <c r="B55" s="165" t="inlineStr">
        <is>
          <t>$mm</t>
        </is>
      </c>
      <c r="C55" s="242">
        <f>-C45</f>
        <v/>
      </c>
      <c r="D55" s="242">
        <f>-D45</f>
        <v/>
      </c>
      <c r="E55" s="242">
        <f>-E45</f>
        <v/>
      </c>
      <c r="F55" s="242">
        <f>-F45</f>
        <v/>
      </c>
      <c r="G55" s="242">
        <f>-G45</f>
        <v/>
      </c>
      <c r="H55" s="242">
        <f>-H45</f>
        <v/>
      </c>
      <c r="I55" s="242">
        <f>-I45</f>
        <v/>
      </c>
      <c r="J55" s="242">
        <f>-J45</f>
        <v/>
      </c>
      <c r="K55" s="242">
        <f>-K45</f>
        <v/>
      </c>
      <c r="L55" s="242">
        <f>-L45</f>
        <v/>
      </c>
      <c r="M55" s="242">
        <f>-M45</f>
        <v/>
      </c>
      <c r="N55" s="242">
        <f>-N45</f>
        <v/>
      </c>
      <c r="O55" s="242">
        <f>-O45</f>
        <v/>
      </c>
      <c r="P55" s="242">
        <f>-P45</f>
        <v/>
      </c>
      <c r="Q55" s="242">
        <f>-Q45</f>
        <v/>
      </c>
      <c r="R55" s="242">
        <f>-R45</f>
        <v/>
      </c>
      <c r="S55" s="242">
        <f>-S45</f>
        <v/>
      </c>
      <c r="T55" s="242">
        <f>-T45</f>
        <v/>
      </c>
      <c r="U55" s="242">
        <f>-U45</f>
        <v/>
      </c>
      <c r="V55" s="242">
        <f>-V45</f>
        <v/>
      </c>
    </row>
    <row r="56">
      <c r="A56" s="165" t="inlineStr">
        <is>
          <t>Cash from investing</t>
        </is>
      </c>
      <c r="B56" s="165" t="inlineStr">
        <is>
          <t>$mm</t>
        </is>
      </c>
      <c r="C56" s="242">
        <f>SUM(C53:C55)</f>
        <v/>
      </c>
      <c r="D56" s="242">
        <f>SUM(D53:D55)</f>
        <v/>
      </c>
      <c r="E56" s="242">
        <f>SUM(E53:E55)</f>
        <v/>
      </c>
      <c r="F56" s="242">
        <f>SUM(F53:F55)</f>
        <v/>
      </c>
      <c r="G56" s="242">
        <f>SUM(G53:G55)</f>
        <v/>
      </c>
      <c r="H56" s="242">
        <f>SUM(H53:H55)</f>
        <v/>
      </c>
      <c r="I56" s="242">
        <f>SUM(I53:I55)</f>
        <v/>
      </c>
      <c r="J56" s="242">
        <f>SUM(J53:J55)</f>
        <v/>
      </c>
      <c r="K56" s="242">
        <f>SUM(K53:K55)</f>
        <v/>
      </c>
      <c r="L56" s="242">
        <f>SUM(L53:L55)</f>
        <v/>
      </c>
      <c r="M56" s="242">
        <f>SUM(M53:M55)</f>
        <v/>
      </c>
      <c r="N56" s="242">
        <f>SUM(N53:N55)</f>
        <v/>
      </c>
      <c r="O56" s="242">
        <f>SUM(O53:O55)</f>
        <v/>
      </c>
      <c r="P56" s="242">
        <f>SUM(P53:P55)</f>
        <v/>
      </c>
      <c r="Q56" s="242">
        <f>SUM(Q53:Q55)</f>
        <v/>
      </c>
      <c r="R56" s="242">
        <f>SUM(R53:R55)</f>
        <v/>
      </c>
      <c r="S56" s="242">
        <f>SUM(S53:S55)</f>
        <v/>
      </c>
      <c r="T56" s="242">
        <f>SUM(T53:T55)</f>
        <v/>
      </c>
      <c r="U56" s="242">
        <f>SUM(U53:U55)</f>
        <v/>
      </c>
      <c r="V56" s="242">
        <f>SUM(V53:V55)</f>
        <v/>
      </c>
    </row>
    <row r="57">
      <c r="A57" s="165" t="inlineStr">
        <is>
          <t>Sponsor equity contribution</t>
        </is>
      </c>
      <c r="B57" s="165" t="inlineStr">
        <is>
          <t>$mm</t>
        </is>
      </c>
      <c r="C57" s="239">
        <f>'Scenario_Drivers'!C26</f>
        <v/>
      </c>
      <c r="D57" s="239">
        <f>'Scenario_Drivers'!D26</f>
        <v/>
      </c>
      <c r="E57" s="239">
        <f>'Scenario_Drivers'!E26</f>
        <v/>
      </c>
      <c r="F57" s="239">
        <f>'Scenario_Drivers'!F26</f>
        <v/>
      </c>
      <c r="G57" s="239">
        <f>'Scenario_Drivers'!G26</f>
        <v/>
      </c>
      <c r="H57" s="239">
        <f>'Scenario_Drivers'!H26</f>
        <v/>
      </c>
      <c r="I57" s="239">
        <f>'Scenario_Drivers'!I26</f>
        <v/>
      </c>
      <c r="J57" s="239">
        <f>'Scenario_Drivers'!J26</f>
        <v/>
      </c>
      <c r="K57" s="239">
        <f>'Scenario_Drivers'!K26</f>
        <v/>
      </c>
      <c r="L57" s="239">
        <f>'Scenario_Drivers'!L26</f>
        <v/>
      </c>
      <c r="M57" s="239">
        <f>'Scenario_Drivers'!M26</f>
        <v/>
      </c>
      <c r="N57" s="239">
        <f>'Scenario_Drivers'!N26</f>
        <v/>
      </c>
      <c r="O57" s="239">
        <f>'Scenario_Drivers'!O26</f>
        <v/>
      </c>
      <c r="P57" s="239">
        <f>'Scenario_Drivers'!P26</f>
        <v/>
      </c>
      <c r="Q57" s="239">
        <f>'Scenario_Drivers'!Q26</f>
        <v/>
      </c>
      <c r="R57" s="239">
        <f>'Scenario_Drivers'!R26</f>
        <v/>
      </c>
      <c r="S57" s="239">
        <f>'Scenario_Drivers'!S26</f>
        <v/>
      </c>
      <c r="T57" s="239">
        <f>'Scenario_Drivers'!T26</f>
        <v/>
      </c>
      <c r="U57" s="239">
        <f>'Scenario_Drivers'!U26</f>
        <v/>
      </c>
      <c r="V57" s="239">
        <f>'Scenario_Drivers'!V26</f>
        <v/>
      </c>
    </row>
    <row r="58">
      <c r="A58" s="165" t="inlineStr">
        <is>
          <t>DDTL draw</t>
        </is>
      </c>
      <c r="B58" s="165" t="inlineStr">
        <is>
          <t>$mm</t>
        </is>
      </c>
      <c r="C58" s="239">
        <f>'Scenario_Drivers'!C25</f>
        <v/>
      </c>
      <c r="D58" s="239">
        <f>'Scenario_Drivers'!D25</f>
        <v/>
      </c>
      <c r="E58" s="239">
        <f>'Scenario_Drivers'!E25</f>
        <v/>
      </c>
      <c r="F58" s="239">
        <f>'Scenario_Drivers'!F25</f>
        <v/>
      </c>
      <c r="G58" s="239">
        <f>'Scenario_Drivers'!G25</f>
        <v/>
      </c>
      <c r="H58" s="239">
        <f>'Scenario_Drivers'!H25</f>
        <v/>
      </c>
      <c r="I58" s="239">
        <f>'Scenario_Drivers'!I25</f>
        <v/>
      </c>
      <c r="J58" s="239">
        <f>'Scenario_Drivers'!J25</f>
        <v/>
      </c>
      <c r="K58" s="239">
        <f>'Scenario_Drivers'!K25</f>
        <v/>
      </c>
      <c r="L58" s="239">
        <f>'Scenario_Drivers'!L25</f>
        <v/>
      </c>
      <c r="M58" s="239">
        <f>'Scenario_Drivers'!M25</f>
        <v/>
      </c>
      <c r="N58" s="239">
        <f>'Scenario_Drivers'!N25</f>
        <v/>
      </c>
      <c r="O58" s="239">
        <f>'Scenario_Drivers'!O25</f>
        <v/>
      </c>
      <c r="P58" s="239">
        <f>'Scenario_Drivers'!P25</f>
        <v/>
      </c>
      <c r="Q58" s="239">
        <f>'Scenario_Drivers'!Q25</f>
        <v/>
      </c>
      <c r="R58" s="239">
        <f>'Scenario_Drivers'!R25</f>
        <v/>
      </c>
      <c r="S58" s="239">
        <f>'Scenario_Drivers'!S25</f>
        <v/>
      </c>
      <c r="T58" s="239">
        <f>'Scenario_Drivers'!T25</f>
        <v/>
      </c>
      <c r="U58" s="239">
        <f>'Scenario_Drivers'!U25</f>
        <v/>
      </c>
      <c r="V58" s="239">
        <f>'Scenario_Drivers'!V25</f>
        <v/>
      </c>
    </row>
    <row r="59">
      <c r="A59" s="165" t="inlineStr">
        <is>
          <t>Revolver draw</t>
        </is>
      </c>
      <c r="B59" s="165" t="inlineStr">
        <is>
          <t>$mm</t>
        </is>
      </c>
      <c r="C59" s="242">
        <f>IF('Scenario_Drivers'!C30&gt;=0,MAX(0,'Scenario_Drivers'!C30-0),IF('S&amp;U_Opening'!$B$15+C52+C56+C57+C58+C61+C62&lt;'Scenario_Drivers'!C29,MIN((MAX(0,Inputs!$B$20-'Scenario_Drivers'!C28))-0,'Scenario_Drivers'!C29-('S&amp;U_Opening'!$B$15+C52+C56+C57+C58+C61+C62)),0))</f>
        <v/>
      </c>
      <c r="D59" s="242">
        <f>IF('Scenario_Drivers'!D30&gt;=0,MAX(0,'Scenario_Drivers'!D30-C78),IF(C67+D52+D56+D57+D58+D61+D62&lt;'Scenario_Drivers'!D29,MIN((MAX(0,Inputs!$B$20-'Scenario_Drivers'!D28))-C78,'Scenario_Drivers'!D29-(C67+D52+D56+D57+D58+D61+D62)),0))</f>
        <v/>
      </c>
      <c r="E59" s="242">
        <f>IF('Scenario_Drivers'!E30&gt;=0,MAX(0,'Scenario_Drivers'!E30-D78),IF(D67+E52+E56+E57+E58+E61+E62&lt;'Scenario_Drivers'!E29,MIN((MAX(0,Inputs!$B$20-'Scenario_Drivers'!E28))-D78,'Scenario_Drivers'!E29-(D67+E52+E56+E57+E58+E61+E62)),0))</f>
        <v/>
      </c>
      <c r="F59" s="242">
        <f>IF('Scenario_Drivers'!F30&gt;=0,MAX(0,'Scenario_Drivers'!F30-E78),IF(E67+F52+F56+F57+F58+F61+F62&lt;'Scenario_Drivers'!F29,MIN((MAX(0,Inputs!$B$20-'Scenario_Drivers'!F28))-E78,'Scenario_Drivers'!F29-(E67+F52+F56+F57+F58+F61+F62)),0))</f>
        <v/>
      </c>
      <c r="G59" s="242">
        <f>IF('Scenario_Drivers'!G30&gt;=0,MAX(0,'Scenario_Drivers'!G30-F78),IF(F67+G52+G56+G57+G58+G61+G62&lt;'Scenario_Drivers'!G29,MIN((MAX(0,Inputs!$B$20-'Scenario_Drivers'!G28))-F78,'Scenario_Drivers'!G29-(F67+G52+G56+G57+G58+G61+G62)),0))</f>
        <v/>
      </c>
      <c r="H59" s="242">
        <f>IF('Scenario_Drivers'!H30&gt;=0,MAX(0,'Scenario_Drivers'!H30-G78),IF(G67+H52+H56+H57+H58+H61+H62&lt;'Scenario_Drivers'!H29,MIN((MAX(0,Inputs!$B$20-'Scenario_Drivers'!H28))-G78,'Scenario_Drivers'!H29-(G67+H52+H56+H57+H58+H61+H62)),0))</f>
        <v/>
      </c>
      <c r="I59" s="242">
        <f>IF('Scenario_Drivers'!I30&gt;=0,MAX(0,'Scenario_Drivers'!I30-H78),IF(H67+I52+I56+I57+I58+I61+I62&lt;'Scenario_Drivers'!I29,MIN((MAX(0,Inputs!$B$20-'Scenario_Drivers'!I28))-H78,'Scenario_Drivers'!I29-(H67+I52+I56+I57+I58+I61+I62)),0))</f>
        <v/>
      </c>
      <c r="J59" s="242">
        <f>IF('Scenario_Drivers'!J30&gt;=0,MAX(0,'Scenario_Drivers'!J30-I78),IF(I67+J52+J56+J57+J58+J61+J62&lt;'Scenario_Drivers'!J29,MIN((MAX(0,Inputs!$B$20-'Scenario_Drivers'!J28))-I78,'Scenario_Drivers'!J29-(I67+J52+J56+J57+J58+J61+J62)),0))</f>
        <v/>
      </c>
      <c r="K59" s="242">
        <f>IF('Scenario_Drivers'!K30&gt;=0,MAX(0,'Scenario_Drivers'!K30-J78),IF(J67+K52+K56+K57+K58+K61+K62&lt;'Scenario_Drivers'!K29,MIN((MAX(0,Inputs!$B$20-'Scenario_Drivers'!K28))-J78,'Scenario_Drivers'!K29-(J67+K52+K56+K57+K58+K61+K62)),0))</f>
        <v/>
      </c>
      <c r="L59" s="242">
        <f>IF('Scenario_Drivers'!L30&gt;=0,MAX(0,'Scenario_Drivers'!L30-K78),IF(K67+L52+L56+L57+L58+L61+L62&lt;'Scenario_Drivers'!L29,MIN((MAX(0,Inputs!$B$20-'Scenario_Drivers'!L28))-K78,'Scenario_Drivers'!L29-(K67+L52+L56+L57+L58+L61+L62)),0))</f>
        <v/>
      </c>
      <c r="M59" s="242">
        <f>IF('Scenario_Drivers'!M30&gt;=0,MAX(0,'Scenario_Drivers'!M30-L78),IF(L67+M52+M56+M57+M58+M61+M62&lt;'Scenario_Drivers'!M29,MIN((MAX(0,Inputs!$B$20-'Scenario_Drivers'!M28))-L78,'Scenario_Drivers'!M29-(L67+M52+M56+M57+M58+M61+M62)),0))</f>
        <v/>
      </c>
      <c r="N59" s="242">
        <f>IF('Scenario_Drivers'!N30&gt;=0,MAX(0,'Scenario_Drivers'!N30-M78),IF(M67+N52+N56+N57+N58+N61+N62&lt;'Scenario_Drivers'!N29,MIN((MAX(0,Inputs!$B$20-'Scenario_Drivers'!N28))-M78,'Scenario_Drivers'!N29-(M67+N52+N56+N57+N58+N61+N62)),0))</f>
        <v/>
      </c>
      <c r="O59" s="242">
        <f>IF('Scenario_Drivers'!O30&gt;=0,MAX(0,'Scenario_Drivers'!O30-N78),IF(N67+O52+O56+O57+O58+O61+O62&lt;'Scenario_Drivers'!O29,MIN((MAX(0,Inputs!$B$20-'Scenario_Drivers'!O28))-N78,'Scenario_Drivers'!O29-(N67+O52+O56+O57+O58+O61+O62)),0))</f>
        <v/>
      </c>
      <c r="P59" s="242">
        <f>IF('Scenario_Drivers'!P30&gt;=0,MAX(0,'Scenario_Drivers'!P30-O78),IF(O67+P52+P56+P57+P58+P61+P62&lt;'Scenario_Drivers'!P29,MIN((MAX(0,Inputs!$B$20-'Scenario_Drivers'!P28))-O78,'Scenario_Drivers'!P29-(O67+P52+P56+P57+P58+P61+P62)),0))</f>
        <v/>
      </c>
      <c r="Q59" s="242">
        <f>IF('Scenario_Drivers'!Q30&gt;=0,MAX(0,'Scenario_Drivers'!Q30-P78),IF(P67+Q52+Q56+Q57+Q58+Q61+Q62&lt;'Scenario_Drivers'!Q29,MIN((MAX(0,Inputs!$B$20-'Scenario_Drivers'!Q28))-P78,'Scenario_Drivers'!Q29-(P67+Q52+Q56+Q57+Q58+Q61+Q62)),0))</f>
        <v/>
      </c>
      <c r="R59" s="242">
        <f>IF('Scenario_Drivers'!R30&gt;=0,MAX(0,'Scenario_Drivers'!R30-Q78),IF(Q67+R52+R56+R57+R58+R61+R62&lt;'Scenario_Drivers'!R29,MIN((MAX(0,Inputs!$B$20-'Scenario_Drivers'!R28))-Q78,'Scenario_Drivers'!R29-(Q67+R52+R56+R57+R58+R61+R62)),0))</f>
        <v/>
      </c>
      <c r="S59" s="242">
        <f>IF('Scenario_Drivers'!S30&gt;=0,MAX(0,'Scenario_Drivers'!S30-R78),IF(R67+S52+S56+S57+S58+S61+S62&lt;'Scenario_Drivers'!S29,MIN((MAX(0,Inputs!$B$20-'Scenario_Drivers'!S28))-R78,'Scenario_Drivers'!S29-(R67+S52+S56+S57+S58+S61+S62)),0))</f>
        <v/>
      </c>
      <c r="T59" s="242">
        <f>IF('Scenario_Drivers'!T30&gt;=0,MAX(0,'Scenario_Drivers'!T30-S78),IF(S67+T52+T56+T57+T58+T61+T62&lt;'Scenario_Drivers'!T29,MIN((MAX(0,Inputs!$B$20-'Scenario_Drivers'!T28))-S78,'Scenario_Drivers'!T29-(S67+T52+T56+T57+T58+T61+T62)),0))</f>
        <v/>
      </c>
      <c r="U59" s="242">
        <f>IF('Scenario_Drivers'!U30&gt;=0,MAX(0,'Scenario_Drivers'!U30-T78),IF(T67+U52+U56+U57+U58+U61+U62&lt;'Scenario_Drivers'!U29,MIN((MAX(0,Inputs!$B$20-'Scenario_Drivers'!U28))-T78,'Scenario_Drivers'!U29-(T67+U52+U56+U57+U58+U61+U62)),0))</f>
        <v/>
      </c>
      <c r="V59" s="242">
        <f>IF('Scenario_Drivers'!V30&gt;=0,MAX(0,'Scenario_Drivers'!V30-U78),IF(U67+V52+V56+V57+V58+V61+V62&lt;'Scenario_Drivers'!V29,MIN((MAX(0,Inputs!$B$20-'Scenario_Drivers'!V28))-U78,'Scenario_Drivers'!V29-(U67+V52+V56+V57+V58+V61+V62)),0))</f>
        <v/>
      </c>
    </row>
    <row r="60">
      <c r="A60" s="165" t="inlineStr">
        <is>
          <t>Revolver repayment</t>
        </is>
      </c>
      <c r="B60" s="165" t="inlineStr">
        <is>
          <t>$mm</t>
        </is>
      </c>
      <c r="C60" s="242">
        <f>-(IF('Scenario_Drivers'!C31=1,0,IF('Scenario_Drivers'!C30&gt;=0,MAX(0,0-'Scenario_Drivers'!C30),IF('S&amp;U_Opening'!$B$15+C52+C56+C57+C58+C61+C62&gt;'Scenario_Drivers'!C29,MIN(0,('S&amp;U_Opening'!$B$15+C52+C56+C57+C58+C61+C62)-'Scenario_Drivers'!C29),0))))</f>
        <v/>
      </c>
      <c r="D60" s="242">
        <f>-(IF('Scenario_Drivers'!D31=1,C78,IF('Scenario_Drivers'!D30&gt;=0,MAX(0,C78-'Scenario_Drivers'!D30),IF(C67+D52+D56+D57+D58+D61+D62&gt;'Scenario_Drivers'!D29,MIN(C78,(C67+D52+D56+D57+D58+D61+D62)-'Scenario_Drivers'!D29),0))))</f>
        <v/>
      </c>
      <c r="E60" s="242">
        <f>-(IF('Scenario_Drivers'!E31=1,D78,IF('Scenario_Drivers'!E30&gt;=0,MAX(0,D78-'Scenario_Drivers'!E30),IF(D67+E52+E56+E57+E58+E61+E62&gt;'Scenario_Drivers'!E29,MIN(D78,(D67+E52+E56+E57+E58+E61+E62)-'Scenario_Drivers'!E29),0))))</f>
        <v/>
      </c>
      <c r="F60" s="242">
        <f>-(IF('Scenario_Drivers'!F31=1,E78,IF('Scenario_Drivers'!F30&gt;=0,MAX(0,E78-'Scenario_Drivers'!F30),IF(E67+F52+F56+F57+F58+F61+F62&gt;'Scenario_Drivers'!F29,MIN(E78,(E67+F52+F56+F57+F58+F61+F62)-'Scenario_Drivers'!F29),0))))</f>
        <v/>
      </c>
      <c r="G60" s="242">
        <f>-(IF('Scenario_Drivers'!G31=1,F78,IF('Scenario_Drivers'!G30&gt;=0,MAX(0,F78-'Scenario_Drivers'!G30),IF(F67+G52+G56+G57+G58+G61+G62&gt;'Scenario_Drivers'!G29,MIN(F78,(F67+G52+G56+G57+G58+G61+G62)-'Scenario_Drivers'!G29),0))))</f>
        <v/>
      </c>
      <c r="H60" s="242">
        <f>-(IF('Scenario_Drivers'!H31=1,G78,IF('Scenario_Drivers'!H30&gt;=0,MAX(0,G78-'Scenario_Drivers'!H30),IF(G67+H52+H56+H57+H58+H61+H62&gt;'Scenario_Drivers'!H29,MIN(G78,(G67+H52+H56+H57+H58+H61+H62)-'Scenario_Drivers'!H29),0))))</f>
        <v/>
      </c>
      <c r="I60" s="242">
        <f>-(IF('Scenario_Drivers'!I31=1,H78,IF('Scenario_Drivers'!I30&gt;=0,MAX(0,H78-'Scenario_Drivers'!I30),IF(H67+I52+I56+I57+I58+I61+I62&gt;'Scenario_Drivers'!I29,MIN(H78,(H67+I52+I56+I57+I58+I61+I62)-'Scenario_Drivers'!I29),0))))</f>
        <v/>
      </c>
      <c r="J60" s="242">
        <f>-(IF('Scenario_Drivers'!J31=1,I78,IF('Scenario_Drivers'!J30&gt;=0,MAX(0,I78-'Scenario_Drivers'!J30),IF(I67+J52+J56+J57+J58+J61+J62&gt;'Scenario_Drivers'!J29,MIN(I78,(I67+J52+J56+J57+J58+J61+J62)-'Scenario_Drivers'!J29),0))))</f>
        <v/>
      </c>
      <c r="K60" s="242">
        <f>-(IF('Scenario_Drivers'!K31=1,J78,IF('Scenario_Drivers'!K30&gt;=0,MAX(0,J78-'Scenario_Drivers'!K30),IF(J67+K52+K56+K57+K58+K61+K62&gt;'Scenario_Drivers'!K29,MIN(J78,(J67+K52+K56+K57+K58+K61+K62)-'Scenario_Drivers'!K29),0))))</f>
        <v/>
      </c>
      <c r="L60" s="242">
        <f>-(IF('Scenario_Drivers'!L31=1,K78,IF('Scenario_Drivers'!L30&gt;=0,MAX(0,K78-'Scenario_Drivers'!L30),IF(K67+L52+L56+L57+L58+L61+L62&gt;'Scenario_Drivers'!L29,MIN(K78,(K67+L52+L56+L57+L58+L61+L62)-'Scenario_Drivers'!L29),0))))</f>
        <v/>
      </c>
      <c r="M60" s="242">
        <f>-(IF('Scenario_Drivers'!M31=1,L78,IF('Scenario_Drivers'!M30&gt;=0,MAX(0,L78-'Scenario_Drivers'!M30),IF(L67+M52+M56+M57+M58+M61+M62&gt;'Scenario_Drivers'!M29,MIN(L78,(L67+M52+M56+M57+M58+M61+M62)-'Scenario_Drivers'!M29),0))))</f>
        <v/>
      </c>
      <c r="N60" s="242">
        <f>-(IF('Scenario_Drivers'!N31=1,M78,IF('Scenario_Drivers'!N30&gt;=0,MAX(0,M78-'Scenario_Drivers'!N30),IF(M67+N52+N56+N57+N58+N61+N62&gt;'Scenario_Drivers'!N29,MIN(M78,(M67+N52+N56+N57+N58+N61+N62)-'Scenario_Drivers'!N29),0))))</f>
        <v/>
      </c>
      <c r="O60" s="242">
        <f>-(IF('Scenario_Drivers'!O31=1,N78,IF('Scenario_Drivers'!O30&gt;=0,MAX(0,N78-'Scenario_Drivers'!O30),IF(N67+O52+O56+O57+O58+O61+O62&gt;'Scenario_Drivers'!O29,MIN(N78,(N67+O52+O56+O57+O58+O61+O62)-'Scenario_Drivers'!O29),0))))</f>
        <v/>
      </c>
      <c r="P60" s="242">
        <f>-(IF('Scenario_Drivers'!P31=1,O78,IF('Scenario_Drivers'!P30&gt;=0,MAX(0,O78-'Scenario_Drivers'!P30),IF(O67+P52+P56+P57+P58+P61+P62&gt;'Scenario_Drivers'!P29,MIN(O78,(O67+P52+P56+P57+P58+P61+P62)-'Scenario_Drivers'!P29),0))))</f>
        <v/>
      </c>
      <c r="Q60" s="242">
        <f>-(IF('Scenario_Drivers'!Q31=1,P78,IF('Scenario_Drivers'!Q30&gt;=0,MAX(0,P78-'Scenario_Drivers'!Q30),IF(P67+Q52+Q56+Q57+Q58+Q61+Q62&gt;'Scenario_Drivers'!Q29,MIN(P78,(P67+Q52+Q56+Q57+Q58+Q61+Q62)-'Scenario_Drivers'!Q29),0))))</f>
        <v/>
      </c>
      <c r="R60" s="242">
        <f>-(IF('Scenario_Drivers'!R31=1,Q78,IF('Scenario_Drivers'!R30&gt;=0,MAX(0,Q78-'Scenario_Drivers'!R30),IF(Q67+R52+R56+R57+R58+R61+R62&gt;'Scenario_Drivers'!R29,MIN(Q78,(Q67+R52+R56+R57+R58+R61+R62)-'Scenario_Drivers'!R29),0))))</f>
        <v/>
      </c>
      <c r="S60" s="242">
        <f>-(IF('Scenario_Drivers'!S31=1,R78,IF('Scenario_Drivers'!S30&gt;=0,MAX(0,R78-'Scenario_Drivers'!S30),IF(R67+S52+S56+S57+S58+S61+S62&gt;'Scenario_Drivers'!S29,MIN(R78,(R67+S52+S56+S57+S58+S61+S62)-'Scenario_Drivers'!S29),0))))</f>
        <v/>
      </c>
      <c r="T60" s="242">
        <f>-(IF('Scenario_Drivers'!T31=1,S78,IF('Scenario_Drivers'!T30&gt;=0,MAX(0,S78-'Scenario_Drivers'!T30),IF(S67+T52+T56+T57+T58+T61+T62&gt;'Scenario_Drivers'!T29,MIN(S78,(S67+T52+T56+T57+T58+T61+T62)-'Scenario_Drivers'!T29),0))))</f>
        <v/>
      </c>
      <c r="U60" s="242">
        <f>-(IF('Scenario_Drivers'!U31=1,T78,IF('Scenario_Drivers'!U30&gt;=0,MAX(0,T78-'Scenario_Drivers'!U30),IF(T67+U52+U56+U57+U58+U61+U62&gt;'Scenario_Drivers'!U29,MIN(T78,(T67+U52+U56+U57+U58+U61+U62)-'Scenario_Drivers'!U29),0))))</f>
        <v/>
      </c>
      <c r="V60" s="242">
        <f>-(IF('Scenario_Drivers'!V31=1,U78,IF('Scenario_Drivers'!V30&gt;=0,MAX(0,U78-'Scenario_Drivers'!V30),IF(U67+V52+V56+V57+V58+V61+V62&gt;'Scenario_Drivers'!V29,MIN(U78,(U67+V52+V56+V57+V58+V61+V62)-'Scenario_Drivers'!V29),0))))</f>
        <v/>
      </c>
    </row>
    <row r="61">
      <c r="A61" s="165" t="inlineStr">
        <is>
          <t>Scheduled term amortization</t>
        </is>
      </c>
      <c r="B61" s="165" t="inlineStr">
        <is>
          <t>$mm</t>
        </is>
      </c>
      <c r="C61" s="242">
        <f>-(MIN(0.107,'S&amp;U_Opening'!$E$18))</f>
        <v/>
      </c>
      <c r="D61" s="242">
        <f>-(MIN(0.107,C76))</f>
        <v/>
      </c>
      <c r="E61" s="242">
        <f>-(MIN(0.107,D76))</f>
        <v/>
      </c>
      <c r="F61" s="242">
        <f>-(MIN(0.107,E76))</f>
        <v/>
      </c>
      <c r="G61" s="242">
        <f>-(MIN(0.107,F76))</f>
        <v/>
      </c>
      <c r="H61" s="242">
        <f>-(MIN(0.107,G76))</f>
        <v/>
      </c>
      <c r="I61" s="242">
        <f>-(MIN(0.107,H76))</f>
        <v/>
      </c>
      <c r="J61" s="242">
        <f>-(MIN(0.107,I76))</f>
        <v/>
      </c>
      <c r="K61" s="242">
        <f>-(MIN(0.107,J76))</f>
        <v/>
      </c>
      <c r="L61" s="242">
        <f>-(MIN(0.107,K76))</f>
        <v/>
      </c>
      <c r="M61" s="242">
        <f>-(MIN(0.107,L76))</f>
        <v/>
      </c>
      <c r="N61" s="242">
        <f>-(MIN(0.107,M76))</f>
        <v/>
      </c>
      <c r="O61" s="242">
        <f>-(MIN(0.107,N76))</f>
        <v/>
      </c>
      <c r="P61" s="242">
        <f>-(MIN(0.107,O76))</f>
        <v/>
      </c>
      <c r="Q61" s="242">
        <f>-(MIN(0.107,P76))</f>
        <v/>
      </c>
      <c r="R61" s="242">
        <f>-(MIN(0.107,Q76))</f>
        <v/>
      </c>
      <c r="S61" s="242">
        <f>-(MIN(0.107,R76))</f>
        <v/>
      </c>
      <c r="T61" s="242">
        <f>-(MIN(0.107,S76))</f>
        <v/>
      </c>
      <c r="U61" s="242">
        <f>-(MIN(0.107,T76))</f>
        <v/>
      </c>
      <c r="V61" s="242">
        <f>-(MIN(0.107,U76))</f>
        <v/>
      </c>
    </row>
    <row r="62">
      <c r="A62" s="165" t="inlineStr">
        <is>
          <t>Scheduled DDTL amortization</t>
        </is>
      </c>
      <c r="B62" s="165" t="inlineStr">
        <is>
          <t>$mm</t>
        </is>
      </c>
      <c r="C62" s="242">
        <f>-(IF(0&gt;0,MIN(0.015,0),0))</f>
        <v/>
      </c>
      <c r="D62" s="242">
        <f>-(IF(C77&gt;0,MIN(0.015,C77),0))</f>
        <v/>
      </c>
      <c r="E62" s="242">
        <f>-(IF(D77&gt;0,MIN(0.015,D77),0))</f>
        <v/>
      </c>
      <c r="F62" s="242">
        <f>-(IF(E77&gt;0,MIN(0.015,E77),0))</f>
        <v/>
      </c>
      <c r="G62" s="242">
        <f>-(IF(F77&gt;0,MIN(0.015,F77),0))</f>
        <v/>
      </c>
      <c r="H62" s="242">
        <f>-(IF(G77&gt;0,MIN(0.015,G77),0))</f>
        <v/>
      </c>
      <c r="I62" s="242">
        <f>-(IF(H77&gt;0,MIN(0.015,H77),0))</f>
        <v/>
      </c>
      <c r="J62" s="242">
        <f>-(IF(I77&gt;0,MIN(0.015,I77),0))</f>
        <v/>
      </c>
      <c r="K62" s="242">
        <f>-(IF(J77&gt;0,MIN(0.015,J77),0))</f>
        <v/>
      </c>
      <c r="L62" s="242">
        <f>-(IF(K77&gt;0,MIN(0.015,K77),0))</f>
        <v/>
      </c>
      <c r="M62" s="242">
        <f>-(IF(L77&gt;0,MIN(0.015,L77),0))</f>
        <v/>
      </c>
      <c r="N62" s="242">
        <f>-(IF(M77&gt;0,MIN(0.015,M77),0))</f>
        <v/>
      </c>
      <c r="O62" s="242">
        <f>-(IF(N77&gt;0,MIN(0.015,N77),0))</f>
        <v/>
      </c>
      <c r="P62" s="242">
        <f>-(IF(O77&gt;0,MIN(0.015,O77),0))</f>
        <v/>
      </c>
      <c r="Q62" s="242">
        <f>-(IF(P77&gt;0,MIN(0.015,P77),0))</f>
        <v/>
      </c>
      <c r="R62" s="242">
        <f>-(IF(Q77&gt;0,MIN(0.015,Q77),0))</f>
        <v/>
      </c>
      <c r="S62" s="242">
        <f>-(IF(R77&gt;0,MIN(0.015,R77),0))</f>
        <v/>
      </c>
      <c r="T62" s="242">
        <f>-(IF(S77&gt;0,MIN(0.015,S77),0))</f>
        <v/>
      </c>
      <c r="U62" s="242">
        <f>-(IF(T77&gt;0,MIN(0.015,T77),0))</f>
        <v/>
      </c>
      <c r="V62" s="242">
        <f>-(IF(U77&gt;0,MIN(0.015,U77),0))</f>
        <v/>
      </c>
    </row>
    <row r="63">
      <c r="A63" s="165" t="inlineStr">
        <is>
          <t>ECF sweep</t>
        </is>
      </c>
      <c r="B63" s="165" t="inlineStr">
        <is>
          <t>$mm</t>
        </is>
      </c>
      <c r="C63" s="242">
        <f>-(0)</f>
        <v/>
      </c>
      <c r="D63" s="242">
        <f>-(0)</f>
        <v/>
      </c>
      <c r="E63" s="242">
        <f>-(MIN((MAX(0,D76+E61)),MAX(0,((D67+E52+E56+E57+E58+E61+E62)+E59+E60)-'Scenario_Drivers'!E29))*(IF((((MAX(0,D76+E61))+(MAX(0,D77+E58+E62))+(D78+E59+E60)-MIN(((D67+E52+E56+E57+E58+E61+E62)+E59+E60),Inputs!$B$19))/MAX(0.001,(SUM(C14:E14))))&gt;3.0,50%,IF((((MAX(0,D76+E61))+(MAX(0,D77+E58+E62))+(D78+E59+E60)-MIN(((D67+E52+E56+E57+E58+E61+E62)+E59+E60),Inputs!$B$19))/MAX(0.001,(SUM(C14:E14))))&gt;2.5,25%,0%))))</f>
        <v/>
      </c>
      <c r="F63" s="242">
        <f>-(0)</f>
        <v/>
      </c>
      <c r="G63" s="242">
        <f>-(0)</f>
        <v/>
      </c>
      <c r="H63" s="242">
        <f>-(0)</f>
        <v/>
      </c>
      <c r="I63" s="242">
        <f>-(MIN((MAX(0,H76+I61)),MAX(0,((H67+I52+I56+I57+I58+I61+I62)+I59+I60)-'Scenario_Drivers'!I29))*(IF((((MAX(0,H76+I61))+(MAX(0,H77+I58+I62))+(H78+I59+I60)-MIN(((H67+I52+I56+I57+I58+I61+I62)+I59+I60),Inputs!$B$19))/MAX(0.001,(SUM(F14:I14))))&gt;3.0,50%,IF((((MAX(0,H76+I61))+(MAX(0,H77+I58+I62))+(H78+I59+I60)-MIN(((H67+I52+I56+I57+I58+I61+I62)+I59+I60),Inputs!$B$19))/MAX(0.001,(SUM(F14:I14))))&gt;2.5,25%,0%))))</f>
        <v/>
      </c>
      <c r="J63" s="242">
        <f>-(0)</f>
        <v/>
      </c>
      <c r="K63" s="242">
        <f>-(0)</f>
        <v/>
      </c>
      <c r="L63" s="242">
        <f>-(0)</f>
        <v/>
      </c>
      <c r="M63" s="242">
        <f>-(MIN((MAX(0,L76+M61)),MAX(0,((L67+M52+M56+M57+M58+M61+M62)+M59+M60)-'Scenario_Drivers'!M29))*(IF((((MAX(0,L76+M61))+(MAX(0,L77+M58+M62))+(L78+M59+M60)-MIN(((L67+M52+M56+M57+M58+M61+M62)+M59+M60),Inputs!$B$19))/MAX(0.001,(SUM(J14:M14))))&gt;3.0,50%,IF((((MAX(0,L76+M61))+(MAX(0,L77+M58+M62))+(L78+M59+M60)-MIN(((L67+M52+M56+M57+M58+M61+M62)+M59+M60),Inputs!$B$19))/MAX(0.001,(SUM(J14:M14))))&gt;2.5,25%,0%))))</f>
        <v/>
      </c>
      <c r="N63" s="242">
        <f>-(0)</f>
        <v/>
      </c>
      <c r="O63" s="242">
        <f>-(0)</f>
        <v/>
      </c>
      <c r="P63" s="242">
        <f>-(0)</f>
        <v/>
      </c>
      <c r="Q63" s="242">
        <f>-(MIN((MAX(0,P76+Q61)),MAX(0,((P67+Q52+Q56+Q57+Q58+Q61+Q62)+Q59+Q60)-'Scenario_Drivers'!Q29))*(IF((((MAX(0,P76+Q61))+(MAX(0,P77+Q58+Q62))+(P78+Q59+Q60)-MIN(((P67+Q52+Q56+Q57+Q58+Q61+Q62)+Q59+Q60),Inputs!$B$19))/MAX(0.001,(SUM(N14:Q14))))&gt;3.0,50%,IF((((MAX(0,P76+Q61))+(MAX(0,P77+Q58+Q62))+(P78+Q59+Q60)-MIN(((P67+Q52+Q56+Q57+Q58+Q61+Q62)+Q59+Q60),Inputs!$B$19))/MAX(0.001,(SUM(N14:Q14))))&gt;2.5,25%,0%))))</f>
        <v/>
      </c>
      <c r="R63" s="242">
        <f>-(0)</f>
        <v/>
      </c>
      <c r="S63" s="242">
        <f>-(0)</f>
        <v/>
      </c>
      <c r="T63" s="242">
        <f>-(0)</f>
        <v/>
      </c>
      <c r="U63" s="242">
        <f>-(MIN((MAX(0,T76+U61)),MAX(0,((T67+U52+U56+U57+U58+U61+U62)+U59+U60)-'Scenario_Drivers'!U29))*(IF((((MAX(0,T76+U61))+(MAX(0,T77+U58+U62))+(T78+U59+U60)-MIN(((T67+U52+U56+U57+U58+U61+U62)+U59+U60),Inputs!$B$19))/MAX(0.001,(SUM(R14:U14))))&gt;3.0,50%,IF((((MAX(0,T76+U61))+(MAX(0,T77+U58+U62))+(T78+U59+U60)-MIN(((T67+U52+U56+U57+U58+U61+U62)+U59+U60),Inputs!$B$19))/MAX(0.001,(SUM(R14:U14))))&gt;2.5,25%,0%))))</f>
        <v/>
      </c>
      <c r="V63" s="242">
        <f>-(0)</f>
        <v/>
      </c>
    </row>
    <row r="64">
      <c r="A64" s="165" t="inlineStr">
        <is>
          <t>Cash from financing</t>
        </is>
      </c>
      <c r="B64" s="165" t="inlineStr">
        <is>
          <t>$mm</t>
        </is>
      </c>
      <c r="C64" s="242">
        <f>SUM(C57:C63)</f>
        <v/>
      </c>
      <c r="D64" s="242">
        <f>SUM(D57:D63)</f>
        <v/>
      </c>
      <c r="E64" s="242">
        <f>SUM(E57:E63)</f>
        <v/>
      </c>
      <c r="F64" s="242">
        <f>SUM(F57:F63)</f>
        <v/>
      </c>
      <c r="G64" s="242">
        <f>SUM(G57:G63)</f>
        <v/>
      </c>
      <c r="H64" s="242">
        <f>SUM(H57:H63)</f>
        <v/>
      </c>
      <c r="I64" s="242">
        <f>SUM(I57:I63)</f>
        <v/>
      </c>
      <c r="J64" s="242">
        <f>SUM(J57:J63)</f>
        <v/>
      </c>
      <c r="K64" s="242">
        <f>SUM(K57:K63)</f>
        <v/>
      </c>
      <c r="L64" s="242">
        <f>SUM(L57:L63)</f>
        <v/>
      </c>
      <c r="M64" s="242">
        <f>SUM(M57:M63)</f>
        <v/>
      </c>
      <c r="N64" s="242">
        <f>SUM(N57:N63)</f>
        <v/>
      </c>
      <c r="O64" s="242">
        <f>SUM(O57:O63)</f>
        <v/>
      </c>
      <c r="P64" s="242">
        <f>SUM(P57:P63)</f>
        <v/>
      </c>
      <c r="Q64" s="242">
        <f>SUM(Q57:Q63)</f>
        <v/>
      </c>
      <c r="R64" s="242">
        <f>SUM(R57:R63)</f>
        <v/>
      </c>
      <c r="S64" s="242">
        <f>SUM(S57:S63)</f>
        <v/>
      </c>
      <c r="T64" s="242">
        <f>SUM(T57:T63)</f>
        <v/>
      </c>
      <c r="U64" s="242">
        <f>SUM(U57:U63)</f>
        <v/>
      </c>
      <c r="V64" s="242">
        <f>SUM(V57:V63)</f>
        <v/>
      </c>
    </row>
    <row r="65">
      <c r="A65" s="165" t="inlineStr">
        <is>
          <t>Net change in cash</t>
        </is>
      </c>
      <c r="B65" s="165" t="inlineStr">
        <is>
          <t>$mm</t>
        </is>
      </c>
      <c r="C65" s="242">
        <f>C52+C56+C64</f>
        <v/>
      </c>
      <c r="D65" s="242">
        <f>D52+D56+D64</f>
        <v/>
      </c>
      <c r="E65" s="242">
        <f>E52+E56+E64</f>
        <v/>
      </c>
      <c r="F65" s="242">
        <f>F52+F56+F64</f>
        <v/>
      </c>
      <c r="G65" s="242">
        <f>G52+G56+G64</f>
        <v/>
      </c>
      <c r="H65" s="242">
        <f>H52+H56+H64</f>
        <v/>
      </c>
      <c r="I65" s="242">
        <f>I52+I56+I64</f>
        <v/>
      </c>
      <c r="J65" s="242">
        <f>J52+J56+J64</f>
        <v/>
      </c>
      <c r="K65" s="242">
        <f>K52+K56+K64</f>
        <v/>
      </c>
      <c r="L65" s="242">
        <f>L52+L56+L64</f>
        <v/>
      </c>
      <c r="M65" s="242">
        <f>M52+M56+M64</f>
        <v/>
      </c>
      <c r="N65" s="242">
        <f>N52+N56+N64</f>
        <v/>
      </c>
      <c r="O65" s="242">
        <f>O52+O56+O64</f>
        <v/>
      </c>
      <c r="P65" s="242">
        <f>P52+P56+P64</f>
        <v/>
      </c>
      <c r="Q65" s="242">
        <f>Q52+Q56+Q64</f>
        <v/>
      </c>
      <c r="R65" s="242">
        <f>R52+R56+R64</f>
        <v/>
      </c>
      <c r="S65" s="242">
        <f>S52+S56+S64</f>
        <v/>
      </c>
      <c r="T65" s="242">
        <f>T52+T56+T64</f>
        <v/>
      </c>
      <c r="U65" s="242">
        <f>U52+U56+U64</f>
        <v/>
      </c>
      <c r="V65" s="242">
        <f>V52+V56+V64</f>
        <v/>
      </c>
    </row>
    <row r="66">
      <c r="A66" s="165" t="inlineStr">
        <is>
          <t>Beginning cash</t>
        </is>
      </c>
      <c r="B66" s="165" t="inlineStr">
        <is>
          <t>$mm</t>
        </is>
      </c>
      <c r="C66" s="242">
        <f>'S&amp;U_Opening'!$B$15</f>
        <v/>
      </c>
      <c r="D66" s="242">
        <f>C67</f>
        <v/>
      </c>
      <c r="E66" s="242">
        <f>D67</f>
        <v/>
      </c>
      <c r="F66" s="242">
        <f>E67</f>
        <v/>
      </c>
      <c r="G66" s="242">
        <f>F67</f>
        <v/>
      </c>
      <c r="H66" s="242">
        <f>G67</f>
        <v/>
      </c>
      <c r="I66" s="242">
        <f>H67</f>
        <v/>
      </c>
      <c r="J66" s="242">
        <f>I67</f>
        <v/>
      </c>
      <c r="K66" s="242">
        <f>J67</f>
        <v/>
      </c>
      <c r="L66" s="242">
        <f>K67</f>
        <v/>
      </c>
      <c r="M66" s="242">
        <f>L67</f>
        <v/>
      </c>
      <c r="N66" s="242">
        <f>M67</f>
        <v/>
      </c>
      <c r="O66" s="242">
        <f>N67</f>
        <v/>
      </c>
      <c r="P66" s="242">
        <f>O67</f>
        <v/>
      </c>
      <c r="Q66" s="242">
        <f>P67</f>
        <v/>
      </c>
      <c r="R66" s="242">
        <f>Q67</f>
        <v/>
      </c>
      <c r="S66" s="242">
        <f>R67</f>
        <v/>
      </c>
      <c r="T66" s="242">
        <f>S67</f>
        <v/>
      </c>
      <c r="U66" s="242">
        <f>T67</f>
        <v/>
      </c>
      <c r="V66" s="242">
        <f>U67</f>
        <v/>
      </c>
    </row>
    <row r="67">
      <c r="A67" s="165" t="inlineStr">
        <is>
          <t>Ending cash</t>
        </is>
      </c>
      <c r="B67" s="165" t="inlineStr">
        <is>
          <t>$mm</t>
        </is>
      </c>
      <c r="C67" s="242">
        <f>C66+C65</f>
        <v/>
      </c>
      <c r="D67" s="242">
        <f>D66+D65</f>
        <v/>
      </c>
      <c r="E67" s="242">
        <f>E66+E65</f>
        <v/>
      </c>
      <c r="F67" s="242">
        <f>F66+F65</f>
        <v/>
      </c>
      <c r="G67" s="242">
        <f>G66+G65</f>
        <v/>
      </c>
      <c r="H67" s="242">
        <f>H66+H65</f>
        <v/>
      </c>
      <c r="I67" s="242">
        <f>I66+I65</f>
        <v/>
      </c>
      <c r="J67" s="242">
        <f>J66+J65</f>
        <v/>
      </c>
      <c r="K67" s="242">
        <f>K66+K65</f>
        <v/>
      </c>
      <c r="L67" s="242">
        <f>L66+L65</f>
        <v/>
      </c>
      <c r="M67" s="242">
        <f>M66+M65</f>
        <v/>
      </c>
      <c r="N67" s="242">
        <f>N66+N65</f>
        <v/>
      </c>
      <c r="O67" s="242">
        <f>O66+O65</f>
        <v/>
      </c>
      <c r="P67" s="242">
        <f>P66+P65</f>
        <v/>
      </c>
      <c r="Q67" s="242">
        <f>Q66+Q65</f>
        <v/>
      </c>
      <c r="R67" s="242">
        <f>R66+R65</f>
        <v/>
      </c>
      <c r="S67" s="242">
        <f>S66+S65</f>
        <v/>
      </c>
      <c r="T67" s="242">
        <f>T66+T65</f>
        <v/>
      </c>
      <c r="U67" s="242">
        <f>U66+U65</f>
        <v/>
      </c>
      <c r="V67" s="242">
        <f>V66+V65</f>
        <v/>
      </c>
    </row>
    <row r="68">
      <c r="A68" s="39" t="inlineStr">
        <is>
          <t>Balance Sheet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</row>
    <row r="69">
      <c r="A69" s="165" t="inlineStr">
        <is>
          <t>PP&amp;E, net</t>
        </is>
      </c>
      <c r="B69" s="165" t="inlineStr">
        <is>
          <t>$mm</t>
        </is>
      </c>
      <c r="C69" s="242">
        <f>'S&amp;U_Opening'!$B$19+C41+C42-C17</f>
        <v/>
      </c>
      <c r="D69" s="242">
        <f>C69+D41+D42-D17</f>
        <v/>
      </c>
      <c r="E69" s="242">
        <f>D69+E41+E42-E17</f>
        <v/>
      </c>
      <c r="F69" s="242">
        <f>E69+F41+F42-F17</f>
        <v/>
      </c>
      <c r="G69" s="242">
        <f>F69+G41+G42-G17</f>
        <v/>
      </c>
      <c r="H69" s="242">
        <f>G69+H41+H42-H17</f>
        <v/>
      </c>
      <c r="I69" s="242">
        <f>H69+I41+I42-I17</f>
        <v/>
      </c>
      <c r="J69" s="242">
        <f>I69+J41+J42-J17</f>
        <v/>
      </c>
      <c r="K69" s="242">
        <f>J69+K41+K42-K17</f>
        <v/>
      </c>
      <c r="L69" s="242">
        <f>K69+L41+L42-L17</f>
        <v/>
      </c>
      <c r="M69" s="242">
        <f>L69+M41+M42-M17</f>
        <v/>
      </c>
      <c r="N69" s="242">
        <f>M69+N41+N42-N17</f>
        <v/>
      </c>
      <c r="O69" s="242">
        <f>N69+O41+O42-O17</f>
        <v/>
      </c>
      <c r="P69" s="242">
        <f>O69+P41+P42-P17</f>
        <v/>
      </c>
      <c r="Q69" s="242">
        <f>P69+Q41+Q42-Q17</f>
        <v/>
      </c>
      <c r="R69" s="242">
        <f>Q69+R41+R42-R17</f>
        <v/>
      </c>
      <c r="S69" s="242">
        <f>R69+S41+S42-S17</f>
        <v/>
      </c>
      <c r="T69" s="242">
        <f>S69+T41+T42-T17</f>
        <v/>
      </c>
      <c r="U69" s="242">
        <f>T69+U41+U42-U17</f>
        <v/>
      </c>
      <c r="V69" s="242">
        <f>U69+V41+V42-V17</f>
        <v/>
      </c>
    </row>
    <row r="70">
      <c r="A70" s="165" t="inlineStr">
        <is>
          <t>Goodwill</t>
        </is>
      </c>
      <c r="B70" s="165" t="inlineStr">
        <is>
          <t>$mm</t>
        </is>
      </c>
      <c r="C70" s="242">
        <f>'S&amp;U_Opening'!$B$20+'Scenario_Drivers'!C22</f>
        <v/>
      </c>
      <c r="D70" s="242">
        <f>C70+'Scenario_Drivers'!D22</f>
        <v/>
      </c>
      <c r="E70" s="242">
        <f>D70+'Scenario_Drivers'!E22</f>
        <v/>
      </c>
      <c r="F70" s="242">
        <f>E70+'Scenario_Drivers'!F22</f>
        <v/>
      </c>
      <c r="G70" s="242">
        <f>F70+'Scenario_Drivers'!G22</f>
        <v/>
      </c>
      <c r="H70" s="242">
        <f>G70+'Scenario_Drivers'!H22</f>
        <v/>
      </c>
      <c r="I70" s="242">
        <f>H70+'Scenario_Drivers'!I22</f>
        <v/>
      </c>
      <c r="J70" s="242">
        <f>I70+'Scenario_Drivers'!J22</f>
        <v/>
      </c>
      <c r="K70" s="242">
        <f>J70+'Scenario_Drivers'!K22</f>
        <v/>
      </c>
      <c r="L70" s="242">
        <f>K70+'Scenario_Drivers'!L22</f>
        <v/>
      </c>
      <c r="M70" s="242">
        <f>L70+'Scenario_Drivers'!M22</f>
        <v/>
      </c>
      <c r="N70" s="242">
        <f>M70+'Scenario_Drivers'!N22</f>
        <v/>
      </c>
      <c r="O70" s="242">
        <f>N70+'Scenario_Drivers'!O22</f>
        <v/>
      </c>
      <c r="P70" s="242">
        <f>O70+'Scenario_Drivers'!P22</f>
        <v/>
      </c>
      <c r="Q70" s="242">
        <f>P70+'Scenario_Drivers'!Q22</f>
        <v/>
      </c>
      <c r="R70" s="242">
        <f>Q70+'Scenario_Drivers'!R22</f>
        <v/>
      </c>
      <c r="S70" s="242">
        <f>R70+'Scenario_Drivers'!S22</f>
        <v/>
      </c>
      <c r="T70" s="242">
        <f>S70+'Scenario_Drivers'!T22</f>
        <v/>
      </c>
      <c r="U70" s="242">
        <f>T70+'Scenario_Drivers'!U22</f>
        <v/>
      </c>
      <c r="V70" s="242">
        <f>U70+'Scenario_Drivers'!V22</f>
        <v/>
      </c>
    </row>
    <row r="71">
      <c r="A71" s="165" t="inlineStr">
        <is>
          <t>Intangibles, net</t>
        </is>
      </c>
      <c r="B71" s="165" t="inlineStr">
        <is>
          <t>$mm</t>
        </is>
      </c>
      <c r="C71" s="242">
        <f>MAX(0,SUM('S&amp;U_Opening'!$B$21:$B$23)+'Scenario_Drivers'!C21-C18)</f>
        <v/>
      </c>
      <c r="D71" s="242">
        <f>MAX(0,C71+'Scenario_Drivers'!D21-D18)</f>
        <v/>
      </c>
      <c r="E71" s="242">
        <f>MAX(0,D71+'Scenario_Drivers'!E21-E18)</f>
        <v/>
      </c>
      <c r="F71" s="242">
        <f>MAX(0,E71+'Scenario_Drivers'!F21-F18)</f>
        <v/>
      </c>
      <c r="G71" s="242">
        <f>MAX(0,F71+'Scenario_Drivers'!G21-G18)</f>
        <v/>
      </c>
      <c r="H71" s="242">
        <f>MAX(0,G71+'Scenario_Drivers'!H21-H18)</f>
        <v/>
      </c>
      <c r="I71" s="242">
        <f>MAX(0,H71+'Scenario_Drivers'!I21-I18)</f>
        <v/>
      </c>
      <c r="J71" s="242">
        <f>MAX(0,I71+'Scenario_Drivers'!J21-J18)</f>
        <v/>
      </c>
      <c r="K71" s="242">
        <f>MAX(0,J71+'Scenario_Drivers'!K21-K18)</f>
        <v/>
      </c>
      <c r="L71" s="242">
        <f>MAX(0,K71+'Scenario_Drivers'!L21-L18)</f>
        <v/>
      </c>
      <c r="M71" s="242">
        <f>MAX(0,L71+'Scenario_Drivers'!M21-M18)</f>
        <v/>
      </c>
      <c r="N71" s="242">
        <f>MAX(0,M71+'Scenario_Drivers'!N21-N18)</f>
        <v/>
      </c>
      <c r="O71" s="242">
        <f>MAX(0,N71+'Scenario_Drivers'!O21-O18)</f>
        <v/>
      </c>
      <c r="P71" s="242">
        <f>MAX(0,O71+'Scenario_Drivers'!P21-P18)</f>
        <v/>
      </c>
      <c r="Q71" s="242">
        <f>MAX(0,P71+'Scenario_Drivers'!Q21-Q18)</f>
        <v/>
      </c>
      <c r="R71" s="242">
        <f>MAX(0,Q71+'Scenario_Drivers'!R21-R18)</f>
        <v/>
      </c>
      <c r="S71" s="242">
        <f>MAX(0,R71+'Scenario_Drivers'!S21-S18)</f>
        <v/>
      </c>
      <c r="T71" s="242">
        <f>MAX(0,S71+'Scenario_Drivers'!T21-T18)</f>
        <v/>
      </c>
      <c r="U71" s="242">
        <f>MAX(0,T71+'Scenario_Drivers'!U21-U18)</f>
        <v/>
      </c>
      <c r="V71" s="242">
        <f>MAX(0,U71+'Scenario_Drivers'!V21-V18)</f>
        <v/>
      </c>
    </row>
    <row r="72">
      <c r="A72" s="165" t="inlineStr">
        <is>
          <t>Integration asset</t>
        </is>
      </c>
      <c r="B72" s="165" t="inlineStr">
        <is>
          <t>$mm</t>
        </is>
      </c>
      <c r="C72" s="242">
        <f>MAX(0,0+C45-C19)</f>
        <v/>
      </c>
      <c r="D72" s="242">
        <f>MAX(0,C72+D45-D19)</f>
        <v/>
      </c>
      <c r="E72" s="242">
        <f>MAX(0,D72+E45-E19)</f>
        <v/>
      </c>
      <c r="F72" s="242">
        <f>MAX(0,E72+F45-F19)</f>
        <v/>
      </c>
      <c r="G72" s="242">
        <f>MAX(0,F72+G45-G19)</f>
        <v/>
      </c>
      <c r="H72" s="242">
        <f>MAX(0,G72+H45-H19)</f>
        <v/>
      </c>
      <c r="I72" s="242">
        <f>MAX(0,H72+I45-I19)</f>
        <v/>
      </c>
      <c r="J72" s="242">
        <f>MAX(0,I72+J45-J19)</f>
        <v/>
      </c>
      <c r="K72" s="242">
        <f>MAX(0,J72+K45-K19)</f>
        <v/>
      </c>
      <c r="L72" s="242">
        <f>MAX(0,K72+L45-L19)</f>
        <v/>
      </c>
      <c r="M72" s="242">
        <f>MAX(0,L72+M45-M19)</f>
        <v/>
      </c>
      <c r="N72" s="242">
        <f>MAX(0,M72+N45-N19)</f>
        <v/>
      </c>
      <c r="O72" s="242">
        <f>MAX(0,N72+O45-O19)</f>
        <v/>
      </c>
      <c r="P72" s="242">
        <f>MAX(0,O72+P45-P19)</f>
        <v/>
      </c>
      <c r="Q72" s="242">
        <f>MAX(0,P72+Q45-Q19)</f>
        <v/>
      </c>
      <c r="R72" s="242">
        <f>MAX(0,Q72+R45-R19)</f>
        <v/>
      </c>
      <c r="S72" s="242">
        <f>MAX(0,R72+S45-S19)</f>
        <v/>
      </c>
      <c r="T72" s="242">
        <f>MAX(0,S72+T45-T19)</f>
        <v/>
      </c>
      <c r="U72" s="242">
        <f>MAX(0,T72+U45-U19)</f>
        <v/>
      </c>
      <c r="V72" s="242">
        <f>MAX(0,U72+V45-V19)</f>
        <v/>
      </c>
    </row>
    <row r="73">
      <c r="A73" s="165" t="inlineStr">
        <is>
          <t>Deferred financing fees</t>
        </is>
      </c>
      <c r="B73" s="165" t="inlineStr">
        <is>
          <t>$mm</t>
        </is>
      </c>
      <c r="C73" s="242">
        <f>MAX(0,'S&amp;U_Opening'!$B$24-C23)</f>
        <v/>
      </c>
      <c r="D73" s="242">
        <f>MAX(0,C73-D23)</f>
        <v/>
      </c>
      <c r="E73" s="242">
        <f>MAX(0,D73-E23)</f>
        <v/>
      </c>
      <c r="F73" s="242">
        <f>MAX(0,E73-F23)</f>
        <v/>
      </c>
      <c r="G73" s="242">
        <f>MAX(0,F73-G23)</f>
        <v/>
      </c>
      <c r="H73" s="242">
        <f>MAX(0,G73-H23)</f>
        <v/>
      </c>
      <c r="I73" s="242">
        <f>MAX(0,H73-I23)</f>
        <v/>
      </c>
      <c r="J73" s="242">
        <f>MAX(0,I73-J23)</f>
        <v/>
      </c>
      <c r="K73" s="242">
        <f>MAX(0,J73-K23)</f>
        <v/>
      </c>
      <c r="L73" s="242">
        <f>MAX(0,K73-L23)</f>
        <v/>
      </c>
      <c r="M73" s="242">
        <f>MAX(0,L73-M23)</f>
        <v/>
      </c>
      <c r="N73" s="242">
        <f>MAX(0,M73-N23)</f>
        <v/>
      </c>
      <c r="O73" s="242">
        <f>MAX(0,N73-O23)</f>
        <v/>
      </c>
      <c r="P73" s="242">
        <f>MAX(0,O73-P23)</f>
        <v/>
      </c>
      <c r="Q73" s="242">
        <f>MAX(0,P73-Q23)</f>
        <v/>
      </c>
      <c r="R73" s="242">
        <f>MAX(0,Q73-R23)</f>
        <v/>
      </c>
      <c r="S73" s="242">
        <f>MAX(0,R73-S23)</f>
        <v/>
      </c>
      <c r="T73" s="242">
        <f>MAX(0,S73-T23)</f>
        <v/>
      </c>
      <c r="U73" s="242">
        <f>MAX(0,T73-U23)</f>
        <v/>
      </c>
      <c r="V73" s="242">
        <f>MAX(0,U73-V23)</f>
        <v/>
      </c>
    </row>
    <row r="74">
      <c r="A74" s="165" t="inlineStr">
        <is>
          <t>Other assets</t>
        </is>
      </c>
      <c r="B74" s="165" t="inlineStr">
        <is>
          <t>$mm</t>
        </is>
      </c>
      <c r="C74" s="242">
        <f>1.3</f>
        <v/>
      </c>
      <c r="D74" s="242">
        <f>1.3</f>
        <v/>
      </c>
      <c r="E74" s="242">
        <f>1.3</f>
        <v/>
      </c>
      <c r="F74" s="242">
        <f>1.3</f>
        <v/>
      </c>
      <c r="G74" s="242">
        <f>1.3</f>
        <v/>
      </c>
      <c r="H74" s="242">
        <f>1.3</f>
        <v/>
      </c>
      <c r="I74" s="242">
        <f>1.3</f>
        <v/>
      </c>
      <c r="J74" s="242">
        <f>1.3</f>
        <v/>
      </c>
      <c r="K74" s="242">
        <f>1.3</f>
        <v/>
      </c>
      <c r="L74" s="242">
        <f>1.3</f>
        <v/>
      </c>
      <c r="M74" s="242">
        <f>1.3</f>
        <v/>
      </c>
      <c r="N74" s="242">
        <f>1.3</f>
        <v/>
      </c>
      <c r="O74" s="242">
        <f>1.3</f>
        <v/>
      </c>
      <c r="P74" s="242">
        <f>1.3</f>
        <v/>
      </c>
      <c r="Q74" s="242">
        <f>1.3</f>
        <v/>
      </c>
      <c r="R74" s="242">
        <f>1.3</f>
        <v/>
      </c>
      <c r="S74" s="242">
        <f>1.3</f>
        <v/>
      </c>
      <c r="T74" s="242">
        <f>1.3</f>
        <v/>
      </c>
      <c r="U74" s="242">
        <f>1.3</f>
        <v/>
      </c>
      <c r="V74" s="242">
        <f>1.3</f>
        <v/>
      </c>
    </row>
    <row r="75">
      <c r="A75" s="165" t="inlineStr">
        <is>
          <t>Total assets</t>
        </is>
      </c>
      <c r="B75" s="165" t="inlineStr">
        <is>
          <t>$mm</t>
        </is>
      </c>
      <c r="C75" s="242">
        <f>SUM(C67,C30,C31,C32,C69,C70,C71,C72,C73,C74)</f>
        <v/>
      </c>
      <c r="D75" s="242">
        <f>SUM(D67,D30,D31,D32,D69,D70,D71,D72,D73,D74)</f>
        <v/>
      </c>
      <c r="E75" s="242">
        <f>SUM(E67,E30,E31,E32,E69,E70,E71,E72,E73,E74)</f>
        <v/>
      </c>
      <c r="F75" s="242">
        <f>SUM(F67,F30,F31,F32,F69,F70,F71,F72,F73,F74)</f>
        <v/>
      </c>
      <c r="G75" s="242">
        <f>SUM(G67,G30,G31,G32,G69,G70,G71,G72,G73,G74)</f>
        <v/>
      </c>
      <c r="H75" s="242">
        <f>SUM(H67,H30,H31,H32,H69,H70,H71,H72,H73,H74)</f>
        <v/>
      </c>
      <c r="I75" s="242">
        <f>SUM(I67,I30,I31,I32,I69,I70,I71,I72,I73,I74)</f>
        <v/>
      </c>
      <c r="J75" s="242">
        <f>SUM(J67,J30,J31,J32,J69,J70,J71,J72,J73,J74)</f>
        <v/>
      </c>
      <c r="K75" s="242">
        <f>SUM(K67,K30,K31,K32,K69,K70,K71,K72,K73,K74)</f>
        <v/>
      </c>
      <c r="L75" s="242">
        <f>SUM(L67,L30,L31,L32,L69,L70,L71,L72,L73,L74)</f>
        <v/>
      </c>
      <c r="M75" s="242">
        <f>SUM(M67,M30,M31,M32,M69,M70,M71,M72,M73,M74)</f>
        <v/>
      </c>
      <c r="N75" s="242">
        <f>SUM(N67,N30,N31,N32,N69,N70,N71,N72,N73,N74)</f>
        <v/>
      </c>
      <c r="O75" s="242">
        <f>SUM(O67,O30,O31,O32,O69,O70,O71,O72,O73,O74)</f>
        <v/>
      </c>
      <c r="P75" s="242">
        <f>SUM(P67,P30,P31,P32,P69,P70,P71,P72,P73,P74)</f>
        <v/>
      </c>
      <c r="Q75" s="242">
        <f>SUM(Q67,Q30,Q31,Q32,Q69,Q70,Q71,Q72,Q73,Q74)</f>
        <v/>
      </c>
      <c r="R75" s="242">
        <f>SUM(R67,R30,R31,R32,R69,R70,R71,R72,R73,R74)</f>
        <v/>
      </c>
      <c r="S75" s="242">
        <f>SUM(S67,S30,S31,S32,S69,S70,S71,S72,S73,S74)</f>
        <v/>
      </c>
      <c r="T75" s="242">
        <f>SUM(T67,T30,T31,T32,T69,T70,T71,T72,T73,T74)</f>
        <v/>
      </c>
      <c r="U75" s="242">
        <f>SUM(U67,U30,U31,U32,U69,U70,U71,U72,U73,U74)</f>
        <v/>
      </c>
      <c r="V75" s="242">
        <f>SUM(V67,V30,V31,V32,V69,V70,V71,V72,V73,V74)</f>
        <v/>
      </c>
    </row>
    <row r="76">
      <c r="A76" s="165" t="inlineStr">
        <is>
          <t>Term loan</t>
        </is>
      </c>
      <c r="B76" s="165" t="inlineStr">
        <is>
          <t>$mm</t>
        </is>
      </c>
      <c r="C76" s="242">
        <f>MAX(0,MAX(0,'S&amp;U_Opening'!$E$18+C61)+C63)</f>
        <v/>
      </c>
      <c r="D76" s="242">
        <f>MAX(0,MAX(0,C76+D61)+D63)</f>
        <v/>
      </c>
      <c r="E76" s="242">
        <f>MAX(0,MAX(0,D76+E61)+E63)</f>
        <v/>
      </c>
      <c r="F76" s="242">
        <f>MAX(0,MAX(0,E76+F61)+F63)</f>
        <v/>
      </c>
      <c r="G76" s="242">
        <f>MAX(0,MAX(0,F76+G61)+G63)</f>
        <v/>
      </c>
      <c r="H76" s="242">
        <f>MAX(0,MAX(0,G76+H61)+H63)</f>
        <v/>
      </c>
      <c r="I76" s="242">
        <f>MAX(0,MAX(0,H76+I61)+I63)</f>
        <v/>
      </c>
      <c r="J76" s="242">
        <f>MAX(0,MAX(0,I76+J61)+J63)</f>
        <v/>
      </c>
      <c r="K76" s="242">
        <f>MAX(0,MAX(0,J76+K61)+K63)</f>
        <v/>
      </c>
      <c r="L76" s="242">
        <f>MAX(0,MAX(0,K76+L61)+L63)</f>
        <v/>
      </c>
      <c r="M76" s="242">
        <f>MAX(0,MAX(0,L76+M61)+M63)</f>
        <v/>
      </c>
      <c r="N76" s="242">
        <f>MAX(0,MAX(0,M76+N61)+N63)</f>
        <v/>
      </c>
      <c r="O76" s="242">
        <f>MAX(0,MAX(0,N76+O61)+O63)</f>
        <v/>
      </c>
      <c r="P76" s="242">
        <f>MAX(0,MAX(0,O76+P61)+P63)</f>
        <v/>
      </c>
      <c r="Q76" s="242">
        <f>MAX(0,MAX(0,P76+Q61)+Q63)</f>
        <v/>
      </c>
      <c r="R76" s="242">
        <f>MAX(0,MAX(0,Q76+R61)+R63)</f>
        <v/>
      </c>
      <c r="S76" s="242">
        <f>MAX(0,MAX(0,R76+S61)+S63)</f>
        <v/>
      </c>
      <c r="T76" s="242">
        <f>MAX(0,MAX(0,S76+T61)+T63)</f>
        <v/>
      </c>
      <c r="U76" s="242">
        <f>MAX(0,MAX(0,T76+U61)+U63)</f>
        <v/>
      </c>
      <c r="V76" s="242">
        <f>MAX(0,MAX(0,U76+V61)+V63)</f>
        <v/>
      </c>
    </row>
    <row r="77">
      <c r="A77" s="165" t="inlineStr">
        <is>
          <t>DDTL</t>
        </is>
      </c>
      <c r="B77" s="165" t="inlineStr">
        <is>
          <t>$mm</t>
        </is>
      </c>
      <c r="C77" s="242">
        <f>MAX(0,0+C58+C62)</f>
        <v/>
      </c>
      <c r="D77" s="242">
        <f>MAX(0,C77+D58+D62)</f>
        <v/>
      </c>
      <c r="E77" s="242">
        <f>MAX(0,D77+E58+E62)</f>
        <v/>
      </c>
      <c r="F77" s="242">
        <f>MAX(0,E77+F58+F62)</f>
        <v/>
      </c>
      <c r="G77" s="242">
        <f>MAX(0,F77+G58+G62)</f>
        <v/>
      </c>
      <c r="H77" s="242">
        <f>MAX(0,G77+H58+H62)</f>
        <v/>
      </c>
      <c r="I77" s="242">
        <f>MAX(0,H77+I58+I62)</f>
        <v/>
      </c>
      <c r="J77" s="242">
        <f>MAX(0,I77+J58+J62)</f>
        <v/>
      </c>
      <c r="K77" s="242">
        <f>MAX(0,J77+K58+K62)</f>
        <v/>
      </c>
      <c r="L77" s="242">
        <f>MAX(0,K77+L58+L62)</f>
        <v/>
      </c>
      <c r="M77" s="242">
        <f>MAX(0,L77+M58+M62)</f>
        <v/>
      </c>
      <c r="N77" s="242">
        <f>MAX(0,M77+N58+N62)</f>
        <v/>
      </c>
      <c r="O77" s="242">
        <f>MAX(0,N77+O58+O62)</f>
        <v/>
      </c>
      <c r="P77" s="242">
        <f>MAX(0,O77+P58+P62)</f>
        <v/>
      </c>
      <c r="Q77" s="242">
        <f>MAX(0,P77+Q58+Q62)</f>
        <v/>
      </c>
      <c r="R77" s="242">
        <f>MAX(0,Q77+R58+R62)</f>
        <v/>
      </c>
      <c r="S77" s="242">
        <f>MAX(0,R77+S58+S62)</f>
        <v/>
      </c>
      <c r="T77" s="242">
        <f>MAX(0,S77+T58+T62)</f>
        <v/>
      </c>
      <c r="U77" s="242">
        <f>MAX(0,T77+U58+U62)</f>
        <v/>
      </c>
      <c r="V77" s="242">
        <f>MAX(0,U77+V58+V62)</f>
        <v/>
      </c>
    </row>
    <row r="78">
      <c r="A78" s="165" t="inlineStr">
        <is>
          <t>Revolver</t>
        </is>
      </c>
      <c r="B78" s="165" t="inlineStr">
        <is>
          <t>$mm</t>
        </is>
      </c>
      <c r="C78" s="242">
        <f>0+C59+C60</f>
        <v/>
      </c>
      <c r="D78" s="242">
        <f>C78+D59+D60</f>
        <v/>
      </c>
      <c r="E78" s="242">
        <f>D78+E59+E60</f>
        <v/>
      </c>
      <c r="F78" s="242">
        <f>E78+F59+F60</f>
        <v/>
      </c>
      <c r="G78" s="242">
        <f>F78+G59+G60</f>
        <v/>
      </c>
      <c r="H78" s="242">
        <f>G78+H59+H60</f>
        <v/>
      </c>
      <c r="I78" s="242">
        <f>H78+I59+I60</f>
        <v/>
      </c>
      <c r="J78" s="242">
        <f>I78+J59+J60</f>
        <v/>
      </c>
      <c r="K78" s="242">
        <f>J78+K59+K60</f>
        <v/>
      </c>
      <c r="L78" s="242">
        <f>K78+L59+L60</f>
        <v/>
      </c>
      <c r="M78" s="242">
        <f>L78+M59+M60</f>
        <v/>
      </c>
      <c r="N78" s="242">
        <f>M78+N59+N60</f>
        <v/>
      </c>
      <c r="O78" s="242">
        <f>N78+O59+O60</f>
        <v/>
      </c>
      <c r="P78" s="242">
        <f>O78+P59+P60</f>
        <v/>
      </c>
      <c r="Q78" s="242">
        <f>P78+Q59+Q60</f>
        <v/>
      </c>
      <c r="R78" s="242">
        <f>Q78+R59+R60</f>
        <v/>
      </c>
      <c r="S78" s="242">
        <f>R78+S59+S60</f>
        <v/>
      </c>
      <c r="T78" s="242">
        <f>S78+T59+T60</f>
        <v/>
      </c>
      <c r="U78" s="242">
        <f>T78+U59+U60</f>
        <v/>
      </c>
      <c r="V78" s="242">
        <f>U78+V59+V60</f>
        <v/>
      </c>
    </row>
    <row r="79">
      <c r="A79" s="165" t="inlineStr">
        <is>
          <t>Accounts payable - BS</t>
        </is>
      </c>
      <c r="B79" s="165" t="inlineStr">
        <is>
          <t>$mm</t>
        </is>
      </c>
      <c r="C79" s="242">
        <f>C33</f>
        <v/>
      </c>
      <c r="D79" s="242">
        <f>D33</f>
        <v/>
      </c>
      <c r="E79" s="242">
        <f>E33</f>
        <v/>
      </c>
      <c r="F79" s="242">
        <f>F33</f>
        <v/>
      </c>
      <c r="G79" s="242">
        <f>G33</f>
        <v/>
      </c>
      <c r="H79" s="242">
        <f>H33</f>
        <v/>
      </c>
      <c r="I79" s="242">
        <f>I33</f>
        <v/>
      </c>
      <c r="J79" s="242">
        <f>J33</f>
        <v/>
      </c>
      <c r="K79" s="242">
        <f>K33</f>
        <v/>
      </c>
      <c r="L79" s="242">
        <f>L33</f>
        <v/>
      </c>
      <c r="M79" s="242">
        <f>M33</f>
        <v/>
      </c>
      <c r="N79" s="242">
        <f>N33</f>
        <v/>
      </c>
      <c r="O79" s="242">
        <f>O33</f>
        <v/>
      </c>
      <c r="P79" s="242">
        <f>P33</f>
        <v/>
      </c>
      <c r="Q79" s="242">
        <f>Q33</f>
        <v/>
      </c>
      <c r="R79" s="242">
        <f>R33</f>
        <v/>
      </c>
      <c r="S79" s="242">
        <f>S33</f>
        <v/>
      </c>
      <c r="T79" s="242">
        <f>T33</f>
        <v/>
      </c>
      <c r="U79" s="242">
        <f>U33</f>
        <v/>
      </c>
      <c r="V79" s="242">
        <f>V33</f>
        <v/>
      </c>
    </row>
    <row r="80">
      <c r="A80" s="165" t="inlineStr">
        <is>
          <t>Accrued liabilities - BS</t>
        </is>
      </c>
      <c r="B80" s="165" t="inlineStr">
        <is>
          <t>$mm</t>
        </is>
      </c>
      <c r="C80" s="242">
        <f>C34</f>
        <v/>
      </c>
      <c r="D80" s="242">
        <f>D34</f>
        <v/>
      </c>
      <c r="E80" s="242">
        <f>E34</f>
        <v/>
      </c>
      <c r="F80" s="242">
        <f>F34</f>
        <v/>
      </c>
      <c r="G80" s="242">
        <f>G34</f>
        <v/>
      </c>
      <c r="H80" s="242">
        <f>H34</f>
        <v/>
      </c>
      <c r="I80" s="242">
        <f>I34</f>
        <v/>
      </c>
      <c r="J80" s="242">
        <f>J34</f>
        <v/>
      </c>
      <c r="K80" s="242">
        <f>K34</f>
        <v/>
      </c>
      <c r="L80" s="242">
        <f>L34</f>
        <v/>
      </c>
      <c r="M80" s="242">
        <f>M34</f>
        <v/>
      </c>
      <c r="N80" s="242">
        <f>N34</f>
        <v/>
      </c>
      <c r="O80" s="242">
        <f>O34</f>
        <v/>
      </c>
      <c r="P80" s="242">
        <f>P34</f>
        <v/>
      </c>
      <c r="Q80" s="242">
        <f>Q34</f>
        <v/>
      </c>
      <c r="R80" s="242">
        <f>R34</f>
        <v/>
      </c>
      <c r="S80" s="242">
        <f>S34</f>
        <v/>
      </c>
      <c r="T80" s="242">
        <f>T34</f>
        <v/>
      </c>
      <c r="U80" s="242">
        <f>U34</f>
        <v/>
      </c>
      <c r="V80" s="242">
        <f>V34</f>
        <v/>
      </c>
    </row>
    <row r="81">
      <c r="A81" s="165" t="inlineStr">
        <is>
          <t>Deferred revenue - BS</t>
        </is>
      </c>
      <c r="B81" s="165" t="inlineStr">
        <is>
          <t>$mm</t>
        </is>
      </c>
      <c r="C81" s="242">
        <f>C35</f>
        <v/>
      </c>
      <c r="D81" s="242">
        <f>D35</f>
        <v/>
      </c>
      <c r="E81" s="242">
        <f>E35</f>
        <v/>
      </c>
      <c r="F81" s="242">
        <f>F35</f>
        <v/>
      </c>
      <c r="G81" s="242">
        <f>G35</f>
        <v/>
      </c>
      <c r="H81" s="242">
        <f>H35</f>
        <v/>
      </c>
      <c r="I81" s="242">
        <f>I35</f>
        <v/>
      </c>
      <c r="J81" s="242">
        <f>J35</f>
        <v/>
      </c>
      <c r="K81" s="242">
        <f>K35</f>
        <v/>
      </c>
      <c r="L81" s="242">
        <f>L35</f>
        <v/>
      </c>
      <c r="M81" s="242">
        <f>M35</f>
        <v/>
      </c>
      <c r="N81" s="242">
        <f>N35</f>
        <v/>
      </c>
      <c r="O81" s="242">
        <f>O35</f>
        <v/>
      </c>
      <c r="P81" s="242">
        <f>P35</f>
        <v/>
      </c>
      <c r="Q81" s="242">
        <f>Q35</f>
        <v/>
      </c>
      <c r="R81" s="242">
        <f>R35</f>
        <v/>
      </c>
      <c r="S81" s="242">
        <f>S35</f>
        <v/>
      </c>
      <c r="T81" s="242">
        <f>T35</f>
        <v/>
      </c>
      <c r="U81" s="242">
        <f>U35</f>
        <v/>
      </c>
      <c r="V81" s="242">
        <f>V35</f>
        <v/>
      </c>
    </row>
    <row r="82">
      <c r="A82" s="165" t="inlineStr">
        <is>
          <t>Deferred tax liability</t>
        </is>
      </c>
      <c r="B82" s="165" t="inlineStr">
        <is>
          <t>$mm</t>
        </is>
      </c>
      <c r="C82" s="242">
        <f>MAX(0,'S&amp;U_Opening'!$E$19+'Scenario_Drivers'!C23-C26+C27)</f>
        <v/>
      </c>
      <c r="D82" s="242">
        <f>MAX(0,C82+'Scenario_Drivers'!D23-D26+D27)</f>
        <v/>
      </c>
      <c r="E82" s="242">
        <f>MAX(0,D82+'Scenario_Drivers'!E23-E26+E27)</f>
        <v/>
      </c>
      <c r="F82" s="242">
        <f>MAX(0,E82+'Scenario_Drivers'!F23-F26+F27)</f>
        <v/>
      </c>
      <c r="G82" s="242">
        <f>MAX(0,F82+'Scenario_Drivers'!G23-G26+G27)</f>
        <v/>
      </c>
      <c r="H82" s="242">
        <f>MAX(0,G82+'Scenario_Drivers'!H23-H26+H27)</f>
        <v/>
      </c>
      <c r="I82" s="242">
        <f>MAX(0,H82+'Scenario_Drivers'!I23-I26+I27)</f>
        <v/>
      </c>
      <c r="J82" s="242">
        <f>MAX(0,I82+'Scenario_Drivers'!J23-J26+J27)</f>
        <v/>
      </c>
      <c r="K82" s="242">
        <f>MAX(0,J82+'Scenario_Drivers'!K23-K26+K27)</f>
        <v/>
      </c>
      <c r="L82" s="242">
        <f>MAX(0,K82+'Scenario_Drivers'!L23-L26+L27)</f>
        <v/>
      </c>
      <c r="M82" s="242">
        <f>MAX(0,L82+'Scenario_Drivers'!M23-M26+M27)</f>
        <v/>
      </c>
      <c r="N82" s="242">
        <f>MAX(0,M82+'Scenario_Drivers'!N23-N26+N27)</f>
        <v/>
      </c>
      <c r="O82" s="242">
        <f>MAX(0,N82+'Scenario_Drivers'!O23-O26+O27)</f>
        <v/>
      </c>
      <c r="P82" s="242">
        <f>MAX(0,O82+'Scenario_Drivers'!P23-P26+P27)</f>
        <v/>
      </c>
      <c r="Q82" s="242">
        <f>MAX(0,P82+'Scenario_Drivers'!Q23-Q26+Q27)</f>
        <v/>
      </c>
      <c r="R82" s="242">
        <f>MAX(0,Q82+'Scenario_Drivers'!R23-R26+R27)</f>
        <v/>
      </c>
      <c r="S82" s="242">
        <f>MAX(0,R82+'Scenario_Drivers'!S23-S26+S27)</f>
        <v/>
      </c>
      <c r="T82" s="242">
        <f>MAX(0,S82+'Scenario_Drivers'!T23-T26+T27)</f>
        <v/>
      </c>
      <c r="U82" s="242">
        <f>MAX(0,T82+'Scenario_Drivers'!U23-U26+U27)</f>
        <v/>
      </c>
      <c r="V82" s="242">
        <f>MAX(0,U82+'Scenario_Drivers'!V23-V26+V27)</f>
        <v/>
      </c>
    </row>
    <row r="83">
      <c r="A83" s="165" t="inlineStr">
        <is>
          <t>Other liabilities</t>
        </is>
      </c>
      <c r="B83" s="165" t="inlineStr">
        <is>
          <t>$mm</t>
        </is>
      </c>
      <c r="C83" s="242">
        <f>'S&amp;U_Opening'!$E$20+'Scenario_Drivers'!C24</f>
        <v/>
      </c>
      <c r="D83" s="242">
        <f>C83+'Scenario_Drivers'!D24</f>
        <v/>
      </c>
      <c r="E83" s="242">
        <f>D83+'Scenario_Drivers'!E24</f>
        <v/>
      </c>
      <c r="F83" s="242">
        <f>E83+'Scenario_Drivers'!F24</f>
        <v/>
      </c>
      <c r="G83" s="242">
        <f>F83+'Scenario_Drivers'!G24</f>
        <v/>
      </c>
      <c r="H83" s="242">
        <f>G83+'Scenario_Drivers'!H24</f>
        <v/>
      </c>
      <c r="I83" s="242">
        <f>H83+'Scenario_Drivers'!I24</f>
        <v/>
      </c>
      <c r="J83" s="242">
        <f>I83+'Scenario_Drivers'!J24</f>
        <v/>
      </c>
      <c r="K83" s="242">
        <f>J83+'Scenario_Drivers'!K24</f>
        <v/>
      </c>
      <c r="L83" s="242">
        <f>K83+'Scenario_Drivers'!L24</f>
        <v/>
      </c>
      <c r="M83" s="242">
        <f>L83+'Scenario_Drivers'!M24</f>
        <v/>
      </c>
      <c r="N83" s="242">
        <f>M83+'Scenario_Drivers'!N24</f>
        <v/>
      </c>
      <c r="O83" s="242">
        <f>N83+'Scenario_Drivers'!O24</f>
        <v/>
      </c>
      <c r="P83" s="242">
        <f>O83+'Scenario_Drivers'!P24</f>
        <v/>
      </c>
      <c r="Q83" s="242">
        <f>P83+'Scenario_Drivers'!Q24</f>
        <v/>
      </c>
      <c r="R83" s="242">
        <f>Q83+'Scenario_Drivers'!R24</f>
        <v/>
      </c>
      <c r="S83" s="242">
        <f>R83+'Scenario_Drivers'!S24</f>
        <v/>
      </c>
      <c r="T83" s="242">
        <f>S83+'Scenario_Drivers'!T24</f>
        <v/>
      </c>
      <c r="U83" s="242">
        <f>T83+'Scenario_Drivers'!U24</f>
        <v/>
      </c>
      <c r="V83" s="242">
        <f>U83+'Scenario_Drivers'!V24</f>
        <v/>
      </c>
    </row>
    <row r="84">
      <c r="A84" s="165" t="inlineStr">
        <is>
          <t>Total liabilities</t>
        </is>
      </c>
      <c r="B84" s="165" t="inlineStr">
        <is>
          <t>$mm</t>
        </is>
      </c>
      <c r="C84" s="242">
        <f>SUM(C76:C83)</f>
        <v/>
      </c>
      <c r="D84" s="242">
        <f>SUM(D76:D83)</f>
        <v/>
      </c>
      <c r="E84" s="242">
        <f>SUM(E76:E83)</f>
        <v/>
      </c>
      <c r="F84" s="242">
        <f>SUM(F76:F83)</f>
        <v/>
      </c>
      <c r="G84" s="242">
        <f>SUM(G76:G83)</f>
        <v/>
      </c>
      <c r="H84" s="242">
        <f>SUM(H76:H83)</f>
        <v/>
      </c>
      <c r="I84" s="242">
        <f>SUM(I76:I83)</f>
        <v/>
      </c>
      <c r="J84" s="242">
        <f>SUM(J76:J83)</f>
        <v/>
      </c>
      <c r="K84" s="242">
        <f>SUM(K76:K83)</f>
        <v/>
      </c>
      <c r="L84" s="242">
        <f>SUM(L76:L83)</f>
        <v/>
      </c>
      <c r="M84" s="242">
        <f>SUM(M76:M83)</f>
        <v/>
      </c>
      <c r="N84" s="242">
        <f>SUM(N76:N83)</f>
        <v/>
      </c>
      <c r="O84" s="242">
        <f>SUM(O76:O83)</f>
        <v/>
      </c>
      <c r="P84" s="242">
        <f>SUM(P76:P83)</f>
        <v/>
      </c>
      <c r="Q84" s="242">
        <f>SUM(Q76:Q83)</f>
        <v/>
      </c>
      <c r="R84" s="242">
        <f>SUM(R76:R83)</f>
        <v/>
      </c>
      <c r="S84" s="242">
        <f>SUM(S76:S83)</f>
        <v/>
      </c>
      <c r="T84" s="242">
        <f>SUM(T76:T83)</f>
        <v/>
      </c>
      <c r="U84" s="242">
        <f>SUM(U76:U83)</f>
        <v/>
      </c>
      <c r="V84" s="242">
        <f>SUM(V76:V83)</f>
        <v/>
      </c>
    </row>
    <row r="85">
      <c r="A85" s="165" t="inlineStr">
        <is>
          <t>Equity</t>
        </is>
      </c>
      <c r="B85" s="165" t="inlineStr">
        <is>
          <t>$mm</t>
        </is>
      </c>
      <c r="C85" s="242">
        <f>'S&amp;U_Opening'!$E$21+C28+C57</f>
        <v/>
      </c>
      <c r="D85" s="242">
        <f>C85+D28+D57</f>
        <v/>
      </c>
      <c r="E85" s="242">
        <f>D85+E28+E57</f>
        <v/>
      </c>
      <c r="F85" s="242">
        <f>E85+F28+F57</f>
        <v/>
      </c>
      <c r="G85" s="242">
        <f>F85+G28+G57</f>
        <v/>
      </c>
      <c r="H85" s="242">
        <f>G85+H28+H57</f>
        <v/>
      </c>
      <c r="I85" s="242">
        <f>H85+I28+I57</f>
        <v/>
      </c>
      <c r="J85" s="242">
        <f>I85+J28+J57</f>
        <v/>
      </c>
      <c r="K85" s="242">
        <f>J85+K28+K57</f>
        <v/>
      </c>
      <c r="L85" s="242">
        <f>K85+L28+L57</f>
        <v/>
      </c>
      <c r="M85" s="242">
        <f>L85+M28+M57</f>
        <v/>
      </c>
      <c r="N85" s="242">
        <f>M85+N28+N57</f>
        <v/>
      </c>
      <c r="O85" s="242">
        <f>N85+O28+O57</f>
        <v/>
      </c>
      <c r="P85" s="242">
        <f>O85+P28+P57</f>
        <v/>
      </c>
      <c r="Q85" s="242">
        <f>P85+Q28+Q57</f>
        <v/>
      </c>
      <c r="R85" s="242">
        <f>Q85+R28+R57</f>
        <v/>
      </c>
      <c r="S85" s="242">
        <f>R85+S28+S57</f>
        <v/>
      </c>
      <c r="T85" s="242">
        <f>S85+T28+T57</f>
        <v/>
      </c>
      <c r="U85" s="242">
        <f>T85+U28+U57</f>
        <v/>
      </c>
      <c r="V85" s="242">
        <f>U85+V28+V57</f>
        <v/>
      </c>
    </row>
    <row r="86">
      <c r="A86" s="165" t="inlineStr">
        <is>
          <t>Total liabilities &amp; equity</t>
        </is>
      </c>
      <c r="B86" s="165" t="inlineStr">
        <is>
          <t>$mm</t>
        </is>
      </c>
      <c r="C86" s="242">
        <f>C84+C85</f>
        <v/>
      </c>
      <c r="D86" s="242">
        <f>D84+D85</f>
        <v/>
      </c>
      <c r="E86" s="242">
        <f>E84+E85</f>
        <v/>
      </c>
      <c r="F86" s="242">
        <f>F84+F85</f>
        <v/>
      </c>
      <c r="G86" s="242">
        <f>G84+G85</f>
        <v/>
      </c>
      <c r="H86" s="242">
        <f>H84+H85</f>
        <v/>
      </c>
      <c r="I86" s="242">
        <f>I84+I85</f>
        <v/>
      </c>
      <c r="J86" s="242">
        <f>J84+J85</f>
        <v/>
      </c>
      <c r="K86" s="242">
        <f>K84+K85</f>
        <v/>
      </c>
      <c r="L86" s="242">
        <f>L84+L85</f>
        <v/>
      </c>
      <c r="M86" s="242">
        <f>M84+M85</f>
        <v/>
      </c>
      <c r="N86" s="242">
        <f>N84+N85</f>
        <v/>
      </c>
      <c r="O86" s="242">
        <f>O84+O85</f>
        <v/>
      </c>
      <c r="P86" s="242">
        <f>P84+P85</f>
        <v/>
      </c>
      <c r="Q86" s="242">
        <f>Q84+Q85</f>
        <v/>
      </c>
      <c r="R86" s="242">
        <f>R84+R85</f>
        <v/>
      </c>
      <c r="S86" s="242">
        <f>S84+S85</f>
        <v/>
      </c>
      <c r="T86" s="242">
        <f>T84+T85</f>
        <v/>
      </c>
      <c r="U86" s="242">
        <f>U84+U85</f>
        <v/>
      </c>
      <c r="V86" s="242">
        <f>V84+V85</f>
        <v/>
      </c>
    </row>
    <row r="87">
      <c r="A87" s="165" t="inlineStr">
        <is>
          <t>Balance sheet check</t>
        </is>
      </c>
      <c r="B87" s="165" t="inlineStr">
        <is>
          <t>$mm</t>
        </is>
      </c>
      <c r="C87" s="242">
        <f>C75-C86</f>
        <v/>
      </c>
      <c r="D87" s="242">
        <f>D75-D86</f>
        <v/>
      </c>
      <c r="E87" s="242">
        <f>E75-E86</f>
        <v/>
      </c>
      <c r="F87" s="242">
        <f>F75-F86</f>
        <v/>
      </c>
      <c r="G87" s="242">
        <f>G75-G86</f>
        <v/>
      </c>
      <c r="H87" s="242">
        <f>H75-H86</f>
        <v/>
      </c>
      <c r="I87" s="242">
        <f>I75-I86</f>
        <v/>
      </c>
      <c r="J87" s="242">
        <f>J75-J86</f>
        <v/>
      </c>
      <c r="K87" s="242">
        <f>K75-K86</f>
        <v/>
      </c>
      <c r="L87" s="242">
        <f>L75-L86</f>
        <v/>
      </c>
      <c r="M87" s="242">
        <f>M75-M86</f>
        <v/>
      </c>
      <c r="N87" s="242">
        <f>N75-N86</f>
        <v/>
      </c>
      <c r="O87" s="242">
        <f>O75-O86</f>
        <v/>
      </c>
      <c r="P87" s="242">
        <f>P75-P86</f>
        <v/>
      </c>
      <c r="Q87" s="242">
        <f>Q75-Q86</f>
        <v/>
      </c>
      <c r="R87" s="242">
        <f>R75-R86</f>
        <v/>
      </c>
      <c r="S87" s="242">
        <f>S75-S86</f>
        <v/>
      </c>
      <c r="T87" s="242">
        <f>T75-T86</f>
        <v/>
      </c>
      <c r="U87" s="242">
        <f>U75-U86</f>
        <v/>
      </c>
      <c r="V87" s="242">
        <f>V75-V86</f>
        <v/>
      </c>
    </row>
    <row r="88">
      <c r="A88" s="39" t="inlineStr">
        <is>
          <t>Debt and Covenant Metrics</t>
        </is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</row>
    <row r="89">
      <c r="A89" s="165" t="inlineStr">
        <is>
          <t>Gross debt</t>
        </is>
      </c>
      <c r="B89" s="165" t="inlineStr">
        <is>
          <t>$mm</t>
        </is>
      </c>
      <c r="C89" s="242">
        <f>SUM(C76:C78)</f>
        <v/>
      </c>
      <c r="D89" s="242">
        <f>SUM(D76:D78)</f>
        <v/>
      </c>
      <c r="E89" s="242">
        <f>SUM(E76:E78)</f>
        <v/>
      </c>
      <c r="F89" s="242">
        <f>SUM(F76:F78)</f>
        <v/>
      </c>
      <c r="G89" s="242">
        <f>SUM(G76:G78)</f>
        <v/>
      </c>
      <c r="H89" s="242">
        <f>SUM(H76:H78)</f>
        <v/>
      </c>
      <c r="I89" s="242">
        <f>SUM(I76:I78)</f>
        <v/>
      </c>
      <c r="J89" s="242">
        <f>SUM(J76:J78)</f>
        <v/>
      </c>
      <c r="K89" s="242">
        <f>SUM(K76:K78)</f>
        <v/>
      </c>
      <c r="L89" s="242">
        <f>SUM(L76:L78)</f>
        <v/>
      </c>
      <c r="M89" s="242">
        <f>SUM(M76:M78)</f>
        <v/>
      </c>
      <c r="N89" s="242">
        <f>SUM(N76:N78)</f>
        <v/>
      </c>
      <c r="O89" s="242">
        <f>SUM(O76:O78)</f>
        <v/>
      </c>
      <c r="P89" s="242">
        <f>SUM(P76:P78)</f>
        <v/>
      </c>
      <c r="Q89" s="242">
        <f>SUM(Q76:Q78)</f>
        <v/>
      </c>
      <c r="R89" s="242">
        <f>SUM(R76:R78)</f>
        <v/>
      </c>
      <c r="S89" s="242">
        <f>SUM(S76:S78)</f>
        <v/>
      </c>
      <c r="T89" s="242">
        <f>SUM(T76:T78)</f>
        <v/>
      </c>
      <c r="U89" s="242">
        <f>SUM(U76:U78)</f>
        <v/>
      </c>
      <c r="V89" s="242">
        <f>SUM(V76:V78)</f>
        <v/>
      </c>
    </row>
    <row r="90">
      <c r="A90" s="165" t="inlineStr">
        <is>
          <t>Eligible cash</t>
        </is>
      </c>
      <c r="B90" s="165" t="inlineStr">
        <is>
          <t>$mm</t>
        </is>
      </c>
      <c r="C90" s="242">
        <f>MIN(C67,Inputs!$B$19)</f>
        <v/>
      </c>
      <c r="D90" s="242">
        <f>MIN(D67,Inputs!$B$19)</f>
        <v/>
      </c>
      <c r="E90" s="242">
        <f>MIN(E67,Inputs!$B$19)</f>
        <v/>
      </c>
      <c r="F90" s="242">
        <f>MIN(F67,Inputs!$B$19)</f>
        <v/>
      </c>
      <c r="G90" s="242">
        <f>MIN(G67,Inputs!$B$19)</f>
        <v/>
      </c>
      <c r="H90" s="242">
        <f>MIN(H67,Inputs!$B$19)</f>
        <v/>
      </c>
      <c r="I90" s="242">
        <f>MIN(I67,Inputs!$B$19)</f>
        <v/>
      </c>
      <c r="J90" s="242">
        <f>MIN(J67,Inputs!$B$19)</f>
        <v/>
      </c>
      <c r="K90" s="242">
        <f>MIN(K67,Inputs!$B$19)</f>
        <v/>
      </c>
      <c r="L90" s="242">
        <f>MIN(L67,Inputs!$B$19)</f>
        <v/>
      </c>
      <c r="M90" s="242">
        <f>MIN(M67,Inputs!$B$19)</f>
        <v/>
      </c>
      <c r="N90" s="242">
        <f>MIN(N67,Inputs!$B$19)</f>
        <v/>
      </c>
      <c r="O90" s="242">
        <f>MIN(O67,Inputs!$B$19)</f>
        <v/>
      </c>
      <c r="P90" s="242">
        <f>MIN(P67,Inputs!$B$19)</f>
        <v/>
      </c>
      <c r="Q90" s="242">
        <f>MIN(Q67,Inputs!$B$19)</f>
        <v/>
      </c>
      <c r="R90" s="242">
        <f>MIN(R67,Inputs!$B$19)</f>
        <v/>
      </c>
      <c r="S90" s="242">
        <f>MIN(S67,Inputs!$B$19)</f>
        <v/>
      </c>
      <c r="T90" s="242">
        <f>MIN(T67,Inputs!$B$19)</f>
        <v/>
      </c>
      <c r="U90" s="242">
        <f>MIN(U67,Inputs!$B$19)</f>
        <v/>
      </c>
      <c r="V90" s="242">
        <f>MIN(V67,Inputs!$B$19)</f>
        <v/>
      </c>
    </row>
    <row r="91">
      <c r="A91" s="165" t="inlineStr">
        <is>
          <t>Covenant net debt</t>
        </is>
      </c>
      <c r="B91" s="165" t="inlineStr">
        <is>
          <t>$mm</t>
        </is>
      </c>
      <c r="C91" s="242">
        <f>C89-C90</f>
        <v/>
      </c>
      <c r="D91" s="242">
        <f>D89-D90</f>
        <v/>
      </c>
      <c r="E91" s="242">
        <f>E89-E90</f>
        <v/>
      </c>
      <c r="F91" s="242">
        <f>F89-F90</f>
        <v/>
      </c>
      <c r="G91" s="242">
        <f>G89-G90</f>
        <v/>
      </c>
      <c r="H91" s="242">
        <f>H89-H90</f>
        <v/>
      </c>
      <c r="I91" s="242">
        <f>I89-I90</f>
        <v/>
      </c>
      <c r="J91" s="242">
        <f>J89-J90</f>
        <v/>
      </c>
      <c r="K91" s="242">
        <f>K89-K90</f>
        <v/>
      </c>
      <c r="L91" s="242">
        <f>L89-L90</f>
        <v/>
      </c>
      <c r="M91" s="242">
        <f>M89-M90</f>
        <v/>
      </c>
      <c r="N91" s="242">
        <f>N89-N90</f>
        <v/>
      </c>
      <c r="O91" s="242">
        <f>O89-O90</f>
        <v/>
      </c>
      <c r="P91" s="242">
        <f>P89-P90</f>
        <v/>
      </c>
      <c r="Q91" s="242">
        <f>Q89-Q90</f>
        <v/>
      </c>
      <c r="R91" s="242">
        <f>R89-R90</f>
        <v/>
      </c>
      <c r="S91" s="242">
        <f>S89-S90</f>
        <v/>
      </c>
      <c r="T91" s="242">
        <f>T89-T90</f>
        <v/>
      </c>
      <c r="U91" s="242">
        <f>U89-U90</f>
        <v/>
      </c>
      <c r="V91" s="242">
        <f>V89-V90</f>
        <v/>
      </c>
    </row>
    <row r="92">
      <c r="A92" s="165" t="inlineStr">
        <is>
          <t>Economic net debt</t>
        </is>
      </c>
      <c r="B92" s="165" t="inlineStr">
        <is>
          <t>$mm</t>
        </is>
      </c>
      <c r="C92" s="242">
        <f>C89-C67</f>
        <v/>
      </c>
      <c r="D92" s="242">
        <f>D89-D67</f>
        <v/>
      </c>
      <c r="E92" s="242">
        <f>E89-E67</f>
        <v/>
      </c>
      <c r="F92" s="242">
        <f>F89-F67</f>
        <v/>
      </c>
      <c r="G92" s="242">
        <f>G89-G67</f>
        <v/>
      </c>
      <c r="H92" s="242">
        <f>H89-H67</f>
        <v/>
      </c>
      <c r="I92" s="242">
        <f>I89-I67</f>
        <v/>
      </c>
      <c r="J92" s="242">
        <f>J89-J67</f>
        <v/>
      </c>
      <c r="K92" s="242">
        <f>K89-K67</f>
        <v/>
      </c>
      <c r="L92" s="242">
        <f>L89-L67</f>
        <v/>
      </c>
      <c r="M92" s="242">
        <f>M89-M67</f>
        <v/>
      </c>
      <c r="N92" s="242">
        <f>N89-N67</f>
        <v/>
      </c>
      <c r="O92" s="242">
        <f>O89-O67</f>
        <v/>
      </c>
      <c r="P92" s="242">
        <f>P89-P67</f>
        <v/>
      </c>
      <c r="Q92" s="242">
        <f>Q89-Q67</f>
        <v/>
      </c>
      <c r="R92" s="242">
        <f>R89-R67</f>
        <v/>
      </c>
      <c r="S92" s="242">
        <f>S89-S67</f>
        <v/>
      </c>
      <c r="T92" s="242">
        <f>T89-T67</f>
        <v/>
      </c>
      <c r="U92" s="242">
        <f>U89-U67</f>
        <v/>
      </c>
      <c r="V92" s="242">
        <f>V89-V67</f>
        <v/>
      </c>
    </row>
    <row r="93">
      <c r="A93" s="165" t="inlineStr">
        <is>
          <t>LTM revenue</t>
        </is>
      </c>
      <c r="B93" s="165" t="inlineStr">
        <is>
          <t>$mm</t>
        </is>
      </c>
      <c r="C93" s="242">
        <f>SUM(C5:C5)</f>
        <v/>
      </c>
      <c r="D93" s="242">
        <f>SUM(C5:D5)</f>
        <v/>
      </c>
      <c r="E93" s="242">
        <f>SUM(C5:E5)</f>
        <v/>
      </c>
      <c r="F93" s="242">
        <f>SUM(C5:F5)</f>
        <v/>
      </c>
      <c r="G93" s="242">
        <f>SUM(D5:G5)</f>
        <v/>
      </c>
      <c r="H93" s="242">
        <f>SUM(E5:H5)</f>
        <v/>
      </c>
      <c r="I93" s="242">
        <f>SUM(F5:I5)</f>
        <v/>
      </c>
      <c r="J93" s="242">
        <f>SUM(G5:J5)</f>
        <v/>
      </c>
      <c r="K93" s="242">
        <f>SUM(H5:K5)</f>
        <v/>
      </c>
      <c r="L93" s="242">
        <f>SUM(I5:L5)</f>
        <v/>
      </c>
      <c r="M93" s="242">
        <f>SUM(J5:M5)</f>
        <v/>
      </c>
      <c r="N93" s="242">
        <f>SUM(K5:N5)</f>
        <v/>
      </c>
      <c r="O93" s="242">
        <f>SUM(L5:O5)</f>
        <v/>
      </c>
      <c r="P93" s="242">
        <f>SUM(M5:P5)</f>
        <v/>
      </c>
      <c r="Q93" s="242">
        <f>SUM(N5:Q5)</f>
        <v/>
      </c>
      <c r="R93" s="242">
        <f>SUM(O5:R5)</f>
        <v/>
      </c>
      <c r="S93" s="242">
        <f>SUM(P5:S5)</f>
        <v/>
      </c>
      <c r="T93" s="242">
        <f>SUM(Q5:T5)</f>
        <v/>
      </c>
      <c r="U93" s="242">
        <f>SUM(R5:U5)</f>
        <v/>
      </c>
      <c r="V93" s="242">
        <f>SUM(S5:V5)</f>
        <v/>
      </c>
    </row>
    <row r="94">
      <c r="A94" s="165" t="inlineStr">
        <is>
          <t>LTM reported EBITDA</t>
        </is>
      </c>
      <c r="B94" s="165" t="inlineStr">
        <is>
          <t>$mm</t>
        </is>
      </c>
      <c r="C94" s="242">
        <f>SUM(C12:C12)</f>
        <v/>
      </c>
      <c r="D94" s="242">
        <f>SUM(C12:D12)</f>
        <v/>
      </c>
      <c r="E94" s="242">
        <f>SUM(C12:E12)</f>
        <v/>
      </c>
      <c r="F94" s="242">
        <f>SUM(C12:F12)</f>
        <v/>
      </c>
      <c r="G94" s="242">
        <f>SUM(D12:G12)</f>
        <v/>
      </c>
      <c r="H94" s="242">
        <f>SUM(E12:H12)</f>
        <v/>
      </c>
      <c r="I94" s="242">
        <f>SUM(F12:I12)</f>
        <v/>
      </c>
      <c r="J94" s="242">
        <f>SUM(G12:J12)</f>
        <v/>
      </c>
      <c r="K94" s="242">
        <f>SUM(H12:K12)</f>
        <v/>
      </c>
      <c r="L94" s="242">
        <f>SUM(I12:L12)</f>
        <v/>
      </c>
      <c r="M94" s="242">
        <f>SUM(J12:M12)</f>
        <v/>
      </c>
      <c r="N94" s="242">
        <f>SUM(K12:N12)</f>
        <v/>
      </c>
      <c r="O94" s="242">
        <f>SUM(L12:O12)</f>
        <v/>
      </c>
      <c r="P94" s="242">
        <f>SUM(M12:P12)</f>
        <v/>
      </c>
      <c r="Q94" s="242">
        <f>SUM(N12:Q12)</f>
        <v/>
      </c>
      <c r="R94" s="242">
        <f>SUM(O12:R12)</f>
        <v/>
      </c>
      <c r="S94" s="242">
        <f>SUM(P12:S12)</f>
        <v/>
      </c>
      <c r="T94" s="242">
        <f>SUM(Q12:T12)</f>
        <v/>
      </c>
      <c r="U94" s="242">
        <f>SUM(R12:U12)</f>
        <v/>
      </c>
      <c r="V94" s="242">
        <f>SUM(S12:V12)</f>
        <v/>
      </c>
    </row>
    <row r="95">
      <c r="A95" s="165" t="inlineStr">
        <is>
          <t>LTM firm EBITDA</t>
        </is>
      </c>
      <c r="B95" s="165" t="inlineStr">
        <is>
          <t>$mm</t>
        </is>
      </c>
      <c r="C95" s="242">
        <f>SUM(C10:C10)</f>
        <v/>
      </c>
      <c r="D95" s="242">
        <f>SUM(C10:D10)</f>
        <v/>
      </c>
      <c r="E95" s="242">
        <f>SUM(C10:E10)</f>
        <v/>
      </c>
      <c r="F95" s="242">
        <f>SUM(C10:F10)</f>
        <v/>
      </c>
      <c r="G95" s="242">
        <f>SUM(D10:G10)</f>
        <v/>
      </c>
      <c r="H95" s="242">
        <f>SUM(E10:H10)</f>
        <v/>
      </c>
      <c r="I95" s="242">
        <f>SUM(F10:I10)</f>
        <v/>
      </c>
      <c r="J95" s="242">
        <f>SUM(G10:J10)</f>
        <v/>
      </c>
      <c r="K95" s="242">
        <f>SUM(H10:K10)</f>
        <v/>
      </c>
      <c r="L95" s="242">
        <f>SUM(I10:L10)</f>
        <v/>
      </c>
      <c r="M95" s="242">
        <f>SUM(J10:M10)</f>
        <v/>
      </c>
      <c r="N95" s="242">
        <f>SUM(K10:N10)</f>
        <v/>
      </c>
      <c r="O95" s="242">
        <f>SUM(L10:O10)</f>
        <v/>
      </c>
      <c r="P95" s="242">
        <f>SUM(M10:P10)</f>
        <v/>
      </c>
      <c r="Q95" s="242">
        <f>SUM(N10:Q10)</f>
        <v/>
      </c>
      <c r="R95" s="242">
        <f>SUM(O10:R10)</f>
        <v/>
      </c>
      <c r="S95" s="242">
        <f>SUM(P10:S10)</f>
        <v/>
      </c>
      <c r="T95" s="242">
        <f>SUM(Q10:T10)</f>
        <v/>
      </c>
      <c r="U95" s="242">
        <f>SUM(R10:U10)</f>
        <v/>
      </c>
      <c r="V95" s="242">
        <f>SUM(S10:V10)</f>
        <v/>
      </c>
    </row>
    <row r="96">
      <c r="A96" s="165" t="inlineStr">
        <is>
          <t>LTM add-backs</t>
        </is>
      </c>
      <c r="B96" s="165" t="inlineStr">
        <is>
          <t>$mm</t>
        </is>
      </c>
      <c r="C96" s="242">
        <f>SUM(C13:C13)</f>
        <v/>
      </c>
      <c r="D96" s="242">
        <f>SUM(C13:D13)</f>
        <v/>
      </c>
      <c r="E96" s="242">
        <f>SUM(C13:E13)</f>
        <v/>
      </c>
      <c r="F96" s="242">
        <f>SUM(C13:F13)</f>
        <v/>
      </c>
      <c r="G96" s="242">
        <f>SUM(D13:G13)</f>
        <v/>
      </c>
      <c r="H96" s="242">
        <f>SUM(E13:H13)</f>
        <v/>
      </c>
      <c r="I96" s="242">
        <f>SUM(F13:I13)</f>
        <v/>
      </c>
      <c r="J96" s="242">
        <f>SUM(G13:J13)</f>
        <v/>
      </c>
      <c r="K96" s="242">
        <f>SUM(H13:K13)</f>
        <v/>
      </c>
      <c r="L96" s="242">
        <f>SUM(I13:L13)</f>
        <v/>
      </c>
      <c r="M96" s="242">
        <f>SUM(J13:M13)</f>
        <v/>
      </c>
      <c r="N96" s="242">
        <f>SUM(K13:N13)</f>
        <v/>
      </c>
      <c r="O96" s="242">
        <f>SUM(L13:O13)</f>
        <v/>
      </c>
      <c r="P96" s="242">
        <f>SUM(M13:P13)</f>
        <v/>
      </c>
      <c r="Q96" s="242">
        <f>SUM(N13:Q13)</f>
        <v/>
      </c>
      <c r="R96" s="242">
        <f>SUM(O13:R13)</f>
        <v/>
      </c>
      <c r="S96" s="242">
        <f>SUM(P13:S13)</f>
        <v/>
      </c>
      <c r="T96" s="242">
        <f>SUM(Q13:T13)</f>
        <v/>
      </c>
      <c r="U96" s="242">
        <f>SUM(R13:U13)</f>
        <v/>
      </c>
      <c r="V96" s="242">
        <f>SUM(S13:V13)</f>
        <v/>
      </c>
    </row>
    <row r="97">
      <c r="A97" s="165" t="inlineStr">
        <is>
          <t>LTM covenant EBITDA</t>
        </is>
      </c>
      <c r="B97" s="165" t="inlineStr">
        <is>
          <t>$mm</t>
        </is>
      </c>
      <c r="C97" s="242">
        <f>SUM(C14:C14)</f>
        <v/>
      </c>
      <c r="D97" s="242">
        <f>SUM(C14:D14)</f>
        <v/>
      </c>
      <c r="E97" s="242">
        <f>SUM(C14:E14)</f>
        <v/>
      </c>
      <c r="F97" s="242">
        <f>SUM(C14:F14)</f>
        <v/>
      </c>
      <c r="G97" s="242">
        <f>SUM(D14:G14)</f>
        <v/>
      </c>
      <c r="H97" s="242">
        <f>SUM(E14:H14)</f>
        <v/>
      </c>
      <c r="I97" s="242">
        <f>SUM(F14:I14)</f>
        <v/>
      </c>
      <c r="J97" s="242">
        <f>SUM(G14:J14)</f>
        <v/>
      </c>
      <c r="K97" s="242">
        <f>SUM(H14:K14)</f>
        <v/>
      </c>
      <c r="L97" s="242">
        <f>SUM(I14:L14)</f>
        <v/>
      </c>
      <c r="M97" s="242">
        <f>SUM(J14:M14)</f>
        <v/>
      </c>
      <c r="N97" s="242">
        <f>SUM(K14:N14)</f>
        <v/>
      </c>
      <c r="O97" s="242">
        <f>SUM(L14:O14)</f>
        <v/>
      </c>
      <c r="P97" s="242">
        <f>SUM(M14:P14)</f>
        <v/>
      </c>
      <c r="Q97" s="242">
        <f>SUM(N14:Q14)</f>
        <v/>
      </c>
      <c r="R97" s="242">
        <f>SUM(O14:R14)</f>
        <v/>
      </c>
      <c r="S97" s="242">
        <f>SUM(P14:S14)</f>
        <v/>
      </c>
      <c r="T97" s="242">
        <f>SUM(Q14:T14)</f>
        <v/>
      </c>
      <c r="U97" s="242">
        <f>SUM(R14:U14)</f>
        <v/>
      </c>
      <c r="V97" s="242">
        <f>SUM(S14:V14)</f>
        <v/>
      </c>
    </row>
    <row r="98">
      <c r="A98" s="165" t="inlineStr">
        <is>
          <t>Total net leverage</t>
        </is>
      </c>
      <c r="B98" s="165" t="inlineStr">
        <is>
          <t>x</t>
        </is>
      </c>
      <c r="C98" s="243">
        <f>C91/MAX(0.001,C97)</f>
        <v/>
      </c>
      <c r="D98" s="243">
        <f>D91/MAX(0.001,D97)</f>
        <v/>
      </c>
      <c r="E98" s="243">
        <f>E91/MAX(0.001,E97)</f>
        <v/>
      </c>
      <c r="F98" s="243">
        <f>F91/MAX(0.001,F97)</f>
        <v/>
      </c>
      <c r="G98" s="243">
        <f>G91/MAX(0.001,G97)</f>
        <v/>
      </c>
      <c r="H98" s="243">
        <f>H91/MAX(0.001,H97)</f>
        <v/>
      </c>
      <c r="I98" s="243">
        <f>I91/MAX(0.001,I97)</f>
        <v/>
      </c>
      <c r="J98" s="243">
        <f>J91/MAX(0.001,J97)</f>
        <v/>
      </c>
      <c r="K98" s="243">
        <f>K91/MAX(0.001,K97)</f>
        <v/>
      </c>
      <c r="L98" s="243">
        <f>L91/MAX(0.001,L97)</f>
        <v/>
      </c>
      <c r="M98" s="243">
        <f>M91/MAX(0.001,M97)</f>
        <v/>
      </c>
      <c r="N98" s="243">
        <f>N91/MAX(0.001,N97)</f>
        <v/>
      </c>
      <c r="O98" s="243">
        <f>O91/MAX(0.001,O97)</f>
        <v/>
      </c>
      <c r="P98" s="243">
        <f>P91/MAX(0.001,P97)</f>
        <v/>
      </c>
      <c r="Q98" s="243">
        <f>Q91/MAX(0.001,Q97)</f>
        <v/>
      </c>
      <c r="R98" s="243">
        <f>R91/MAX(0.001,R97)</f>
        <v/>
      </c>
      <c r="S98" s="243">
        <f>S91/MAX(0.001,S97)</f>
        <v/>
      </c>
      <c r="T98" s="243">
        <f>T91/MAX(0.001,T97)</f>
        <v/>
      </c>
      <c r="U98" s="243">
        <f>U91/MAX(0.001,U97)</f>
        <v/>
      </c>
      <c r="V98" s="243">
        <f>V91/MAX(0.001,V97)</f>
        <v/>
      </c>
    </row>
    <row r="99">
      <c r="A99" s="165" t="inlineStr">
        <is>
          <t>Gross leverage</t>
        </is>
      </c>
      <c r="B99" s="165" t="inlineStr">
        <is>
          <t>x</t>
        </is>
      </c>
      <c r="C99" s="243">
        <f>C89/MAX(0.001,C95)</f>
        <v/>
      </c>
      <c r="D99" s="243">
        <f>D89/MAX(0.001,D95)</f>
        <v/>
      </c>
      <c r="E99" s="243">
        <f>E89/MAX(0.001,E95)</f>
        <v/>
      </c>
      <c r="F99" s="243">
        <f>F89/MAX(0.001,F95)</f>
        <v/>
      </c>
      <c r="G99" s="243">
        <f>G89/MAX(0.001,G95)</f>
        <v/>
      </c>
      <c r="H99" s="243">
        <f>H89/MAX(0.001,H95)</f>
        <v/>
      </c>
      <c r="I99" s="243">
        <f>I89/MAX(0.001,I95)</f>
        <v/>
      </c>
      <c r="J99" s="243">
        <f>J89/MAX(0.001,J95)</f>
        <v/>
      </c>
      <c r="K99" s="243">
        <f>K89/MAX(0.001,K95)</f>
        <v/>
      </c>
      <c r="L99" s="243">
        <f>L89/MAX(0.001,L95)</f>
        <v/>
      </c>
      <c r="M99" s="243">
        <f>M89/MAX(0.001,M95)</f>
        <v/>
      </c>
      <c r="N99" s="243">
        <f>N89/MAX(0.001,N95)</f>
        <v/>
      </c>
      <c r="O99" s="243">
        <f>O89/MAX(0.001,O95)</f>
        <v/>
      </c>
      <c r="P99" s="243">
        <f>P89/MAX(0.001,P95)</f>
        <v/>
      </c>
      <c r="Q99" s="243">
        <f>Q89/MAX(0.001,Q95)</f>
        <v/>
      </c>
      <c r="R99" s="243">
        <f>R89/MAX(0.001,R95)</f>
        <v/>
      </c>
      <c r="S99" s="243">
        <f>S89/MAX(0.001,S95)</f>
        <v/>
      </c>
      <c r="T99" s="243">
        <f>T89/MAX(0.001,T95)</f>
        <v/>
      </c>
      <c r="U99" s="243">
        <f>U89/MAX(0.001,U95)</f>
        <v/>
      </c>
      <c r="V99" s="243">
        <f>V89/MAX(0.001,V95)</f>
        <v/>
      </c>
    </row>
    <row r="100">
      <c r="A100" s="165" t="inlineStr">
        <is>
          <t>Fixed charge coverage</t>
        </is>
      </c>
      <c r="B100" s="165" t="inlineStr">
        <is>
          <t>x</t>
        </is>
      </c>
      <c r="C100" s="243">
        <f>(C94-SUM(C27:C27)-SUM(C41:C41))/MAX(0.001,(-SUM(C22:C22)-SUM(C61:C61)-SUM(C62:C62)))</f>
        <v/>
      </c>
      <c r="D100" s="243">
        <f>(D94-SUM(C27:D27)-SUM(C41:D41))/MAX(0.001,(-SUM(C22:D22)-SUM(C61:D61)-SUM(C62:D62)))</f>
        <v/>
      </c>
      <c r="E100" s="243">
        <f>(E94-SUM(C27:E27)-SUM(C41:E41))/MAX(0.001,(-SUM(C22:E22)-SUM(C61:E61)-SUM(C62:E62)))</f>
        <v/>
      </c>
      <c r="F100" s="243">
        <f>(F94-SUM(C27:F27)-SUM(C41:F41))/MAX(0.001,(-SUM(C22:F22)-SUM(C61:F61)-SUM(C62:F62)))</f>
        <v/>
      </c>
      <c r="G100" s="243">
        <f>(G94-SUM(D27:G27)-SUM(D41:G41))/MAX(0.001,(-SUM(D22:G22)-SUM(D61:G61)-SUM(D62:G62)))</f>
        <v/>
      </c>
      <c r="H100" s="243">
        <f>(H94-SUM(E27:H27)-SUM(E41:H41))/MAX(0.001,(-SUM(E22:H22)-SUM(E61:H61)-SUM(E62:H62)))</f>
        <v/>
      </c>
      <c r="I100" s="243">
        <f>(I94-SUM(F27:I27)-SUM(F41:I41))/MAX(0.001,(-SUM(F22:I22)-SUM(F61:I61)-SUM(F62:I62)))</f>
        <v/>
      </c>
      <c r="J100" s="243">
        <f>(J94-SUM(G27:J27)-SUM(G41:J41))/MAX(0.001,(-SUM(G22:J22)-SUM(G61:J61)-SUM(G62:J62)))</f>
        <v/>
      </c>
      <c r="K100" s="243">
        <f>(K94-SUM(H27:K27)-SUM(H41:K41))/MAX(0.001,(-SUM(H22:K22)-SUM(H61:K61)-SUM(H62:K62)))</f>
        <v/>
      </c>
      <c r="L100" s="243">
        <f>(L94-SUM(I27:L27)-SUM(I41:L41))/MAX(0.001,(-SUM(I22:L22)-SUM(I61:L61)-SUM(I62:L62)))</f>
        <v/>
      </c>
      <c r="M100" s="243">
        <f>(M94-SUM(J27:M27)-SUM(J41:M41))/MAX(0.001,(-SUM(J22:M22)-SUM(J61:M61)-SUM(J62:M62)))</f>
        <v/>
      </c>
      <c r="N100" s="243">
        <f>(N94-SUM(K27:N27)-SUM(K41:N41))/MAX(0.001,(-SUM(K22:N22)-SUM(K61:N61)-SUM(K62:N62)))</f>
        <v/>
      </c>
      <c r="O100" s="243">
        <f>(O94-SUM(L27:O27)-SUM(L41:O41))/MAX(0.001,(-SUM(L22:O22)-SUM(L61:O61)-SUM(L62:O62)))</f>
        <v/>
      </c>
      <c r="P100" s="243">
        <f>(P94-SUM(M27:P27)-SUM(M41:P41))/MAX(0.001,(-SUM(M22:P22)-SUM(M61:P61)-SUM(M62:P62)))</f>
        <v/>
      </c>
      <c r="Q100" s="243">
        <f>(Q94-SUM(N27:Q27)-SUM(N41:Q41))/MAX(0.001,(-SUM(N22:Q22)-SUM(N61:Q61)-SUM(N62:Q62)))</f>
        <v/>
      </c>
      <c r="R100" s="243">
        <f>(R94-SUM(O27:R27)-SUM(O41:R41))/MAX(0.001,(-SUM(O22:R22)-SUM(O61:R61)-SUM(O62:R62)))</f>
        <v/>
      </c>
      <c r="S100" s="243">
        <f>(S94-SUM(P27:S27)-SUM(P41:S41))/MAX(0.001,(-SUM(P22:S22)-SUM(P61:S61)-SUM(P62:S62)))</f>
        <v/>
      </c>
      <c r="T100" s="243">
        <f>(T94-SUM(Q27:T27)-SUM(Q41:T41))/MAX(0.001,(-SUM(Q22:T22)-SUM(Q61:T61)-SUM(Q62:T62)))</f>
        <v/>
      </c>
      <c r="U100" s="243">
        <f>(U94-SUM(R27:U27)-SUM(R41:U41))/MAX(0.001,(-SUM(R22:U22)-SUM(R61:U61)-SUM(R62:U62)))</f>
        <v/>
      </c>
      <c r="V100" s="243">
        <f>(V94-SUM(S27:V27)-SUM(S41:V41))/MAX(0.001,(-SUM(S22:V22)-SUM(S61:V61)-SUM(S62:V62)))</f>
        <v/>
      </c>
    </row>
    <row r="101">
      <c r="A101" s="165" t="inlineStr">
        <is>
          <t>Revolver availability</t>
        </is>
      </c>
      <c r="B101" s="165" t="inlineStr">
        <is>
          <t>$mm</t>
        </is>
      </c>
      <c r="C101" s="242">
        <f>MAX(0,Inputs!$B$20-C78-'Scenario_Drivers'!C28)</f>
        <v/>
      </c>
      <c r="D101" s="242">
        <f>MAX(0,Inputs!$B$20-D78-'Scenario_Drivers'!D28)</f>
        <v/>
      </c>
      <c r="E101" s="242">
        <f>MAX(0,Inputs!$B$20-E78-'Scenario_Drivers'!E28)</f>
        <v/>
      </c>
      <c r="F101" s="242">
        <f>MAX(0,Inputs!$B$20-F78-'Scenario_Drivers'!F28)</f>
        <v/>
      </c>
      <c r="G101" s="242">
        <f>MAX(0,Inputs!$B$20-G78-'Scenario_Drivers'!G28)</f>
        <v/>
      </c>
      <c r="H101" s="242">
        <f>MAX(0,Inputs!$B$20-H78-'Scenario_Drivers'!H28)</f>
        <v/>
      </c>
      <c r="I101" s="242">
        <f>MAX(0,Inputs!$B$20-I78-'Scenario_Drivers'!I28)</f>
        <v/>
      </c>
      <c r="J101" s="242">
        <f>MAX(0,Inputs!$B$20-J78-'Scenario_Drivers'!J28)</f>
        <v/>
      </c>
      <c r="K101" s="242">
        <f>MAX(0,Inputs!$B$20-K78-'Scenario_Drivers'!K28)</f>
        <v/>
      </c>
      <c r="L101" s="242">
        <f>MAX(0,Inputs!$B$20-L78-'Scenario_Drivers'!L28)</f>
        <v/>
      </c>
      <c r="M101" s="242">
        <f>MAX(0,Inputs!$B$20-M78-'Scenario_Drivers'!M28)</f>
        <v/>
      </c>
      <c r="N101" s="242">
        <f>MAX(0,Inputs!$B$20-N78-'Scenario_Drivers'!N28)</f>
        <v/>
      </c>
      <c r="O101" s="242">
        <f>MAX(0,Inputs!$B$20-O78-'Scenario_Drivers'!O28)</f>
        <v/>
      </c>
      <c r="P101" s="242">
        <f>MAX(0,Inputs!$B$20-P78-'Scenario_Drivers'!P28)</f>
        <v/>
      </c>
      <c r="Q101" s="242">
        <f>MAX(0,Inputs!$B$20-Q78-'Scenario_Drivers'!Q28)</f>
        <v/>
      </c>
      <c r="R101" s="242">
        <f>MAX(0,Inputs!$B$20-R78-'Scenario_Drivers'!R28)</f>
        <v/>
      </c>
      <c r="S101" s="242">
        <f>MAX(0,Inputs!$B$20-S78-'Scenario_Drivers'!S28)</f>
        <v/>
      </c>
      <c r="T101" s="242">
        <f>MAX(0,Inputs!$B$20-T78-'Scenario_Drivers'!T28)</f>
        <v/>
      </c>
      <c r="U101" s="242">
        <f>MAX(0,Inputs!$B$20-U78-'Scenario_Drivers'!U28)</f>
        <v/>
      </c>
      <c r="V101" s="242">
        <f>MAX(0,Inputs!$B$20-V78-'Scenario_Drivers'!V28)</f>
        <v/>
      </c>
    </row>
    <row r="102">
      <c r="A102" s="165" t="inlineStr">
        <is>
          <t>Liquidity</t>
        </is>
      </c>
      <c r="B102" s="165" t="inlineStr">
        <is>
          <t>$mm</t>
        </is>
      </c>
      <c r="C102" s="242">
        <f>C67+C101</f>
        <v/>
      </c>
      <c r="D102" s="242">
        <f>D67+D101</f>
        <v/>
      </c>
      <c r="E102" s="242">
        <f>E67+E101</f>
        <v/>
      </c>
      <c r="F102" s="242">
        <f>F67+F101</f>
        <v/>
      </c>
      <c r="G102" s="242">
        <f>G67+G101</f>
        <v/>
      </c>
      <c r="H102" s="242">
        <f>H67+H101</f>
        <v/>
      </c>
      <c r="I102" s="242">
        <f>I67+I101</f>
        <v/>
      </c>
      <c r="J102" s="242">
        <f>J67+J101</f>
        <v/>
      </c>
      <c r="K102" s="242">
        <f>K67+K101</f>
        <v/>
      </c>
      <c r="L102" s="242">
        <f>L67+L101</f>
        <v/>
      </c>
      <c r="M102" s="242">
        <f>M67+M101</f>
        <v/>
      </c>
      <c r="N102" s="242">
        <f>N67+N101</f>
        <v/>
      </c>
      <c r="O102" s="242">
        <f>O67+O101</f>
        <v/>
      </c>
      <c r="P102" s="242">
        <f>P67+P101</f>
        <v/>
      </c>
      <c r="Q102" s="242">
        <f>Q67+Q101</f>
        <v/>
      </c>
      <c r="R102" s="242">
        <f>R67+R101</f>
        <v/>
      </c>
      <c r="S102" s="242">
        <f>S67+S101</f>
        <v/>
      </c>
      <c r="T102" s="242">
        <f>T67+T101</f>
        <v/>
      </c>
      <c r="U102" s="242">
        <f>U67+U101</f>
        <v/>
      </c>
      <c r="V102" s="242">
        <f>V67+V101</f>
        <v/>
      </c>
    </row>
    <row r="103">
      <c r="A103" s="165" t="inlineStr">
        <is>
          <t>Covenant limit</t>
        </is>
      </c>
      <c r="B103" s="165" t="inlineStr">
        <is>
          <t>x</t>
        </is>
      </c>
      <c r="C103" s="244">
        <f>'Scenario_Drivers'!C32</f>
        <v/>
      </c>
      <c r="D103" s="244">
        <f>'Scenario_Drivers'!D32</f>
        <v/>
      </c>
      <c r="E103" s="244">
        <f>'Scenario_Drivers'!E32</f>
        <v/>
      </c>
      <c r="F103" s="244">
        <f>'Scenario_Drivers'!F32</f>
        <v/>
      </c>
      <c r="G103" s="244">
        <f>'Scenario_Drivers'!G32</f>
        <v/>
      </c>
      <c r="H103" s="244">
        <f>'Scenario_Drivers'!H32</f>
        <v/>
      </c>
      <c r="I103" s="244">
        <f>'Scenario_Drivers'!I32</f>
        <v/>
      </c>
      <c r="J103" s="244">
        <f>'Scenario_Drivers'!J32</f>
        <v/>
      </c>
      <c r="K103" s="244">
        <f>'Scenario_Drivers'!K32</f>
        <v/>
      </c>
      <c r="L103" s="244">
        <f>'Scenario_Drivers'!L32</f>
        <v/>
      </c>
      <c r="M103" s="244">
        <f>'Scenario_Drivers'!M32</f>
        <v/>
      </c>
      <c r="N103" s="244">
        <f>'Scenario_Drivers'!N32</f>
        <v/>
      </c>
      <c r="O103" s="244">
        <f>'Scenario_Drivers'!O32</f>
        <v/>
      </c>
      <c r="P103" s="244">
        <f>'Scenario_Drivers'!P32</f>
        <v/>
      </c>
      <c r="Q103" s="244">
        <f>'Scenario_Drivers'!Q32</f>
        <v/>
      </c>
      <c r="R103" s="244">
        <f>'Scenario_Drivers'!R32</f>
        <v/>
      </c>
      <c r="S103" s="244">
        <f>'Scenario_Drivers'!S32</f>
        <v/>
      </c>
      <c r="T103" s="244">
        <f>'Scenario_Drivers'!T32</f>
        <v/>
      </c>
      <c r="U103" s="244">
        <f>'Scenario_Drivers'!U32</f>
        <v/>
      </c>
      <c r="V103" s="244">
        <f>'Scenario_Drivers'!V32</f>
        <v/>
      </c>
    </row>
    <row r="104">
      <c r="A104" s="165" t="inlineStr">
        <is>
          <t>Covenant headroom</t>
        </is>
      </c>
      <c r="B104" s="165" t="inlineStr">
        <is>
          <t>x</t>
        </is>
      </c>
      <c r="C104" s="243">
        <f>C103-C98</f>
        <v/>
      </c>
      <c r="D104" s="243">
        <f>D103-D98</f>
        <v/>
      </c>
      <c r="E104" s="243">
        <f>E103-E98</f>
        <v/>
      </c>
      <c r="F104" s="243">
        <f>F103-F98</f>
        <v/>
      </c>
      <c r="G104" s="243">
        <f>G103-G98</f>
        <v/>
      </c>
      <c r="H104" s="243">
        <f>H103-H98</f>
        <v/>
      </c>
      <c r="I104" s="243">
        <f>I103-I98</f>
        <v/>
      </c>
      <c r="J104" s="243">
        <f>J103-J98</f>
        <v/>
      </c>
      <c r="K104" s="243">
        <f>K103-K98</f>
        <v/>
      </c>
      <c r="L104" s="243">
        <f>L103-L98</f>
        <v/>
      </c>
      <c r="M104" s="243">
        <f>M103-M98</f>
        <v/>
      </c>
      <c r="N104" s="243">
        <f>N103-N98</f>
        <v/>
      </c>
      <c r="O104" s="243">
        <f>O103-O98</f>
        <v/>
      </c>
      <c r="P104" s="243">
        <f>P103-P98</f>
        <v/>
      </c>
      <c r="Q104" s="243">
        <f>Q103-Q98</f>
        <v/>
      </c>
      <c r="R104" s="243">
        <f>R103-R98</f>
        <v/>
      </c>
      <c r="S104" s="243">
        <f>S103-S98</f>
        <v/>
      </c>
      <c r="T104" s="243">
        <f>T103-T98</f>
        <v/>
      </c>
      <c r="U104" s="243">
        <f>U103-U98</f>
        <v/>
      </c>
      <c r="V104" s="243">
        <f>V103-V98</f>
        <v/>
      </c>
    </row>
    <row r="105">
      <c r="A105" s="165" t="inlineStr">
        <is>
          <t>20% add-back cap</t>
        </is>
      </c>
      <c r="B105" s="165" t="inlineStr">
        <is>
          <t>$mm</t>
        </is>
      </c>
      <c r="C105" s="242">
        <f>20%*C94</f>
        <v/>
      </c>
      <c r="D105" s="242">
        <f>20%*D94</f>
        <v/>
      </c>
      <c r="E105" s="242">
        <f>20%*E94</f>
        <v/>
      </c>
      <c r="F105" s="242">
        <f>20%*F94</f>
        <v/>
      </c>
      <c r="G105" s="242">
        <f>20%*G94</f>
        <v/>
      </c>
      <c r="H105" s="242">
        <f>20%*H94</f>
        <v/>
      </c>
      <c r="I105" s="242">
        <f>20%*I94</f>
        <v/>
      </c>
      <c r="J105" s="242">
        <f>20%*J94</f>
        <v/>
      </c>
      <c r="K105" s="242">
        <f>20%*K94</f>
        <v/>
      </c>
      <c r="L105" s="242">
        <f>20%*L94</f>
        <v/>
      </c>
      <c r="M105" s="242">
        <f>20%*M94</f>
        <v/>
      </c>
      <c r="N105" s="242">
        <f>20%*N94</f>
        <v/>
      </c>
      <c r="O105" s="242">
        <f>20%*O94</f>
        <v/>
      </c>
      <c r="P105" s="242">
        <f>20%*P94</f>
        <v/>
      </c>
      <c r="Q105" s="242">
        <f>20%*Q94</f>
        <v/>
      </c>
      <c r="R105" s="242">
        <f>20%*R94</f>
        <v/>
      </c>
      <c r="S105" s="242">
        <f>20%*S94</f>
        <v/>
      </c>
      <c r="T105" s="242">
        <f>20%*T94</f>
        <v/>
      </c>
      <c r="U105" s="242">
        <f>20%*U94</f>
        <v/>
      </c>
      <c r="V105" s="242">
        <f>20%*V94</f>
        <v/>
      </c>
    </row>
    <row r="106">
      <c r="A106" s="165" t="inlineStr">
        <is>
          <t>15% add-back cap</t>
        </is>
      </c>
      <c r="B106" s="165" t="inlineStr">
        <is>
          <t>$mm</t>
        </is>
      </c>
      <c r="C106" s="242">
        <f>15%*C94</f>
        <v/>
      </c>
      <c r="D106" s="242">
        <f>15%*D94</f>
        <v/>
      </c>
      <c r="E106" s="242">
        <f>15%*E94</f>
        <v/>
      </c>
      <c r="F106" s="242">
        <f>15%*F94</f>
        <v/>
      </c>
      <c r="G106" s="242">
        <f>15%*G94</f>
        <v/>
      </c>
      <c r="H106" s="242">
        <f>15%*H94</f>
        <v/>
      </c>
      <c r="I106" s="242">
        <f>15%*I94</f>
        <v/>
      </c>
      <c r="J106" s="242">
        <f>15%*J94</f>
        <v/>
      </c>
      <c r="K106" s="242">
        <f>15%*K94</f>
        <v/>
      </c>
      <c r="L106" s="242">
        <f>15%*L94</f>
        <v/>
      </c>
      <c r="M106" s="242">
        <f>15%*M94</f>
        <v/>
      </c>
      <c r="N106" s="242">
        <f>15%*N94</f>
        <v/>
      </c>
      <c r="O106" s="242">
        <f>15%*O94</f>
        <v/>
      </c>
      <c r="P106" s="242">
        <f>15%*P94</f>
        <v/>
      </c>
      <c r="Q106" s="242">
        <f>15%*Q94</f>
        <v/>
      </c>
      <c r="R106" s="242">
        <f>15%*R94</f>
        <v/>
      </c>
      <c r="S106" s="242">
        <f>15%*S94</f>
        <v/>
      </c>
      <c r="T106" s="242">
        <f>15%*T94</f>
        <v/>
      </c>
      <c r="U106" s="242">
        <f>15%*U94</f>
        <v/>
      </c>
      <c r="V106" s="242">
        <f>15%*V94</f>
        <v/>
      </c>
    </row>
    <row r="107">
      <c r="A107" s="165" t="inlineStr">
        <is>
          <t>Applicable add-back headroom</t>
        </is>
      </c>
      <c r="B107" s="165" t="inlineStr">
        <is>
          <t>$mm</t>
        </is>
      </c>
      <c r="C107" s="242">
        <f>C105-C96</f>
        <v/>
      </c>
      <c r="D107" s="242">
        <f>D105-D96</f>
        <v/>
      </c>
      <c r="E107" s="242">
        <f>E105-E96</f>
        <v/>
      </c>
      <c r="F107" s="242">
        <f>F105-F96</f>
        <v/>
      </c>
      <c r="G107" s="242">
        <f>G105-G96</f>
        <v/>
      </c>
      <c r="H107" s="242">
        <f>H105-H96</f>
        <v/>
      </c>
      <c r="I107" s="242">
        <f>I105-I96</f>
        <v/>
      </c>
      <c r="J107" s="242">
        <f>J105-J96</f>
        <v/>
      </c>
      <c r="K107" s="242">
        <f>K105-K96</f>
        <v/>
      </c>
      <c r="L107" s="242">
        <f>L105-L96</f>
        <v/>
      </c>
      <c r="M107" s="242">
        <f>M105-M96</f>
        <v/>
      </c>
      <c r="N107" s="242">
        <f>N105-N96</f>
        <v/>
      </c>
      <c r="O107" s="242">
        <f>O105-O96</f>
        <v/>
      </c>
      <c r="P107" s="242">
        <f>P105-P96</f>
        <v/>
      </c>
      <c r="Q107" s="242">
        <f>Q105-Q96</f>
        <v/>
      </c>
      <c r="R107" s="242">
        <f>R105-R96</f>
        <v/>
      </c>
      <c r="S107" s="242">
        <f>S105-S96</f>
        <v/>
      </c>
      <c r="T107" s="242">
        <f>T105-T96</f>
        <v/>
      </c>
      <c r="U107" s="242">
        <f>U105-U96</f>
        <v/>
      </c>
      <c r="V107" s="242">
        <f>V105-V96</f>
        <v/>
      </c>
    </row>
    <row r="108">
      <c r="A108" s="165" t="inlineStr">
        <is>
          <t>Minimum liquidity</t>
        </is>
      </c>
      <c r="B108" s="165" t="inlineStr">
        <is>
          <t>$mm</t>
        </is>
      </c>
      <c r="C108" s="242">
        <f>3.0</f>
        <v/>
      </c>
      <c r="D108" s="242">
        <f>3.0</f>
        <v/>
      </c>
      <c r="E108" s="242">
        <f>3.0</f>
        <v/>
      </c>
      <c r="F108" s="242">
        <f>3.0</f>
        <v/>
      </c>
      <c r="G108" s="242">
        <f>3.0</f>
        <v/>
      </c>
      <c r="H108" s="242">
        <f>3.0</f>
        <v/>
      </c>
      <c r="I108" s="242">
        <f>3.0</f>
        <v/>
      </c>
      <c r="J108" s="242">
        <f>3.0</f>
        <v/>
      </c>
      <c r="K108" s="242">
        <f>3.0</f>
        <v/>
      </c>
      <c r="L108" s="242">
        <f>3.0</f>
        <v/>
      </c>
      <c r="M108" s="242">
        <f>3.0</f>
        <v/>
      </c>
      <c r="N108" s="242">
        <f>3.0</f>
        <v/>
      </c>
      <c r="O108" s="242">
        <f>3.0</f>
        <v/>
      </c>
      <c r="P108" s="242">
        <f>3.0</f>
        <v/>
      </c>
      <c r="Q108" s="242">
        <f>3.0</f>
        <v/>
      </c>
      <c r="R108" s="242">
        <f>3.0</f>
        <v/>
      </c>
      <c r="S108" s="242">
        <f>3.0</f>
        <v/>
      </c>
      <c r="T108" s="242">
        <f>3.0</f>
        <v/>
      </c>
      <c r="U108" s="242">
        <f>3.0</f>
        <v/>
      </c>
      <c r="V108" s="242">
        <f>3.0</f>
        <v/>
      </c>
    </row>
    <row r="109">
      <c r="A109" s="165" t="inlineStr">
        <is>
          <t>Liquidity headroom</t>
        </is>
      </c>
      <c r="B109" s="165" t="inlineStr">
        <is>
          <t>$mm</t>
        </is>
      </c>
      <c r="C109" s="242">
        <f>C102-C108</f>
        <v/>
      </c>
      <c r="D109" s="242">
        <f>D102-D108</f>
        <v/>
      </c>
      <c r="E109" s="242">
        <f>E102-E108</f>
        <v/>
      </c>
      <c r="F109" s="242">
        <f>F102-F108</f>
        <v/>
      </c>
      <c r="G109" s="242">
        <f>G102-G108</f>
        <v/>
      </c>
      <c r="H109" s="242">
        <f>H102-H108</f>
        <v/>
      </c>
      <c r="I109" s="242">
        <f>I102-I108</f>
        <v/>
      </c>
      <c r="J109" s="242">
        <f>J102-J108</f>
        <v/>
      </c>
      <c r="K109" s="242">
        <f>K102-K108</f>
        <v/>
      </c>
      <c r="L109" s="242">
        <f>L102-L108</f>
        <v/>
      </c>
      <c r="M109" s="242">
        <f>M102-M108</f>
        <v/>
      </c>
      <c r="N109" s="242">
        <f>N102-N108</f>
        <v/>
      </c>
      <c r="O109" s="242">
        <f>O102-O108</f>
        <v/>
      </c>
      <c r="P109" s="242">
        <f>P102-P108</f>
        <v/>
      </c>
      <c r="Q109" s="242">
        <f>Q102-Q108</f>
        <v/>
      </c>
      <c r="R109" s="242">
        <f>R102-R108</f>
        <v/>
      </c>
      <c r="S109" s="242">
        <f>S102-S108</f>
        <v/>
      </c>
      <c r="T109" s="242">
        <f>T102-T108</f>
        <v/>
      </c>
      <c r="U109" s="242">
        <f>U102-U108</f>
        <v/>
      </c>
      <c r="V109" s="242">
        <f>V102-V108</f>
        <v/>
      </c>
    </row>
    <row r="110">
      <c r="A110" s="165" t="inlineStr">
        <is>
          <t>SOFR</t>
        </is>
      </c>
      <c r="B110" s="165" t="inlineStr">
        <is>
          <t>%</t>
        </is>
      </c>
      <c r="C110" s="241">
        <f>'Scenario_Drivers'!C33</f>
        <v/>
      </c>
      <c r="D110" s="241">
        <f>'Scenario_Drivers'!D33</f>
        <v/>
      </c>
      <c r="E110" s="241">
        <f>'Scenario_Drivers'!E33</f>
        <v/>
      </c>
      <c r="F110" s="241">
        <f>'Scenario_Drivers'!F33</f>
        <v/>
      </c>
      <c r="G110" s="241">
        <f>'Scenario_Drivers'!G33</f>
        <v/>
      </c>
      <c r="H110" s="241">
        <f>'Scenario_Drivers'!H33</f>
        <v/>
      </c>
      <c r="I110" s="241">
        <f>'Scenario_Drivers'!I33</f>
        <v/>
      </c>
      <c r="J110" s="241">
        <f>'Scenario_Drivers'!J33</f>
        <v/>
      </c>
      <c r="K110" s="241">
        <f>'Scenario_Drivers'!K33</f>
        <v/>
      </c>
      <c r="L110" s="241">
        <f>'Scenario_Drivers'!L33</f>
        <v/>
      </c>
      <c r="M110" s="241">
        <f>'Scenario_Drivers'!M33</f>
        <v/>
      </c>
      <c r="N110" s="241">
        <f>'Scenario_Drivers'!N33</f>
        <v/>
      </c>
      <c r="O110" s="241">
        <f>'Scenario_Drivers'!O33</f>
        <v/>
      </c>
      <c r="P110" s="241">
        <f>'Scenario_Drivers'!P33</f>
        <v/>
      </c>
      <c r="Q110" s="241">
        <f>'Scenario_Drivers'!Q33</f>
        <v/>
      </c>
      <c r="R110" s="241">
        <f>'Scenario_Drivers'!R33</f>
        <v/>
      </c>
      <c r="S110" s="241">
        <f>'Scenario_Drivers'!S33</f>
        <v/>
      </c>
      <c r="T110" s="241">
        <f>'Scenario_Drivers'!T33</f>
        <v/>
      </c>
      <c r="U110" s="241">
        <f>'Scenario_Drivers'!U33</f>
        <v/>
      </c>
      <c r="V110" s="241">
        <f>'Scenario_Drivers'!V33</f>
        <v/>
      </c>
    </row>
    <row r="111">
      <c r="A111" s="165" t="inlineStr">
        <is>
          <t>Term rate</t>
        </is>
      </c>
      <c r="B111" s="165" t="inlineStr">
        <is>
          <t>%</t>
        </is>
      </c>
      <c r="C111" s="240">
        <f>MAX('Scenario_Drivers'!C33,Inputs!$B$26)+Inputs!$B$23+'Scenario_Drivers'!C34</f>
        <v/>
      </c>
      <c r="D111" s="240">
        <f>MAX('Scenario_Drivers'!D33,Inputs!$B$26)+Inputs!$B$23+'Scenario_Drivers'!D34</f>
        <v/>
      </c>
      <c r="E111" s="240">
        <f>MAX('Scenario_Drivers'!E33,Inputs!$B$26)+Inputs!$B$23+'Scenario_Drivers'!E34</f>
        <v/>
      </c>
      <c r="F111" s="240">
        <f>MAX('Scenario_Drivers'!F33,Inputs!$B$26)+Inputs!$B$23+'Scenario_Drivers'!F34</f>
        <v/>
      </c>
      <c r="G111" s="240">
        <f>MAX('Scenario_Drivers'!G33,Inputs!$B$26)+Inputs!$B$23+'Scenario_Drivers'!G34</f>
        <v/>
      </c>
      <c r="H111" s="240">
        <f>MAX('Scenario_Drivers'!H33,Inputs!$B$26)+Inputs!$B$23+'Scenario_Drivers'!H34</f>
        <v/>
      </c>
      <c r="I111" s="240">
        <f>MAX('Scenario_Drivers'!I33,Inputs!$B$26)+Inputs!$B$23+'Scenario_Drivers'!I34</f>
        <v/>
      </c>
      <c r="J111" s="240">
        <f>MAX('Scenario_Drivers'!J33,Inputs!$B$26)+Inputs!$B$23+'Scenario_Drivers'!J34</f>
        <v/>
      </c>
      <c r="K111" s="240">
        <f>MAX('Scenario_Drivers'!K33,Inputs!$B$26)+Inputs!$B$23+'Scenario_Drivers'!K34</f>
        <v/>
      </c>
      <c r="L111" s="240">
        <f>MAX('Scenario_Drivers'!L33,Inputs!$B$26)+Inputs!$B$23+'Scenario_Drivers'!L34</f>
        <v/>
      </c>
      <c r="M111" s="240">
        <f>MAX('Scenario_Drivers'!M33,Inputs!$B$26)+Inputs!$B$23+'Scenario_Drivers'!M34</f>
        <v/>
      </c>
      <c r="N111" s="240">
        <f>MAX('Scenario_Drivers'!N33,Inputs!$B$26)+Inputs!$B$23+'Scenario_Drivers'!N34</f>
        <v/>
      </c>
      <c r="O111" s="240">
        <f>MAX('Scenario_Drivers'!O33,Inputs!$B$26)+Inputs!$B$23+'Scenario_Drivers'!O34</f>
        <v/>
      </c>
      <c r="P111" s="240">
        <f>MAX('Scenario_Drivers'!P33,Inputs!$B$26)+Inputs!$B$23+'Scenario_Drivers'!P34</f>
        <v/>
      </c>
      <c r="Q111" s="240">
        <f>MAX('Scenario_Drivers'!Q33,Inputs!$B$26)+Inputs!$B$23+'Scenario_Drivers'!Q34</f>
        <v/>
      </c>
      <c r="R111" s="240">
        <f>MAX('Scenario_Drivers'!R33,Inputs!$B$26)+Inputs!$B$23+'Scenario_Drivers'!R34</f>
        <v/>
      </c>
      <c r="S111" s="240">
        <f>MAX('Scenario_Drivers'!S33,Inputs!$B$26)+Inputs!$B$23+'Scenario_Drivers'!S34</f>
        <v/>
      </c>
      <c r="T111" s="240">
        <f>MAX('Scenario_Drivers'!T33,Inputs!$B$26)+Inputs!$B$23+'Scenario_Drivers'!T34</f>
        <v/>
      </c>
      <c r="U111" s="240">
        <f>MAX('Scenario_Drivers'!U33,Inputs!$B$26)+Inputs!$B$23+'Scenario_Drivers'!U34</f>
        <v/>
      </c>
      <c r="V111" s="240">
        <f>MAX('Scenario_Drivers'!V33,Inputs!$B$26)+Inputs!$B$23+'Scenario_Drivers'!V34</f>
        <v/>
      </c>
    </row>
    <row r="112">
      <c r="A112" s="165" t="inlineStr">
        <is>
          <t>DDTL rate</t>
        </is>
      </c>
      <c r="B112" s="165" t="inlineStr">
        <is>
          <t>%</t>
        </is>
      </c>
      <c r="C112" s="240">
        <f>MAX('Scenario_Drivers'!C33,Inputs!$B$26)+Inputs!$B$25+'Scenario_Drivers'!C34</f>
        <v/>
      </c>
      <c r="D112" s="240">
        <f>MAX('Scenario_Drivers'!D33,Inputs!$B$26)+Inputs!$B$25+'Scenario_Drivers'!D34</f>
        <v/>
      </c>
      <c r="E112" s="240">
        <f>MAX('Scenario_Drivers'!E33,Inputs!$B$26)+Inputs!$B$25+'Scenario_Drivers'!E34</f>
        <v/>
      </c>
      <c r="F112" s="240">
        <f>MAX('Scenario_Drivers'!F33,Inputs!$B$26)+Inputs!$B$25+'Scenario_Drivers'!F34</f>
        <v/>
      </c>
      <c r="G112" s="240">
        <f>MAX('Scenario_Drivers'!G33,Inputs!$B$26)+Inputs!$B$25+'Scenario_Drivers'!G34</f>
        <v/>
      </c>
      <c r="H112" s="240">
        <f>MAX('Scenario_Drivers'!H33,Inputs!$B$26)+Inputs!$B$25+'Scenario_Drivers'!H34</f>
        <v/>
      </c>
      <c r="I112" s="240">
        <f>MAX('Scenario_Drivers'!I33,Inputs!$B$26)+Inputs!$B$25+'Scenario_Drivers'!I34</f>
        <v/>
      </c>
      <c r="J112" s="240">
        <f>MAX('Scenario_Drivers'!J33,Inputs!$B$26)+Inputs!$B$25+'Scenario_Drivers'!J34</f>
        <v/>
      </c>
      <c r="K112" s="240">
        <f>MAX('Scenario_Drivers'!K33,Inputs!$B$26)+Inputs!$B$25+'Scenario_Drivers'!K34</f>
        <v/>
      </c>
      <c r="L112" s="240">
        <f>MAX('Scenario_Drivers'!L33,Inputs!$B$26)+Inputs!$B$25+'Scenario_Drivers'!L34</f>
        <v/>
      </c>
      <c r="M112" s="240">
        <f>MAX('Scenario_Drivers'!M33,Inputs!$B$26)+Inputs!$B$25+'Scenario_Drivers'!M34</f>
        <v/>
      </c>
      <c r="N112" s="240">
        <f>MAX('Scenario_Drivers'!N33,Inputs!$B$26)+Inputs!$B$25+'Scenario_Drivers'!N34</f>
        <v/>
      </c>
      <c r="O112" s="240">
        <f>MAX('Scenario_Drivers'!O33,Inputs!$B$26)+Inputs!$B$25+'Scenario_Drivers'!O34</f>
        <v/>
      </c>
      <c r="P112" s="240">
        <f>MAX('Scenario_Drivers'!P33,Inputs!$B$26)+Inputs!$B$25+'Scenario_Drivers'!P34</f>
        <v/>
      </c>
      <c r="Q112" s="240">
        <f>MAX('Scenario_Drivers'!Q33,Inputs!$B$26)+Inputs!$B$25+'Scenario_Drivers'!Q34</f>
        <v/>
      </c>
      <c r="R112" s="240">
        <f>MAX('Scenario_Drivers'!R33,Inputs!$B$26)+Inputs!$B$25+'Scenario_Drivers'!R34</f>
        <v/>
      </c>
      <c r="S112" s="240">
        <f>MAX('Scenario_Drivers'!S33,Inputs!$B$26)+Inputs!$B$25+'Scenario_Drivers'!S34</f>
        <v/>
      </c>
      <c r="T112" s="240">
        <f>MAX('Scenario_Drivers'!T33,Inputs!$B$26)+Inputs!$B$25+'Scenario_Drivers'!T34</f>
        <v/>
      </c>
      <c r="U112" s="240">
        <f>MAX('Scenario_Drivers'!U33,Inputs!$B$26)+Inputs!$B$25+'Scenario_Drivers'!U34</f>
        <v/>
      </c>
      <c r="V112" s="240">
        <f>MAX('Scenario_Drivers'!V33,Inputs!$B$26)+Inputs!$B$25+'Scenario_Drivers'!V34</f>
        <v/>
      </c>
    </row>
    <row r="113">
      <c r="A113" s="165" t="inlineStr">
        <is>
          <t>Revolver rate</t>
        </is>
      </c>
      <c r="B113" s="165" t="inlineStr">
        <is>
          <t>%</t>
        </is>
      </c>
      <c r="C113" s="240">
        <f>MAX('Scenario_Drivers'!C33,Inputs!$B$26)+Inputs!$B$24+'Scenario_Drivers'!C34</f>
        <v/>
      </c>
      <c r="D113" s="240">
        <f>MAX('Scenario_Drivers'!D33,Inputs!$B$26)+Inputs!$B$24+'Scenario_Drivers'!D34</f>
        <v/>
      </c>
      <c r="E113" s="240">
        <f>MAX('Scenario_Drivers'!E33,Inputs!$B$26)+Inputs!$B$24+'Scenario_Drivers'!E34</f>
        <v/>
      </c>
      <c r="F113" s="240">
        <f>MAX('Scenario_Drivers'!F33,Inputs!$B$26)+Inputs!$B$24+'Scenario_Drivers'!F34</f>
        <v/>
      </c>
      <c r="G113" s="240">
        <f>MAX('Scenario_Drivers'!G33,Inputs!$B$26)+Inputs!$B$24+'Scenario_Drivers'!G34</f>
        <v/>
      </c>
      <c r="H113" s="240">
        <f>MAX('Scenario_Drivers'!H33,Inputs!$B$26)+Inputs!$B$24+'Scenario_Drivers'!H34</f>
        <v/>
      </c>
      <c r="I113" s="240">
        <f>MAX('Scenario_Drivers'!I33,Inputs!$B$26)+Inputs!$B$24+'Scenario_Drivers'!I34</f>
        <v/>
      </c>
      <c r="J113" s="240">
        <f>MAX('Scenario_Drivers'!J33,Inputs!$B$26)+Inputs!$B$24+'Scenario_Drivers'!J34</f>
        <v/>
      </c>
      <c r="K113" s="240">
        <f>MAX('Scenario_Drivers'!K33,Inputs!$B$26)+Inputs!$B$24+'Scenario_Drivers'!K34</f>
        <v/>
      </c>
      <c r="L113" s="240">
        <f>MAX('Scenario_Drivers'!L33,Inputs!$B$26)+Inputs!$B$24+'Scenario_Drivers'!L34</f>
        <v/>
      </c>
      <c r="M113" s="240">
        <f>MAX('Scenario_Drivers'!M33,Inputs!$B$26)+Inputs!$B$24+'Scenario_Drivers'!M34</f>
        <v/>
      </c>
      <c r="N113" s="240">
        <f>MAX('Scenario_Drivers'!N33,Inputs!$B$26)+Inputs!$B$24+'Scenario_Drivers'!N34</f>
        <v/>
      </c>
      <c r="O113" s="240">
        <f>MAX('Scenario_Drivers'!O33,Inputs!$B$26)+Inputs!$B$24+'Scenario_Drivers'!O34</f>
        <v/>
      </c>
      <c r="P113" s="240">
        <f>MAX('Scenario_Drivers'!P33,Inputs!$B$26)+Inputs!$B$24+'Scenario_Drivers'!P34</f>
        <v/>
      </c>
      <c r="Q113" s="240">
        <f>MAX('Scenario_Drivers'!Q33,Inputs!$B$26)+Inputs!$B$24+'Scenario_Drivers'!Q34</f>
        <v/>
      </c>
      <c r="R113" s="240">
        <f>MAX('Scenario_Drivers'!R33,Inputs!$B$26)+Inputs!$B$24+'Scenario_Drivers'!R34</f>
        <v/>
      </c>
      <c r="S113" s="240">
        <f>MAX('Scenario_Drivers'!S33,Inputs!$B$26)+Inputs!$B$24+'Scenario_Drivers'!S34</f>
        <v/>
      </c>
      <c r="T113" s="240">
        <f>MAX('Scenario_Drivers'!T33,Inputs!$B$26)+Inputs!$B$24+'Scenario_Drivers'!T34</f>
        <v/>
      </c>
      <c r="U113" s="240">
        <f>MAX('Scenario_Drivers'!U33,Inputs!$B$26)+Inputs!$B$24+'Scenario_Drivers'!U34</f>
        <v/>
      </c>
      <c r="V113" s="240">
        <f>MAX('Scenario_Drivers'!V33,Inputs!$B$26)+Inputs!$B$24+'Scenario_Drivers'!V34</f>
        <v/>
      </c>
    </row>
    <row r="114">
      <c r="A114" s="165" t="inlineStr">
        <is>
          <t>Interest carryforward</t>
        </is>
      </c>
      <c r="B114" s="165" t="inlineStr">
        <is>
          <t>$mm</t>
        </is>
      </c>
      <c r="C114" s="242">
        <f>MAX(0,0-C22-(MIN(-C22+0,MAX(0,Inputs!$B$16*C12))))</f>
        <v/>
      </c>
      <c r="D114" s="242">
        <f>MAX(0,C114-D22-(MIN(-D22+C114,MAX(0,Inputs!$B$16*D12))))</f>
        <v/>
      </c>
      <c r="E114" s="242">
        <f>MAX(0,D114-E22-(MIN(-E22+D114,MAX(0,Inputs!$B$16*E12))))</f>
        <v/>
      </c>
      <c r="F114" s="242">
        <f>MAX(0,E114-F22-(MIN(-F22+E114,MAX(0,Inputs!$B$16*F12))))</f>
        <v/>
      </c>
      <c r="G114" s="242">
        <f>MAX(0,F114-G22-(MIN(-G22+F114,MAX(0,Inputs!$B$16*G12))))</f>
        <v/>
      </c>
      <c r="H114" s="242">
        <f>MAX(0,G114-H22-(MIN(-H22+G114,MAX(0,Inputs!$B$16*H12))))</f>
        <v/>
      </c>
      <c r="I114" s="242">
        <f>MAX(0,H114-I22-(MIN(-I22+H114,MAX(0,Inputs!$B$16*I12))))</f>
        <v/>
      </c>
      <c r="J114" s="242">
        <f>MAX(0,I114-J22-(MIN(-J22+I114,MAX(0,Inputs!$B$16*J12))))</f>
        <v/>
      </c>
      <c r="K114" s="242">
        <f>MAX(0,J114-K22-(MIN(-K22+J114,MAX(0,Inputs!$B$16*K12))))</f>
        <v/>
      </c>
      <c r="L114" s="242">
        <f>MAX(0,K114-L22-(MIN(-L22+K114,MAX(0,Inputs!$B$16*L12))))</f>
        <v/>
      </c>
      <c r="M114" s="242">
        <f>MAX(0,L114-M22-(MIN(-M22+L114,MAX(0,Inputs!$B$16*M12))))</f>
        <v/>
      </c>
      <c r="N114" s="242">
        <f>MAX(0,M114-N22-(MIN(-N22+M114,MAX(0,Inputs!$B$16*N12))))</f>
        <v/>
      </c>
      <c r="O114" s="242">
        <f>MAX(0,N114-O22-(MIN(-O22+N114,MAX(0,Inputs!$B$16*O12))))</f>
        <v/>
      </c>
      <c r="P114" s="242">
        <f>MAX(0,O114-P22-(MIN(-P22+O114,MAX(0,Inputs!$B$16*P12))))</f>
        <v/>
      </c>
      <c r="Q114" s="242">
        <f>MAX(0,P114-Q22-(MIN(-Q22+P114,MAX(0,Inputs!$B$16*Q12))))</f>
        <v/>
      </c>
      <c r="R114" s="242">
        <f>MAX(0,Q114-R22-(MIN(-R22+Q114,MAX(0,Inputs!$B$16*R12))))</f>
        <v/>
      </c>
      <c r="S114" s="242">
        <f>MAX(0,R114-S22-(MIN(-S22+R114,MAX(0,Inputs!$B$16*S12))))</f>
        <v/>
      </c>
      <c r="T114" s="242">
        <f>MAX(0,S114-T22-(MIN(-T22+S114,MAX(0,Inputs!$B$16*T12))))</f>
        <v/>
      </c>
      <c r="U114" s="242">
        <f>MAX(0,T114-U22-(MIN(-U22+T114,MAX(0,Inputs!$B$16*U12))))</f>
        <v/>
      </c>
      <c r="V114" s="242">
        <f>MAX(0,U114-V22-(MIN(-V22+U114,MAX(0,Inputs!$B$16*V12))))</f>
        <v/>
      </c>
    </row>
    <row r="115">
      <c r="A115" s="165" t="inlineStr">
        <is>
          <t>NOL carryforward</t>
        </is>
      </c>
      <c r="B115" s="165" t="inlineStr">
        <is>
          <t>$mm</t>
        </is>
      </c>
      <c r="C115" s="242">
        <f>MAX(0,0-C116)</f>
        <v/>
      </c>
      <c r="D115" s="242">
        <f>MAX(0,C115-D116)</f>
        <v/>
      </c>
      <c r="E115" s="242">
        <f>MAX(0,D115-E116)</f>
        <v/>
      </c>
      <c r="F115" s="242">
        <f>MAX(0,E115-F116)</f>
        <v/>
      </c>
      <c r="G115" s="242">
        <f>MAX(0,F115-G116)</f>
        <v/>
      </c>
      <c r="H115" s="242">
        <f>MAX(0,G115-H116)</f>
        <v/>
      </c>
      <c r="I115" s="242">
        <f>MAX(0,H115-I116)</f>
        <v/>
      </c>
      <c r="J115" s="242">
        <f>MAX(0,I115-J116)</f>
        <v/>
      </c>
      <c r="K115" s="242">
        <f>MAX(0,J115-K116)</f>
        <v/>
      </c>
      <c r="L115" s="242">
        <f>MAX(0,K115-L116)</f>
        <v/>
      </c>
      <c r="M115" s="242">
        <f>MAX(0,L115-M116)</f>
        <v/>
      </c>
      <c r="N115" s="242">
        <f>MAX(0,M115-N116)</f>
        <v/>
      </c>
      <c r="O115" s="242">
        <f>MAX(0,N115-O116)</f>
        <v/>
      </c>
      <c r="P115" s="242">
        <f>MAX(0,O115-P116)</f>
        <v/>
      </c>
      <c r="Q115" s="242">
        <f>MAX(0,P115-Q116)</f>
        <v/>
      </c>
      <c r="R115" s="242">
        <f>MAX(0,Q115-R116)</f>
        <v/>
      </c>
      <c r="S115" s="242">
        <f>MAX(0,R115-S116)</f>
        <v/>
      </c>
      <c r="T115" s="242">
        <f>MAX(0,S115-T116)</f>
        <v/>
      </c>
      <c r="U115" s="242">
        <f>MAX(0,T115-U116)</f>
        <v/>
      </c>
      <c r="V115" s="242">
        <f>MAX(0,U115-V116)</f>
        <v/>
      </c>
    </row>
    <row r="116">
      <c r="A116" s="165" t="inlineStr">
        <is>
          <t>Taxable income</t>
        </is>
      </c>
      <c r="B116" s="165" t="inlineStr">
        <is>
          <t>$mm</t>
        </is>
      </c>
      <c r="C116" s="242">
        <f>MAX(0,C12-C17-(MIN(-C22+0,MAX(0,Inputs!$B$16*C12))))</f>
        <v/>
      </c>
      <c r="D116" s="242">
        <f>MAX(0,D12-D17-(MIN(-D22+C114,MAX(0,Inputs!$B$16*D12))))</f>
        <v/>
      </c>
      <c r="E116" s="242">
        <f>MAX(0,E12-E17-(MIN(-E22+D114,MAX(0,Inputs!$B$16*E12))))</f>
        <v/>
      </c>
      <c r="F116" s="242">
        <f>MAX(0,F12-F17-(MIN(-F22+E114,MAX(0,Inputs!$B$16*F12))))</f>
        <v/>
      </c>
      <c r="G116" s="242">
        <f>MAX(0,G12-G17-(MIN(-G22+F114,MAX(0,Inputs!$B$16*G12))))</f>
        <v/>
      </c>
      <c r="H116" s="242">
        <f>MAX(0,H12-H17-(MIN(-H22+G114,MAX(0,Inputs!$B$16*H12))))</f>
        <v/>
      </c>
      <c r="I116" s="242">
        <f>MAX(0,I12-I17-(MIN(-I22+H114,MAX(0,Inputs!$B$16*I12))))</f>
        <v/>
      </c>
      <c r="J116" s="242">
        <f>MAX(0,J12-J17-(MIN(-J22+I114,MAX(0,Inputs!$B$16*J12))))</f>
        <v/>
      </c>
      <c r="K116" s="242">
        <f>MAX(0,K12-K17-(MIN(-K22+J114,MAX(0,Inputs!$B$16*K12))))</f>
        <v/>
      </c>
      <c r="L116" s="242">
        <f>MAX(0,L12-L17-(MIN(-L22+K114,MAX(0,Inputs!$B$16*L12))))</f>
        <v/>
      </c>
      <c r="M116" s="242">
        <f>MAX(0,M12-M17-(MIN(-M22+L114,MAX(0,Inputs!$B$16*M12))))</f>
        <v/>
      </c>
      <c r="N116" s="242">
        <f>MAX(0,N12-N17-(MIN(-N22+M114,MAX(0,Inputs!$B$16*N12))))</f>
        <v/>
      </c>
      <c r="O116" s="242">
        <f>MAX(0,O12-O17-(MIN(-O22+N114,MAX(0,Inputs!$B$16*O12))))</f>
        <v/>
      </c>
      <c r="P116" s="242">
        <f>MAX(0,P12-P17-(MIN(-P22+O114,MAX(0,Inputs!$B$16*P12))))</f>
        <v/>
      </c>
      <c r="Q116" s="242">
        <f>MAX(0,Q12-Q17-(MIN(-Q22+P114,MAX(0,Inputs!$B$16*Q12))))</f>
        <v/>
      </c>
      <c r="R116" s="242">
        <f>MAX(0,R12-R17-(MIN(-R22+Q114,MAX(0,Inputs!$B$16*R12))))</f>
        <v/>
      </c>
      <c r="S116" s="242">
        <f>MAX(0,S12-S17-(MIN(-S22+R114,MAX(0,Inputs!$B$16*S12))))</f>
        <v/>
      </c>
      <c r="T116" s="242">
        <f>MAX(0,T12-T17-(MIN(-T22+S114,MAX(0,Inputs!$B$16*T12))))</f>
        <v/>
      </c>
      <c r="U116" s="242">
        <f>MAX(0,U12-U17-(MIN(-U22+T114,MAX(0,Inputs!$B$16*U12))))</f>
        <v/>
      </c>
      <c r="V116" s="242">
        <f>MAX(0,V12-V17-(MIN(-V22+U114,MAX(0,Inputs!$B$16*V12))))</f>
        <v/>
      </c>
    </row>
    <row r="117">
      <c r="A117" s="165" t="n"/>
      <c r="B117" s="165" t="n"/>
      <c r="C117" s="154" t="n"/>
      <c r="D117" s="154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</row>
    <row r="118">
      <c r="A118" s="165" t="n"/>
      <c r="B118" s="165" t="n"/>
      <c r="C118" s="154" t="n"/>
      <c r="D118" s="154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</row>
    <row r="119">
      <c r="A119" s="165" t="n"/>
      <c r="B119" s="165" t="n"/>
      <c r="C119" s="154" t="n"/>
      <c r="D119" s="154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</row>
    <row r="120">
      <c r="A120" s="165" t="n"/>
      <c r="B120" s="165" t="n"/>
      <c r="C120" s="154" t="n"/>
      <c r="D120" s="154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</row>
    <row r="121">
      <c r="A121" s="165" t="n"/>
      <c r="B121" s="165" t="n"/>
      <c r="C121" s="154" t="n"/>
      <c r="D121" s="154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</row>
    <row r="122">
      <c r="A122" s="165" t="n"/>
      <c r="B122" s="165" t="n"/>
      <c r="C122" s="154" t="n"/>
      <c r="D122" s="154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</row>
    <row r="123">
      <c r="A123" s="165" t="n"/>
      <c r="B123" s="165" t="n"/>
      <c r="C123" s="154" t="n"/>
      <c r="D123" s="154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</row>
    <row r="124">
      <c r="A124" s="165" t="n"/>
      <c r="B124" s="165" t="n"/>
      <c r="C124" s="154" t="n"/>
      <c r="D124" s="154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</row>
    <row r="125">
      <c r="A125" s="165" t="n"/>
      <c r="B125" s="165" t="n"/>
      <c r="C125" s="154" t="n"/>
      <c r="D125" s="154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</row>
    <row r="126">
      <c r="A126" s="165" t="n"/>
      <c r="B126" s="165" t="n"/>
      <c r="C126" s="154" t="n"/>
      <c r="D126" s="154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</row>
    <row r="127">
      <c r="A127" s="165" t="n"/>
      <c r="B127" s="165" t="n"/>
      <c r="C127" s="154" t="n"/>
      <c r="D127" s="154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</row>
    <row r="128">
      <c r="A128" s="165" t="n"/>
      <c r="B128" s="165" t="n"/>
      <c r="C128" s="154" t="n"/>
      <c r="D128" s="154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</row>
    <row r="129">
      <c r="A129" s="165" t="n"/>
      <c r="B129" s="165" t="n"/>
      <c r="C129" s="154" t="n"/>
      <c r="D129" s="154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</row>
    <row r="130">
      <c r="A130" s="165" t="n"/>
      <c r="B130" s="165" t="n"/>
      <c r="C130" s="154" t="n"/>
      <c r="D130" s="154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</row>
    <row r="131">
      <c r="A131" s="165" t="n"/>
      <c r="B131" s="165" t="n"/>
      <c r="C131" s="154" t="n"/>
      <c r="D131" s="154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</row>
    <row r="132">
      <c r="A132" s="165" t="n"/>
      <c r="B132" s="165" t="n"/>
      <c r="C132" s="154" t="n"/>
      <c r="D132" s="154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</row>
    <row r="133">
      <c r="A133" s="165" t="n"/>
      <c r="B133" s="165" t="n"/>
      <c r="C133" s="154" t="n"/>
      <c r="D133" s="154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</row>
    <row r="134">
      <c r="A134" s="165" t="n"/>
      <c r="B134" s="165" t="n"/>
      <c r="C134" s="154" t="n"/>
      <c r="D134" s="154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</row>
    <row r="135">
      <c r="A135" s="165" t="n"/>
      <c r="B135" s="165" t="n"/>
      <c r="C135" s="154" t="n"/>
      <c r="D135" s="154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</row>
    <row r="136">
      <c r="A136" s="165" t="n"/>
      <c r="B136" s="165" t="n"/>
      <c r="C136" s="154" t="n"/>
      <c r="D136" s="154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</row>
    <row r="137">
      <c r="A137" s="165" t="n"/>
      <c r="B137" s="165" t="n"/>
      <c r="C137" s="154" t="n"/>
      <c r="D137" s="154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</row>
    <row r="138">
      <c r="A138" s="165" t="n"/>
      <c r="B138" s="165" t="n"/>
      <c r="C138" s="154" t="n"/>
      <c r="D138" s="154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</row>
    <row r="139">
      <c r="A139" s="165" t="n"/>
      <c r="B139" s="165" t="n"/>
      <c r="C139" s="154" t="n"/>
      <c r="D139" s="154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</row>
    <row r="140">
      <c r="A140" s="165" t="n"/>
      <c r="B140" s="165" t="n"/>
      <c r="C140" s="154" t="n"/>
      <c r="D140" s="154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</row>
  </sheetData>
  <mergeCells count="7">
    <mergeCell ref="A16:V16"/>
    <mergeCell ref="A68:V68"/>
    <mergeCell ref="A1:V1"/>
    <mergeCell ref="A46:V46"/>
    <mergeCell ref="A88:V88"/>
    <mergeCell ref="A29:V29"/>
    <mergeCell ref="A4:V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26" customHeight="1">
      <c r="A1" s="9" t="inlineStr">
        <is>
          <t>Project Keystone - Standalone Downside Quarterly LBO ($mm)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30" t="n"/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</row>
    <row r="3">
      <c r="A3" s="164" t="inlineStr">
        <is>
          <t>Line Item</t>
        </is>
      </c>
      <c r="B3" s="164" t="inlineStr">
        <is>
          <t>Unit</t>
        </is>
      </c>
      <c r="C3" s="238" t="n">
        <v>46203</v>
      </c>
      <c r="D3" s="238" t="n">
        <v>46295</v>
      </c>
      <c r="E3" s="238" t="n">
        <v>46387</v>
      </c>
      <c r="F3" s="238" t="n">
        <v>46477</v>
      </c>
      <c r="G3" s="238" t="n">
        <v>46568</v>
      </c>
      <c r="H3" s="238" t="n">
        <v>46660</v>
      </c>
      <c r="I3" s="238" t="n">
        <v>46752</v>
      </c>
      <c r="J3" s="238" t="n">
        <v>46843</v>
      </c>
      <c r="K3" s="238" t="n">
        <v>46934</v>
      </c>
      <c r="L3" s="238" t="n">
        <v>47026</v>
      </c>
      <c r="M3" s="238" t="n">
        <v>47118</v>
      </c>
      <c r="N3" s="238" t="n">
        <v>47208</v>
      </c>
      <c r="O3" s="238" t="n">
        <v>47299</v>
      </c>
      <c r="P3" s="238" t="n">
        <v>47391</v>
      </c>
      <c r="Q3" s="238" t="n">
        <v>47483</v>
      </c>
      <c r="R3" s="238" t="n">
        <v>47573</v>
      </c>
      <c r="S3" s="238" t="n">
        <v>47664</v>
      </c>
      <c r="T3" s="238" t="n">
        <v>47756</v>
      </c>
      <c r="U3" s="238" t="n">
        <v>47848</v>
      </c>
      <c r="V3" s="238" t="n">
        <v>47938</v>
      </c>
    </row>
    <row r="4">
      <c r="A4" s="39" t="inlineStr">
        <is>
          <t>Operating Model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s="165" t="inlineStr">
        <is>
          <t>Revenue</t>
        </is>
      </c>
      <c r="B5" s="165" t="inlineStr">
        <is>
          <t>$mm</t>
        </is>
      </c>
      <c r="C5" s="239">
        <f>'Scenario_Drivers'!C39</f>
        <v/>
      </c>
      <c r="D5" s="239">
        <f>'Scenario_Drivers'!D39</f>
        <v/>
      </c>
      <c r="E5" s="239">
        <f>'Scenario_Drivers'!E39</f>
        <v/>
      </c>
      <c r="F5" s="239">
        <f>'Scenario_Drivers'!F39</f>
        <v/>
      </c>
      <c r="G5" s="239">
        <f>'Scenario_Drivers'!G39</f>
        <v/>
      </c>
      <c r="H5" s="239">
        <f>'Scenario_Drivers'!H39</f>
        <v/>
      </c>
      <c r="I5" s="239">
        <f>'Scenario_Drivers'!I39</f>
        <v/>
      </c>
      <c r="J5" s="239">
        <f>'Scenario_Drivers'!J39</f>
        <v/>
      </c>
      <c r="K5" s="239">
        <f>'Scenario_Drivers'!K39</f>
        <v/>
      </c>
      <c r="L5" s="239">
        <f>'Scenario_Drivers'!L39</f>
        <v/>
      </c>
      <c r="M5" s="239">
        <f>'Scenario_Drivers'!M39</f>
        <v/>
      </c>
      <c r="N5" s="239">
        <f>'Scenario_Drivers'!N39</f>
        <v/>
      </c>
      <c r="O5" s="239">
        <f>'Scenario_Drivers'!O39</f>
        <v/>
      </c>
      <c r="P5" s="239">
        <f>'Scenario_Drivers'!P39</f>
        <v/>
      </c>
      <c r="Q5" s="239">
        <f>'Scenario_Drivers'!Q39</f>
        <v/>
      </c>
      <c r="R5" s="239">
        <f>'Scenario_Drivers'!R39</f>
        <v/>
      </c>
      <c r="S5" s="239">
        <f>'Scenario_Drivers'!S39</f>
        <v/>
      </c>
      <c r="T5" s="239">
        <f>'Scenario_Drivers'!T39</f>
        <v/>
      </c>
      <c r="U5" s="239">
        <f>'Scenario_Drivers'!U39</f>
        <v/>
      </c>
      <c r="V5" s="239">
        <f>'Scenario_Drivers'!V39</f>
        <v/>
      </c>
    </row>
    <row r="6">
      <c r="A6" s="165" t="inlineStr">
        <is>
          <t>Growth</t>
        </is>
      </c>
      <c r="B6" s="165" t="inlineStr">
        <is>
          <t>%</t>
        </is>
      </c>
      <c r="C6" s="240">
        <f>C5/(74.0*'Scenario_Drivers'!C70)-1</f>
        <v/>
      </c>
      <c r="D6" s="240">
        <f>D5/C5-1</f>
        <v/>
      </c>
      <c r="E6" s="240">
        <f>E5/D5-1</f>
        <v/>
      </c>
      <c r="F6" s="240">
        <f>F5/V5-1</f>
        <v/>
      </c>
      <c r="G6" s="240">
        <f>G5/F5-1</f>
        <v/>
      </c>
      <c r="H6" s="240">
        <f>H5/G5-1</f>
        <v/>
      </c>
      <c r="I6" s="240">
        <f>I5/H5-1</f>
        <v/>
      </c>
      <c r="J6" s="240">
        <f>J5/F5-1</f>
        <v/>
      </c>
      <c r="K6" s="240">
        <f>K5/J5-1</f>
        <v/>
      </c>
      <c r="L6" s="240">
        <f>L5/K5-1</f>
        <v/>
      </c>
      <c r="M6" s="240">
        <f>M5/L5-1</f>
        <v/>
      </c>
      <c r="N6" s="240">
        <f>N5/J5-1</f>
        <v/>
      </c>
      <c r="O6" s="240">
        <f>O5/N5-1</f>
        <v/>
      </c>
      <c r="P6" s="240">
        <f>P5/O5-1</f>
        <v/>
      </c>
      <c r="Q6" s="240">
        <f>Q5/P5-1</f>
        <v/>
      </c>
      <c r="R6" s="240">
        <f>R5/N5-1</f>
        <v/>
      </c>
      <c r="S6" s="240">
        <f>S5/R5-1</f>
        <v/>
      </c>
      <c r="T6" s="240">
        <f>T5/S5-1</f>
        <v/>
      </c>
      <c r="U6" s="240">
        <f>U5/T5-1</f>
        <v/>
      </c>
      <c r="V6" s="240">
        <f>V5/R5-1</f>
        <v/>
      </c>
    </row>
    <row r="7">
      <c r="A7" s="165" t="inlineStr">
        <is>
          <t>Gross margin</t>
        </is>
      </c>
      <c r="B7" s="165" t="inlineStr">
        <is>
          <t>%</t>
        </is>
      </c>
      <c r="C7" s="241">
        <f>'Scenario_Drivers'!C40</f>
        <v/>
      </c>
      <c r="D7" s="241">
        <f>'Scenario_Drivers'!D40</f>
        <v/>
      </c>
      <c r="E7" s="241">
        <f>'Scenario_Drivers'!E40</f>
        <v/>
      </c>
      <c r="F7" s="241">
        <f>'Scenario_Drivers'!F40</f>
        <v/>
      </c>
      <c r="G7" s="241">
        <f>'Scenario_Drivers'!G40</f>
        <v/>
      </c>
      <c r="H7" s="241">
        <f>'Scenario_Drivers'!H40</f>
        <v/>
      </c>
      <c r="I7" s="241">
        <f>'Scenario_Drivers'!I40</f>
        <v/>
      </c>
      <c r="J7" s="241">
        <f>'Scenario_Drivers'!J40</f>
        <v/>
      </c>
      <c r="K7" s="241">
        <f>'Scenario_Drivers'!K40</f>
        <v/>
      </c>
      <c r="L7" s="241">
        <f>'Scenario_Drivers'!L40</f>
        <v/>
      </c>
      <c r="M7" s="241">
        <f>'Scenario_Drivers'!M40</f>
        <v/>
      </c>
      <c r="N7" s="241">
        <f>'Scenario_Drivers'!N40</f>
        <v/>
      </c>
      <c r="O7" s="241">
        <f>'Scenario_Drivers'!O40</f>
        <v/>
      </c>
      <c r="P7" s="241">
        <f>'Scenario_Drivers'!P40</f>
        <v/>
      </c>
      <c r="Q7" s="241">
        <f>'Scenario_Drivers'!Q40</f>
        <v/>
      </c>
      <c r="R7" s="241">
        <f>'Scenario_Drivers'!R40</f>
        <v/>
      </c>
      <c r="S7" s="241">
        <f>'Scenario_Drivers'!S40</f>
        <v/>
      </c>
      <c r="T7" s="241">
        <f>'Scenario_Drivers'!T40</f>
        <v/>
      </c>
      <c r="U7" s="241">
        <f>'Scenario_Drivers'!U40</f>
        <v/>
      </c>
      <c r="V7" s="241">
        <f>'Scenario_Drivers'!V40</f>
        <v/>
      </c>
    </row>
    <row r="8">
      <c r="A8" s="165" t="inlineStr">
        <is>
          <t>Gross profit</t>
        </is>
      </c>
      <c r="B8" s="165" t="inlineStr">
        <is>
          <t>$mm</t>
        </is>
      </c>
      <c r="C8" s="242">
        <f>C5*C7</f>
        <v/>
      </c>
      <c r="D8" s="242">
        <f>D5*D7</f>
        <v/>
      </c>
      <c r="E8" s="242">
        <f>E5*E7</f>
        <v/>
      </c>
      <c r="F8" s="242">
        <f>F5*F7</f>
        <v/>
      </c>
      <c r="G8" s="242">
        <f>G5*G7</f>
        <v/>
      </c>
      <c r="H8" s="242">
        <f>H5*H7</f>
        <v/>
      </c>
      <c r="I8" s="242">
        <f>I5*I7</f>
        <v/>
      </c>
      <c r="J8" s="242">
        <f>J5*J7</f>
        <v/>
      </c>
      <c r="K8" s="242">
        <f>K5*K7</f>
        <v/>
      </c>
      <c r="L8" s="242">
        <f>L5*L7</f>
        <v/>
      </c>
      <c r="M8" s="242">
        <f>M5*M7</f>
        <v/>
      </c>
      <c r="N8" s="242">
        <f>N5*N7</f>
        <v/>
      </c>
      <c r="O8" s="242">
        <f>O5*O7</f>
        <v/>
      </c>
      <c r="P8" s="242">
        <f>P5*P7</f>
        <v/>
      </c>
      <c r="Q8" s="242">
        <f>Q5*Q7</f>
        <v/>
      </c>
      <c r="R8" s="242">
        <f>R5*R7</f>
        <v/>
      </c>
      <c r="S8" s="242">
        <f>S5*S7</f>
        <v/>
      </c>
      <c r="T8" s="242">
        <f>T5*T7</f>
        <v/>
      </c>
      <c r="U8" s="242">
        <f>U5*U7</f>
        <v/>
      </c>
      <c r="V8" s="242">
        <f>V5*V7</f>
        <v/>
      </c>
    </row>
    <row r="9">
      <c r="A9" s="165" t="inlineStr">
        <is>
          <t>COGS</t>
        </is>
      </c>
      <c r="B9" s="165" t="inlineStr">
        <is>
          <t>$mm</t>
        </is>
      </c>
      <c r="C9" s="242">
        <f>-(C5-C8)</f>
        <v/>
      </c>
      <c r="D9" s="242">
        <f>-(D5-D8)</f>
        <v/>
      </c>
      <c r="E9" s="242">
        <f>-(E5-E8)</f>
        <v/>
      </c>
      <c r="F9" s="242">
        <f>-(F5-F8)</f>
        <v/>
      </c>
      <c r="G9" s="242">
        <f>-(G5-G8)</f>
        <v/>
      </c>
      <c r="H9" s="242">
        <f>-(H5-H8)</f>
        <v/>
      </c>
      <c r="I9" s="242">
        <f>-(I5-I8)</f>
        <v/>
      </c>
      <c r="J9" s="242">
        <f>-(J5-J8)</f>
        <v/>
      </c>
      <c r="K9" s="242">
        <f>-(K5-K8)</f>
        <v/>
      </c>
      <c r="L9" s="242">
        <f>-(L5-L8)</f>
        <v/>
      </c>
      <c r="M9" s="242">
        <f>-(M5-M8)</f>
        <v/>
      </c>
      <c r="N9" s="242">
        <f>-(N5-N8)</f>
        <v/>
      </c>
      <c r="O9" s="242">
        <f>-(O5-O8)</f>
        <v/>
      </c>
      <c r="P9" s="242">
        <f>-(P5-P8)</f>
        <v/>
      </c>
      <c r="Q9" s="242">
        <f>-(Q5-Q8)</f>
        <v/>
      </c>
      <c r="R9" s="242">
        <f>-(R5-R8)</f>
        <v/>
      </c>
      <c r="S9" s="242">
        <f>-(S5-S8)</f>
        <v/>
      </c>
      <c r="T9" s="242">
        <f>-(T5-T8)</f>
        <v/>
      </c>
      <c r="U9" s="242">
        <f>-(U5-U8)</f>
        <v/>
      </c>
      <c r="V9" s="242">
        <f>-(V5-V8)</f>
        <v/>
      </c>
    </row>
    <row r="10">
      <c r="A10" s="165" t="inlineStr">
        <is>
          <t>Firm EBITDA</t>
        </is>
      </c>
      <c r="B10" s="165" t="inlineStr">
        <is>
          <t>$mm</t>
        </is>
      </c>
      <c r="C10" s="239">
        <f>'Scenario_Drivers'!C41</f>
        <v/>
      </c>
      <c r="D10" s="239">
        <f>'Scenario_Drivers'!D41</f>
        <v/>
      </c>
      <c r="E10" s="239">
        <f>'Scenario_Drivers'!E41</f>
        <v/>
      </c>
      <c r="F10" s="239">
        <f>'Scenario_Drivers'!F41</f>
        <v/>
      </c>
      <c r="G10" s="239">
        <f>'Scenario_Drivers'!G41</f>
        <v/>
      </c>
      <c r="H10" s="239">
        <f>'Scenario_Drivers'!H41</f>
        <v/>
      </c>
      <c r="I10" s="239">
        <f>'Scenario_Drivers'!I41</f>
        <v/>
      </c>
      <c r="J10" s="239">
        <f>'Scenario_Drivers'!J41</f>
        <v/>
      </c>
      <c r="K10" s="239">
        <f>'Scenario_Drivers'!K41</f>
        <v/>
      </c>
      <c r="L10" s="239">
        <f>'Scenario_Drivers'!L41</f>
        <v/>
      </c>
      <c r="M10" s="239">
        <f>'Scenario_Drivers'!M41</f>
        <v/>
      </c>
      <c r="N10" s="239">
        <f>'Scenario_Drivers'!N41</f>
        <v/>
      </c>
      <c r="O10" s="239">
        <f>'Scenario_Drivers'!O41</f>
        <v/>
      </c>
      <c r="P10" s="239">
        <f>'Scenario_Drivers'!P41</f>
        <v/>
      </c>
      <c r="Q10" s="239">
        <f>'Scenario_Drivers'!Q41</f>
        <v/>
      </c>
      <c r="R10" s="239">
        <f>'Scenario_Drivers'!R41</f>
        <v/>
      </c>
      <c r="S10" s="239">
        <f>'Scenario_Drivers'!S41</f>
        <v/>
      </c>
      <c r="T10" s="239">
        <f>'Scenario_Drivers'!T41</f>
        <v/>
      </c>
      <c r="U10" s="239">
        <f>'Scenario_Drivers'!U41</f>
        <v/>
      </c>
      <c r="V10" s="239">
        <f>'Scenario_Drivers'!V41</f>
        <v/>
      </c>
    </row>
    <row r="11">
      <c r="A11" s="165" t="inlineStr">
        <is>
          <t>One-time charges</t>
        </is>
      </c>
      <c r="B11" s="165" t="inlineStr">
        <is>
          <t>$mm</t>
        </is>
      </c>
      <c r="C11" s="242">
        <f>-'Scenario_Drivers'!C42</f>
        <v/>
      </c>
      <c r="D11" s="242">
        <f>-'Scenario_Drivers'!D42</f>
        <v/>
      </c>
      <c r="E11" s="242">
        <f>-'Scenario_Drivers'!E42</f>
        <v/>
      </c>
      <c r="F11" s="242">
        <f>-'Scenario_Drivers'!F42</f>
        <v/>
      </c>
      <c r="G11" s="242">
        <f>-'Scenario_Drivers'!G42</f>
        <v/>
      </c>
      <c r="H11" s="242">
        <f>-'Scenario_Drivers'!H42</f>
        <v/>
      </c>
      <c r="I11" s="242">
        <f>-'Scenario_Drivers'!I42</f>
        <v/>
      </c>
      <c r="J11" s="242">
        <f>-'Scenario_Drivers'!J42</f>
        <v/>
      </c>
      <c r="K11" s="242">
        <f>-'Scenario_Drivers'!K42</f>
        <v/>
      </c>
      <c r="L11" s="242">
        <f>-'Scenario_Drivers'!L42</f>
        <v/>
      </c>
      <c r="M11" s="242">
        <f>-'Scenario_Drivers'!M42</f>
        <v/>
      </c>
      <c r="N11" s="242">
        <f>-'Scenario_Drivers'!N42</f>
        <v/>
      </c>
      <c r="O11" s="242">
        <f>-'Scenario_Drivers'!O42</f>
        <v/>
      </c>
      <c r="P11" s="242">
        <f>-'Scenario_Drivers'!P42</f>
        <v/>
      </c>
      <c r="Q11" s="242">
        <f>-'Scenario_Drivers'!Q42</f>
        <v/>
      </c>
      <c r="R11" s="242">
        <f>-'Scenario_Drivers'!R42</f>
        <v/>
      </c>
      <c r="S11" s="242">
        <f>-'Scenario_Drivers'!S42</f>
        <v/>
      </c>
      <c r="T11" s="242">
        <f>-'Scenario_Drivers'!T42</f>
        <v/>
      </c>
      <c r="U11" s="242">
        <f>-'Scenario_Drivers'!U42</f>
        <v/>
      </c>
      <c r="V11" s="242">
        <f>-'Scenario_Drivers'!V42</f>
        <v/>
      </c>
    </row>
    <row r="12">
      <c r="A12" s="165" t="inlineStr">
        <is>
          <t>Reported EBITDA</t>
        </is>
      </c>
      <c r="B12" s="165" t="inlineStr">
        <is>
          <t>$mm</t>
        </is>
      </c>
      <c r="C12" s="242">
        <f>C10+C11</f>
        <v/>
      </c>
      <c r="D12" s="242">
        <f>D10+D11</f>
        <v/>
      </c>
      <c r="E12" s="242">
        <f>E10+E11</f>
        <v/>
      </c>
      <c r="F12" s="242">
        <f>F10+F11</f>
        <v/>
      </c>
      <c r="G12" s="242">
        <f>G10+G11</f>
        <v/>
      </c>
      <c r="H12" s="242">
        <f>H10+H11</f>
        <v/>
      </c>
      <c r="I12" s="242">
        <f>I10+I11</f>
        <v/>
      </c>
      <c r="J12" s="242">
        <f>J10+J11</f>
        <v/>
      </c>
      <c r="K12" s="242">
        <f>K10+K11</f>
        <v/>
      </c>
      <c r="L12" s="242">
        <f>L10+L11</f>
        <v/>
      </c>
      <c r="M12" s="242">
        <f>M10+M11</f>
        <v/>
      </c>
      <c r="N12" s="242">
        <f>N10+N11</f>
        <v/>
      </c>
      <c r="O12" s="242">
        <f>O10+O11</f>
        <v/>
      </c>
      <c r="P12" s="242">
        <f>P10+P11</f>
        <v/>
      </c>
      <c r="Q12" s="242">
        <f>Q10+Q11</f>
        <v/>
      </c>
      <c r="R12" s="242">
        <f>R10+R11</f>
        <v/>
      </c>
      <c r="S12" s="242">
        <f>S10+S11</f>
        <v/>
      </c>
      <c r="T12" s="242">
        <f>T10+T11</f>
        <v/>
      </c>
      <c r="U12" s="242">
        <f>U10+U11</f>
        <v/>
      </c>
      <c r="V12" s="242">
        <f>V10+V11</f>
        <v/>
      </c>
    </row>
    <row r="13">
      <c r="A13" s="165" t="inlineStr">
        <is>
          <t>Covenant add-backs</t>
        </is>
      </c>
      <c r="B13" s="165" t="inlineStr">
        <is>
          <t>$mm</t>
        </is>
      </c>
      <c r="C13" s="239">
        <f>'Scenario_Drivers'!C43</f>
        <v/>
      </c>
      <c r="D13" s="239">
        <f>'Scenario_Drivers'!D43</f>
        <v/>
      </c>
      <c r="E13" s="239">
        <f>'Scenario_Drivers'!E43</f>
        <v/>
      </c>
      <c r="F13" s="239">
        <f>'Scenario_Drivers'!F43</f>
        <v/>
      </c>
      <c r="G13" s="239">
        <f>'Scenario_Drivers'!G43</f>
        <v/>
      </c>
      <c r="H13" s="239">
        <f>'Scenario_Drivers'!H43</f>
        <v/>
      </c>
      <c r="I13" s="239">
        <f>'Scenario_Drivers'!I43</f>
        <v/>
      </c>
      <c r="J13" s="239">
        <f>'Scenario_Drivers'!J43</f>
        <v/>
      </c>
      <c r="K13" s="239">
        <f>'Scenario_Drivers'!K43</f>
        <v/>
      </c>
      <c r="L13" s="239">
        <f>'Scenario_Drivers'!L43</f>
        <v/>
      </c>
      <c r="M13" s="239">
        <f>'Scenario_Drivers'!M43</f>
        <v/>
      </c>
      <c r="N13" s="239">
        <f>'Scenario_Drivers'!N43</f>
        <v/>
      </c>
      <c r="O13" s="239">
        <f>'Scenario_Drivers'!O43</f>
        <v/>
      </c>
      <c r="P13" s="239">
        <f>'Scenario_Drivers'!P43</f>
        <v/>
      </c>
      <c r="Q13" s="239">
        <f>'Scenario_Drivers'!Q43</f>
        <v/>
      </c>
      <c r="R13" s="239">
        <f>'Scenario_Drivers'!R43</f>
        <v/>
      </c>
      <c r="S13" s="239">
        <f>'Scenario_Drivers'!S43</f>
        <v/>
      </c>
      <c r="T13" s="239">
        <f>'Scenario_Drivers'!T43</f>
        <v/>
      </c>
      <c r="U13" s="239">
        <f>'Scenario_Drivers'!U43</f>
        <v/>
      </c>
      <c r="V13" s="239">
        <f>'Scenario_Drivers'!V43</f>
        <v/>
      </c>
    </row>
    <row r="14">
      <c r="A14" s="165" t="inlineStr">
        <is>
          <t>Covenant EBITDA</t>
        </is>
      </c>
      <c r="B14" s="165" t="inlineStr">
        <is>
          <t>$mm</t>
        </is>
      </c>
      <c r="C14" s="242">
        <f>C12+C13</f>
        <v/>
      </c>
      <c r="D14" s="242">
        <f>D12+D13</f>
        <v/>
      </c>
      <c r="E14" s="242">
        <f>E12+E13</f>
        <v/>
      </c>
      <c r="F14" s="242">
        <f>F12+F13</f>
        <v/>
      </c>
      <c r="G14" s="242">
        <f>G12+G13</f>
        <v/>
      </c>
      <c r="H14" s="242">
        <f>H12+H13</f>
        <v/>
      </c>
      <c r="I14" s="242">
        <f>I12+I13</f>
        <v/>
      </c>
      <c r="J14" s="242">
        <f>J12+J13</f>
        <v/>
      </c>
      <c r="K14" s="242">
        <f>K12+K13</f>
        <v/>
      </c>
      <c r="L14" s="242">
        <f>L12+L13</f>
        <v/>
      </c>
      <c r="M14" s="242">
        <f>M12+M13</f>
        <v/>
      </c>
      <c r="N14" s="242">
        <f>N12+N13</f>
        <v/>
      </c>
      <c r="O14" s="242">
        <f>O12+O13</f>
        <v/>
      </c>
      <c r="P14" s="242">
        <f>P12+P13</f>
        <v/>
      </c>
      <c r="Q14" s="242">
        <f>Q12+Q13</f>
        <v/>
      </c>
      <c r="R14" s="242">
        <f>R12+R13</f>
        <v/>
      </c>
      <c r="S14" s="242">
        <f>S12+S13</f>
        <v/>
      </c>
      <c r="T14" s="242">
        <f>T12+T13</f>
        <v/>
      </c>
      <c r="U14" s="242">
        <f>U12+U13</f>
        <v/>
      </c>
      <c r="V14" s="242">
        <f>V12+V13</f>
        <v/>
      </c>
    </row>
    <row r="15">
      <c r="A15" s="165" t="inlineStr">
        <is>
          <t>Firm EBITDA margin</t>
        </is>
      </c>
      <c r="B15" s="165" t="inlineStr">
        <is>
          <t>%</t>
        </is>
      </c>
      <c r="C15" s="240">
        <f>C10/C5</f>
        <v/>
      </c>
      <c r="D15" s="240">
        <f>D10/D5</f>
        <v/>
      </c>
      <c r="E15" s="240">
        <f>E10/E5</f>
        <v/>
      </c>
      <c r="F15" s="240">
        <f>F10/F5</f>
        <v/>
      </c>
      <c r="G15" s="240">
        <f>G10/G5</f>
        <v/>
      </c>
      <c r="H15" s="240">
        <f>H10/H5</f>
        <v/>
      </c>
      <c r="I15" s="240">
        <f>I10/I5</f>
        <v/>
      </c>
      <c r="J15" s="240">
        <f>J10/J5</f>
        <v/>
      </c>
      <c r="K15" s="240">
        <f>K10/K5</f>
        <v/>
      </c>
      <c r="L15" s="240">
        <f>L10/L5</f>
        <v/>
      </c>
      <c r="M15" s="240">
        <f>M10/M5</f>
        <v/>
      </c>
      <c r="N15" s="240">
        <f>N10/N5</f>
        <v/>
      </c>
      <c r="O15" s="240">
        <f>O10/O5</f>
        <v/>
      </c>
      <c r="P15" s="240">
        <f>P10/P5</f>
        <v/>
      </c>
      <c r="Q15" s="240">
        <f>Q10/Q5</f>
        <v/>
      </c>
      <c r="R15" s="240">
        <f>R10/R5</f>
        <v/>
      </c>
      <c r="S15" s="240">
        <f>S10/S5</f>
        <v/>
      </c>
      <c r="T15" s="240">
        <f>T10/T5</f>
        <v/>
      </c>
      <c r="U15" s="240">
        <f>U10/U5</f>
        <v/>
      </c>
      <c r="V15" s="240">
        <f>V10/V5</f>
        <v/>
      </c>
    </row>
    <row r="16">
      <c r="A16" s="39" t="inlineStr">
        <is>
          <t>Income Statement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>
      <c r="A17" s="165" t="inlineStr">
        <is>
          <t>Depreciation</t>
        </is>
      </c>
      <c r="B17" s="165" t="inlineStr">
        <is>
          <t>$mm</t>
        </is>
      </c>
      <c r="C17" s="242">
        <f>C5*Inputs!$B$17</f>
        <v/>
      </c>
      <c r="D17" s="242">
        <f>D5*Inputs!$B$17</f>
        <v/>
      </c>
      <c r="E17" s="242">
        <f>E5*Inputs!$B$17</f>
        <v/>
      </c>
      <c r="F17" s="242">
        <f>F5*Inputs!$B$17</f>
        <v/>
      </c>
      <c r="G17" s="242">
        <f>G5*Inputs!$B$17</f>
        <v/>
      </c>
      <c r="H17" s="242">
        <f>H5*Inputs!$B$17</f>
        <v/>
      </c>
      <c r="I17" s="242">
        <f>I5*Inputs!$B$17</f>
        <v/>
      </c>
      <c r="J17" s="242">
        <f>J5*Inputs!$B$17</f>
        <v/>
      </c>
      <c r="K17" s="242">
        <f>K5*Inputs!$B$17</f>
        <v/>
      </c>
      <c r="L17" s="242">
        <f>L5*Inputs!$B$17</f>
        <v/>
      </c>
      <c r="M17" s="242">
        <f>M5*Inputs!$B$17</f>
        <v/>
      </c>
      <c r="N17" s="242">
        <f>N5*Inputs!$B$17</f>
        <v/>
      </c>
      <c r="O17" s="242">
        <f>O5*Inputs!$B$17</f>
        <v/>
      </c>
      <c r="P17" s="242">
        <f>P5*Inputs!$B$17</f>
        <v/>
      </c>
      <c r="Q17" s="242">
        <f>Q5*Inputs!$B$17</f>
        <v/>
      </c>
      <c r="R17" s="242">
        <f>R5*Inputs!$B$17</f>
        <v/>
      </c>
      <c r="S17" s="242">
        <f>S5*Inputs!$B$17</f>
        <v/>
      </c>
      <c r="T17" s="242">
        <f>T5*Inputs!$B$17</f>
        <v/>
      </c>
      <c r="U17" s="242">
        <f>U5*Inputs!$B$17</f>
        <v/>
      </c>
      <c r="V17" s="242">
        <f>V5*Inputs!$B$17</f>
        <v/>
      </c>
    </row>
    <row r="18">
      <c r="A18" s="165" t="inlineStr">
        <is>
          <t>Core PPA amortization</t>
        </is>
      </c>
      <c r="B18" s="165" t="inlineStr">
        <is>
          <t>$mm</t>
        </is>
      </c>
      <c r="C18" s="242">
        <f>'Scenario_Drivers'!C69</f>
        <v/>
      </c>
      <c r="D18" s="242">
        <f>'Scenario_Drivers'!D69</f>
        <v/>
      </c>
      <c r="E18" s="242">
        <f>'Scenario_Drivers'!E69</f>
        <v/>
      </c>
      <c r="F18" s="242">
        <f>'Scenario_Drivers'!F69</f>
        <v/>
      </c>
      <c r="G18" s="242">
        <f>'Scenario_Drivers'!G69</f>
        <v/>
      </c>
      <c r="H18" s="242">
        <f>'Scenario_Drivers'!H69</f>
        <v/>
      </c>
      <c r="I18" s="242">
        <f>'Scenario_Drivers'!I69</f>
        <v/>
      </c>
      <c r="J18" s="242">
        <f>'Scenario_Drivers'!J69</f>
        <v/>
      </c>
      <c r="K18" s="242">
        <f>'Scenario_Drivers'!K69</f>
        <v/>
      </c>
      <c r="L18" s="242">
        <f>'Scenario_Drivers'!L69</f>
        <v/>
      </c>
      <c r="M18" s="242">
        <f>'Scenario_Drivers'!M69</f>
        <v/>
      </c>
      <c r="N18" s="242">
        <f>'Scenario_Drivers'!N69</f>
        <v/>
      </c>
      <c r="O18" s="242">
        <f>'Scenario_Drivers'!O69</f>
        <v/>
      </c>
      <c r="P18" s="242">
        <f>'Scenario_Drivers'!P69</f>
        <v/>
      </c>
      <c r="Q18" s="242">
        <f>'Scenario_Drivers'!Q69</f>
        <v/>
      </c>
      <c r="R18" s="242">
        <f>'Scenario_Drivers'!R69</f>
        <v/>
      </c>
      <c r="S18" s="242">
        <f>'Scenario_Drivers'!S69</f>
        <v/>
      </c>
      <c r="T18" s="242">
        <f>'Scenario_Drivers'!T69</f>
        <v/>
      </c>
      <c r="U18" s="242">
        <f>'Scenario_Drivers'!U69</f>
        <v/>
      </c>
      <c r="V18" s="242">
        <f>'Scenario_Drivers'!V69</f>
        <v/>
      </c>
    </row>
    <row r="19">
      <c r="A19" s="165" t="inlineStr">
        <is>
          <t>Integration asset amortization</t>
        </is>
      </c>
      <c r="B19" s="165" t="inlineStr">
        <is>
          <t>$mm</t>
        </is>
      </c>
      <c r="C19" s="242">
        <f>0</f>
        <v/>
      </c>
      <c r="D19" s="242">
        <f>0</f>
        <v/>
      </c>
      <c r="E19" s="242">
        <f>0</f>
        <v/>
      </c>
      <c r="F19" s="242">
        <f>0</f>
        <v/>
      </c>
      <c r="G19" s="242">
        <f>0</f>
        <v/>
      </c>
      <c r="H19" s="242">
        <f>0</f>
        <v/>
      </c>
      <c r="I19" s="242">
        <f>0</f>
        <v/>
      </c>
      <c r="J19" s="242">
        <f>0</f>
        <v/>
      </c>
      <c r="K19" s="242">
        <f>0</f>
        <v/>
      </c>
      <c r="L19" s="242">
        <f>0</f>
        <v/>
      </c>
      <c r="M19" s="242">
        <f>0</f>
        <v/>
      </c>
      <c r="N19" s="242">
        <f>0</f>
        <v/>
      </c>
      <c r="O19" s="242">
        <f>0</f>
        <v/>
      </c>
      <c r="P19" s="242">
        <f>0</f>
        <v/>
      </c>
      <c r="Q19" s="242">
        <f>0</f>
        <v/>
      </c>
      <c r="R19" s="242">
        <f>0</f>
        <v/>
      </c>
      <c r="S19" s="242">
        <f>0</f>
        <v/>
      </c>
      <c r="T19" s="242">
        <f>0</f>
        <v/>
      </c>
      <c r="U19" s="242">
        <f>0</f>
        <v/>
      </c>
      <c r="V19" s="242">
        <f>0</f>
        <v/>
      </c>
    </row>
    <row r="20">
      <c r="A20" s="165" t="inlineStr">
        <is>
          <t>Total D&amp;A</t>
        </is>
      </c>
      <c r="B20" s="165" t="inlineStr">
        <is>
          <t>$mm</t>
        </is>
      </c>
      <c r="C20" s="242">
        <f>SUM(C17:C19)</f>
        <v/>
      </c>
      <c r="D20" s="242">
        <f>SUM(D17:D19)</f>
        <v/>
      </c>
      <c r="E20" s="242">
        <f>SUM(E17:E19)</f>
        <v/>
      </c>
      <c r="F20" s="242">
        <f>SUM(F17:F19)</f>
        <v/>
      </c>
      <c r="G20" s="242">
        <f>SUM(G17:G19)</f>
        <v/>
      </c>
      <c r="H20" s="242">
        <f>SUM(H17:H19)</f>
        <v/>
      </c>
      <c r="I20" s="242">
        <f>SUM(I17:I19)</f>
        <v/>
      </c>
      <c r="J20" s="242">
        <f>SUM(J17:J19)</f>
        <v/>
      </c>
      <c r="K20" s="242">
        <f>SUM(K17:K19)</f>
        <v/>
      </c>
      <c r="L20" s="242">
        <f>SUM(L17:L19)</f>
        <v/>
      </c>
      <c r="M20" s="242">
        <f>SUM(M17:M19)</f>
        <v/>
      </c>
      <c r="N20" s="242">
        <f>SUM(N17:N19)</f>
        <v/>
      </c>
      <c r="O20" s="242">
        <f>SUM(O17:O19)</f>
        <v/>
      </c>
      <c r="P20" s="242">
        <f>SUM(P17:P19)</f>
        <v/>
      </c>
      <c r="Q20" s="242">
        <f>SUM(Q17:Q19)</f>
        <v/>
      </c>
      <c r="R20" s="242">
        <f>SUM(R17:R19)</f>
        <v/>
      </c>
      <c r="S20" s="242">
        <f>SUM(S17:S19)</f>
        <v/>
      </c>
      <c r="T20" s="242">
        <f>SUM(T17:T19)</f>
        <v/>
      </c>
      <c r="U20" s="242">
        <f>SUM(U17:U19)</f>
        <v/>
      </c>
      <c r="V20" s="242">
        <f>SUM(V17:V19)</f>
        <v/>
      </c>
    </row>
    <row r="21">
      <c r="A21" s="165" t="inlineStr">
        <is>
          <t>EBIT</t>
        </is>
      </c>
      <c r="B21" s="165" t="inlineStr">
        <is>
          <t>$mm</t>
        </is>
      </c>
      <c r="C21" s="242">
        <f>C12-C20</f>
        <v/>
      </c>
      <c r="D21" s="242">
        <f>D12-D20</f>
        <v/>
      </c>
      <c r="E21" s="242">
        <f>E12-E20</f>
        <v/>
      </c>
      <c r="F21" s="242">
        <f>F12-F20</f>
        <v/>
      </c>
      <c r="G21" s="242">
        <f>G12-G20</f>
        <v/>
      </c>
      <c r="H21" s="242">
        <f>H12-H20</f>
        <v/>
      </c>
      <c r="I21" s="242">
        <f>I12-I20</f>
        <v/>
      </c>
      <c r="J21" s="242">
        <f>J12-J20</f>
        <v/>
      </c>
      <c r="K21" s="242">
        <f>K12-K20</f>
        <v/>
      </c>
      <c r="L21" s="242">
        <f>L12-L20</f>
        <v/>
      </c>
      <c r="M21" s="242">
        <f>M12-M20</f>
        <v/>
      </c>
      <c r="N21" s="242">
        <f>N12-N20</f>
        <v/>
      </c>
      <c r="O21" s="242">
        <f>O12-O20</f>
        <v/>
      </c>
      <c r="P21" s="242">
        <f>P12-P20</f>
        <v/>
      </c>
      <c r="Q21" s="242">
        <f>Q12-Q20</f>
        <v/>
      </c>
      <c r="R21" s="242">
        <f>R12-R20</f>
        <v/>
      </c>
      <c r="S21" s="242">
        <f>S12-S20</f>
        <v/>
      </c>
      <c r="T21" s="242">
        <f>T12-T20</f>
        <v/>
      </c>
      <c r="U21" s="242">
        <f>U12-U20</f>
        <v/>
      </c>
      <c r="V21" s="242">
        <f>V12-V20</f>
        <v/>
      </c>
    </row>
    <row r="22">
      <c r="A22" s="165" t="inlineStr">
        <is>
          <t>Cash interest</t>
        </is>
      </c>
      <c r="B22" s="165" t="inlineStr">
        <is>
          <t>$mm</t>
        </is>
      </c>
      <c r="C22" s="242">
        <f>-((('S&amp;U_Opening'!$E$18+MAX(0,'S&amp;U_Opening'!$E$18-(MIN(0.107,'S&amp;U_Opening'!$E$18))))/2)*(MAX('Scenario_Drivers'!C67,Inputs!$B$26)+Inputs!$B$23+'Scenario_Drivers'!C68)/4+((0+0+'Scenario_Drivers'!C59-(IF(0&gt;0,MIN(0.015,0),0)))/2)*(MAX('Scenario_Drivers'!C67,Inputs!$B$26)+Inputs!$B$25+'Scenario_Drivers'!C68)/4+0*(MAX('Scenario_Drivers'!C67,Inputs!$B$26)+Inputs!$B$24+'Scenario_Drivers'!C68)/4+MAX(0,Inputs!$B$20-0-'Scenario_Drivers'!C62)*Inputs!$B$29/4+0)</f>
        <v/>
      </c>
      <c r="D22" s="242">
        <f>-(((C76+MAX(0,C76-(MIN(0.107,C76))))/2)*(MAX('Scenario_Drivers'!D67,Inputs!$B$26)+Inputs!$B$23+'Scenario_Drivers'!D68)/4+((C77+C77+'Scenario_Drivers'!D59-(IF(C77&gt;0,MIN(0.015,C77),0)))/2)*(MAX('Scenario_Drivers'!D67,Inputs!$B$26)+Inputs!$B$25+'Scenario_Drivers'!D68)/4+C78*(MAX('Scenario_Drivers'!D67,Inputs!$B$26)+Inputs!$B$24+'Scenario_Drivers'!D68)/4+MAX(0,Inputs!$B$20-C78-'Scenario_Drivers'!D62)*Inputs!$B$29/4+MAX(0,Inputs!$B$21-C77-'Scenario_Drivers'!D59)*Inputs!$B$30/4)</f>
        <v/>
      </c>
      <c r="E22" s="242">
        <f>-(((D76+MAX(0,D76-(MIN(0.107,D76))))/2)*(MAX('Scenario_Drivers'!E67,Inputs!$B$26)+Inputs!$B$23+'Scenario_Drivers'!E68)/4+((D77+D77+'Scenario_Drivers'!E59-(IF(D77&gt;0,MIN(0.015,D77),0)))/2)*(MAX('Scenario_Drivers'!E67,Inputs!$B$26)+Inputs!$B$25+'Scenario_Drivers'!E68)/4+D78*(MAX('Scenario_Drivers'!E67,Inputs!$B$26)+Inputs!$B$24+'Scenario_Drivers'!E68)/4+MAX(0,Inputs!$B$20-D78-'Scenario_Drivers'!E62)*Inputs!$B$29/4+MAX(0,Inputs!$B$21-D77-'Scenario_Drivers'!E59)*Inputs!$B$30/4)</f>
        <v/>
      </c>
      <c r="F22" s="242">
        <f>-(((E76+MAX(0,E76-(MIN(0.107,E76))))/2)*(MAX('Scenario_Drivers'!F67,Inputs!$B$26)+Inputs!$B$23+'Scenario_Drivers'!F68)/4+((E77+E77+'Scenario_Drivers'!F59-(IF(E77&gt;0,MIN(0.015,E77),0)))/2)*(MAX('Scenario_Drivers'!F67,Inputs!$B$26)+Inputs!$B$25+'Scenario_Drivers'!F68)/4+E78*(MAX('Scenario_Drivers'!F67,Inputs!$B$26)+Inputs!$B$24+'Scenario_Drivers'!F68)/4+MAX(0,Inputs!$B$20-E78-'Scenario_Drivers'!F62)*Inputs!$B$29/4+MAX(0,Inputs!$B$21-E77-'Scenario_Drivers'!F59)*Inputs!$B$30/4)</f>
        <v/>
      </c>
      <c r="G22" s="242">
        <f>-(((F76+MAX(0,F76-(MIN(0.107,F76))))/2)*(MAX('Scenario_Drivers'!G67,Inputs!$B$26)+Inputs!$B$23+'Scenario_Drivers'!G68)/4+((F77+F77+'Scenario_Drivers'!G59-(IF(F77&gt;0,MIN(0.015,F77),0)))/2)*(MAX('Scenario_Drivers'!G67,Inputs!$B$26)+Inputs!$B$25+'Scenario_Drivers'!G68)/4+F78*(MAX('Scenario_Drivers'!G67,Inputs!$B$26)+Inputs!$B$24+'Scenario_Drivers'!G68)/4+MAX(0,Inputs!$B$20-F78-'Scenario_Drivers'!G62)*Inputs!$B$29/4+MAX(0,Inputs!$B$21-F77-'Scenario_Drivers'!G59)*Inputs!$B$30/4)</f>
        <v/>
      </c>
      <c r="H22" s="242">
        <f>-(((G76+MAX(0,G76-(MIN(0.107,G76))))/2)*(MAX('Scenario_Drivers'!H67,Inputs!$B$26)+Inputs!$B$23+'Scenario_Drivers'!H68)/4+((G77+G77+'Scenario_Drivers'!H59-(IF(G77&gt;0,MIN(0.015,G77),0)))/2)*(MAX('Scenario_Drivers'!H67,Inputs!$B$26)+Inputs!$B$25+'Scenario_Drivers'!H68)/4+G78*(MAX('Scenario_Drivers'!H67,Inputs!$B$26)+Inputs!$B$24+'Scenario_Drivers'!H68)/4+MAX(0,Inputs!$B$20-G78-'Scenario_Drivers'!H62)*Inputs!$B$29/4+MAX(0,Inputs!$B$21-G77-'Scenario_Drivers'!H59)*Inputs!$B$30/4)</f>
        <v/>
      </c>
      <c r="I22" s="242">
        <f>-(((H76+MAX(0,H76-(MIN(0.107,H76))))/2)*(MAX('Scenario_Drivers'!I67,Inputs!$B$26)+Inputs!$B$23+'Scenario_Drivers'!I68)/4+((H77+H77+'Scenario_Drivers'!I59-(IF(H77&gt;0,MIN(0.015,H77),0)))/2)*(MAX('Scenario_Drivers'!I67,Inputs!$B$26)+Inputs!$B$25+'Scenario_Drivers'!I68)/4+H78*(MAX('Scenario_Drivers'!I67,Inputs!$B$26)+Inputs!$B$24+'Scenario_Drivers'!I68)/4+MAX(0,Inputs!$B$20-H78-'Scenario_Drivers'!I62)*Inputs!$B$29/4+0)</f>
        <v/>
      </c>
      <c r="J22" s="242">
        <f>-(((I76+MAX(0,I76-(MIN(0.107,I76))))/2)*(MAX('Scenario_Drivers'!J67,Inputs!$B$26)+Inputs!$B$23+'Scenario_Drivers'!J68)/4+((I77+I77+'Scenario_Drivers'!J59-(IF(I77&gt;0,MIN(0.015,I77),0)))/2)*(MAX('Scenario_Drivers'!J67,Inputs!$B$26)+Inputs!$B$25+'Scenario_Drivers'!J68)/4+I78*(MAX('Scenario_Drivers'!J67,Inputs!$B$26)+Inputs!$B$24+'Scenario_Drivers'!J68)/4+MAX(0,Inputs!$B$20-I78-'Scenario_Drivers'!J62)*Inputs!$B$29/4+0)</f>
        <v/>
      </c>
      <c r="K22" s="242">
        <f>-(((J76+MAX(0,J76-(MIN(0.107,J76))))/2)*(MAX('Scenario_Drivers'!K67,Inputs!$B$26)+Inputs!$B$23+'Scenario_Drivers'!K68)/4+((J77+J77+'Scenario_Drivers'!K59-(IF(J77&gt;0,MIN(0.015,J77),0)))/2)*(MAX('Scenario_Drivers'!K67,Inputs!$B$26)+Inputs!$B$25+'Scenario_Drivers'!K68)/4+J78*(MAX('Scenario_Drivers'!K67,Inputs!$B$26)+Inputs!$B$24+'Scenario_Drivers'!K68)/4+MAX(0,Inputs!$B$20-J78-'Scenario_Drivers'!K62)*Inputs!$B$29/4+0)</f>
        <v/>
      </c>
      <c r="L22" s="242">
        <f>-(((K76+MAX(0,K76-(MIN(0.107,K76))))/2)*(MAX('Scenario_Drivers'!L67,Inputs!$B$26)+Inputs!$B$23+'Scenario_Drivers'!L68)/4+((K77+K77+'Scenario_Drivers'!L59-(IF(K77&gt;0,MIN(0.015,K77),0)))/2)*(MAX('Scenario_Drivers'!L67,Inputs!$B$26)+Inputs!$B$25+'Scenario_Drivers'!L68)/4+K78*(MAX('Scenario_Drivers'!L67,Inputs!$B$26)+Inputs!$B$24+'Scenario_Drivers'!L68)/4+MAX(0,Inputs!$B$20-K78-'Scenario_Drivers'!L62)*Inputs!$B$29/4+0)</f>
        <v/>
      </c>
      <c r="M22" s="242">
        <f>-(((L76+MAX(0,L76-(MIN(0.107,L76))))/2)*(MAX('Scenario_Drivers'!M67,Inputs!$B$26)+Inputs!$B$23+'Scenario_Drivers'!M68)/4+((L77+L77+'Scenario_Drivers'!M59-(IF(L77&gt;0,MIN(0.015,L77),0)))/2)*(MAX('Scenario_Drivers'!M67,Inputs!$B$26)+Inputs!$B$25+'Scenario_Drivers'!M68)/4+L78*(MAX('Scenario_Drivers'!M67,Inputs!$B$26)+Inputs!$B$24+'Scenario_Drivers'!M68)/4+MAX(0,Inputs!$B$20-L78-'Scenario_Drivers'!M62)*Inputs!$B$29/4+0)</f>
        <v/>
      </c>
      <c r="N22" s="242">
        <f>-(((M76+MAX(0,M76-(MIN(0.107,M76))))/2)*(MAX('Scenario_Drivers'!N67,Inputs!$B$26)+Inputs!$B$23+'Scenario_Drivers'!N68)/4+((M77+M77+'Scenario_Drivers'!N59-(IF(M77&gt;0,MIN(0.015,M77),0)))/2)*(MAX('Scenario_Drivers'!N67,Inputs!$B$26)+Inputs!$B$25+'Scenario_Drivers'!N68)/4+M78*(MAX('Scenario_Drivers'!N67,Inputs!$B$26)+Inputs!$B$24+'Scenario_Drivers'!N68)/4+MAX(0,Inputs!$B$20-M78-'Scenario_Drivers'!N62)*Inputs!$B$29/4+0)</f>
        <v/>
      </c>
      <c r="O22" s="242">
        <f>-(((N76+MAX(0,N76-(MIN(0.107,N76))))/2)*(MAX('Scenario_Drivers'!O67,Inputs!$B$26)+Inputs!$B$23+'Scenario_Drivers'!O68)/4+((N77+N77+'Scenario_Drivers'!O59-(IF(N77&gt;0,MIN(0.015,N77),0)))/2)*(MAX('Scenario_Drivers'!O67,Inputs!$B$26)+Inputs!$B$25+'Scenario_Drivers'!O68)/4+N78*(MAX('Scenario_Drivers'!O67,Inputs!$B$26)+Inputs!$B$24+'Scenario_Drivers'!O68)/4+MAX(0,Inputs!$B$20-N78-'Scenario_Drivers'!O62)*Inputs!$B$29/4+0)</f>
        <v/>
      </c>
      <c r="P22" s="242">
        <f>-(((O76+MAX(0,O76-(MIN(0.107,O76))))/2)*(MAX('Scenario_Drivers'!P67,Inputs!$B$26)+Inputs!$B$23+'Scenario_Drivers'!P68)/4+((O77+O77+'Scenario_Drivers'!P59-(IF(O77&gt;0,MIN(0.015,O77),0)))/2)*(MAX('Scenario_Drivers'!P67,Inputs!$B$26)+Inputs!$B$25+'Scenario_Drivers'!P68)/4+O78*(MAX('Scenario_Drivers'!P67,Inputs!$B$26)+Inputs!$B$24+'Scenario_Drivers'!P68)/4+MAX(0,Inputs!$B$20-O78-'Scenario_Drivers'!P62)*Inputs!$B$29/4+0)</f>
        <v/>
      </c>
      <c r="Q22" s="242">
        <f>-(((P76+MAX(0,P76-(MIN(0.107,P76))))/2)*(MAX('Scenario_Drivers'!Q67,Inputs!$B$26)+Inputs!$B$23+'Scenario_Drivers'!Q68)/4+((P77+P77+'Scenario_Drivers'!Q59-(IF(P77&gt;0,MIN(0.015,P77),0)))/2)*(MAX('Scenario_Drivers'!Q67,Inputs!$B$26)+Inputs!$B$25+'Scenario_Drivers'!Q68)/4+P78*(MAX('Scenario_Drivers'!Q67,Inputs!$B$26)+Inputs!$B$24+'Scenario_Drivers'!Q68)/4+MAX(0,Inputs!$B$20-P78-'Scenario_Drivers'!Q62)*Inputs!$B$29/4+0)</f>
        <v/>
      </c>
      <c r="R22" s="242">
        <f>-(((Q76+MAX(0,Q76-(MIN(0.107,Q76))))/2)*(MAX('Scenario_Drivers'!R67,Inputs!$B$26)+Inputs!$B$23+'Scenario_Drivers'!R68)/4+((Q77+Q77+'Scenario_Drivers'!R59-(IF(Q77&gt;0,MIN(0.015,Q77),0)))/2)*(MAX('Scenario_Drivers'!R67,Inputs!$B$26)+Inputs!$B$25+'Scenario_Drivers'!R68)/4+Q78*(MAX('Scenario_Drivers'!R67,Inputs!$B$26)+Inputs!$B$24+'Scenario_Drivers'!R68)/4+MAX(0,Inputs!$B$20-Q78-'Scenario_Drivers'!R62)*Inputs!$B$29/4+0)</f>
        <v/>
      </c>
      <c r="S22" s="242">
        <f>-(((R76+MAX(0,R76-(MIN(0.107,R76))))/2)*(MAX('Scenario_Drivers'!S67,Inputs!$B$26)+Inputs!$B$23+'Scenario_Drivers'!S68)/4+((R77+R77+'Scenario_Drivers'!S59-(IF(R77&gt;0,MIN(0.015,R77),0)))/2)*(MAX('Scenario_Drivers'!S67,Inputs!$B$26)+Inputs!$B$25+'Scenario_Drivers'!S68)/4+R78*(MAX('Scenario_Drivers'!S67,Inputs!$B$26)+Inputs!$B$24+'Scenario_Drivers'!S68)/4+MAX(0,Inputs!$B$20-R78-'Scenario_Drivers'!S62)*Inputs!$B$29/4+0)</f>
        <v/>
      </c>
      <c r="T22" s="242">
        <f>-(((S76+MAX(0,S76-(MIN(0.107,S76))))/2)*(MAX('Scenario_Drivers'!T67,Inputs!$B$26)+Inputs!$B$23+'Scenario_Drivers'!T68)/4+((S77+S77+'Scenario_Drivers'!T59-(IF(S77&gt;0,MIN(0.015,S77),0)))/2)*(MAX('Scenario_Drivers'!T67,Inputs!$B$26)+Inputs!$B$25+'Scenario_Drivers'!T68)/4+S78*(MAX('Scenario_Drivers'!T67,Inputs!$B$26)+Inputs!$B$24+'Scenario_Drivers'!T68)/4+MAX(0,Inputs!$B$20-S78-'Scenario_Drivers'!T62)*Inputs!$B$29/4+0)</f>
        <v/>
      </c>
      <c r="U22" s="242">
        <f>-(((T76+MAX(0,T76-(MIN(0.107,T76))))/2)*(MAX('Scenario_Drivers'!U67,Inputs!$B$26)+Inputs!$B$23+'Scenario_Drivers'!U68)/4+((T77+T77+'Scenario_Drivers'!U59-(IF(T77&gt;0,MIN(0.015,T77),0)))/2)*(MAX('Scenario_Drivers'!U67,Inputs!$B$26)+Inputs!$B$25+'Scenario_Drivers'!U68)/4+T78*(MAX('Scenario_Drivers'!U67,Inputs!$B$26)+Inputs!$B$24+'Scenario_Drivers'!U68)/4+MAX(0,Inputs!$B$20-T78-'Scenario_Drivers'!U62)*Inputs!$B$29/4+0)</f>
        <v/>
      </c>
      <c r="V22" s="242">
        <f>-(((U76+MAX(0,U76-(MIN(0.107,U76))))/2)*(MAX('Scenario_Drivers'!V67,Inputs!$B$26)+Inputs!$B$23+'Scenario_Drivers'!V68)/4+((U77+U77+'Scenario_Drivers'!V59-(IF(U77&gt;0,MIN(0.015,U77),0)))/2)*(MAX('Scenario_Drivers'!V67,Inputs!$B$26)+Inputs!$B$25+'Scenario_Drivers'!V68)/4+U78*(MAX('Scenario_Drivers'!V67,Inputs!$B$26)+Inputs!$B$24+'Scenario_Drivers'!V68)/4+MAX(0,Inputs!$B$20-U78-'Scenario_Drivers'!V62)*Inputs!$B$29/4+0)</f>
        <v/>
      </c>
    </row>
    <row r="23">
      <c r="A23" s="165" t="inlineStr">
        <is>
          <t>Financing fee amortization</t>
        </is>
      </c>
      <c r="B23" s="165" t="inlineStr">
        <is>
          <t>$mm</t>
        </is>
      </c>
      <c r="C23" s="242">
        <f>MIN('S&amp;U_Opening'!$B$24,1.4/24)</f>
        <v/>
      </c>
      <c r="D23" s="242">
        <f>MIN(C73,1.4/24)</f>
        <v/>
      </c>
      <c r="E23" s="242">
        <f>MIN(D73,1.4/24)</f>
        <v/>
      </c>
      <c r="F23" s="242">
        <f>MIN(E73,1.4/24)</f>
        <v/>
      </c>
      <c r="G23" s="242">
        <f>MIN(F73,1.4/24)</f>
        <v/>
      </c>
      <c r="H23" s="242">
        <f>MIN(G73,1.4/24)</f>
        <v/>
      </c>
      <c r="I23" s="242">
        <f>MIN(H73,1.4/24)</f>
        <v/>
      </c>
      <c r="J23" s="242">
        <f>MIN(I73,1.4/24)</f>
        <v/>
      </c>
      <c r="K23" s="242">
        <f>MIN(J73,1.4/24)</f>
        <v/>
      </c>
      <c r="L23" s="242">
        <f>MIN(K73,1.4/24)</f>
        <v/>
      </c>
      <c r="M23" s="242">
        <f>MIN(L73,1.4/24)</f>
        <v/>
      </c>
      <c r="N23" s="242">
        <f>MIN(M73,1.4/24)</f>
        <v/>
      </c>
      <c r="O23" s="242">
        <f>MIN(N73,1.4/24)</f>
        <v/>
      </c>
      <c r="P23" s="242">
        <f>MIN(O73,1.4/24)</f>
        <v/>
      </c>
      <c r="Q23" s="242">
        <f>MIN(P73,1.4/24)</f>
        <v/>
      </c>
      <c r="R23" s="242">
        <f>MIN(Q73,1.4/24)</f>
        <v/>
      </c>
      <c r="S23" s="242">
        <f>MIN(R73,1.4/24)</f>
        <v/>
      </c>
      <c r="T23" s="242">
        <f>MIN(S73,1.4/24)</f>
        <v/>
      </c>
      <c r="U23" s="242">
        <f>MIN(T73,1.4/24)</f>
        <v/>
      </c>
      <c r="V23" s="242">
        <f>MIN(U73,1.4/24)</f>
        <v/>
      </c>
    </row>
    <row r="24">
      <c r="A24" s="165" t="inlineStr">
        <is>
          <t>Interest income</t>
        </is>
      </c>
      <c r="B24" s="165" t="inlineStr">
        <is>
          <t>$mm</t>
        </is>
      </c>
      <c r="C24" s="242">
        <f>'S&amp;U_Opening'!$B$15*1.0%/4</f>
        <v/>
      </c>
      <c r="D24" s="242">
        <f>C67*1.0%/4</f>
        <v/>
      </c>
      <c r="E24" s="242">
        <f>D67*1.0%/4</f>
        <v/>
      </c>
      <c r="F24" s="242">
        <f>E67*1.0%/4</f>
        <v/>
      </c>
      <c r="G24" s="242">
        <f>F67*1.0%/4</f>
        <v/>
      </c>
      <c r="H24" s="242">
        <f>G67*1.0%/4</f>
        <v/>
      </c>
      <c r="I24" s="242">
        <f>H67*1.0%/4</f>
        <v/>
      </c>
      <c r="J24" s="242">
        <f>I67*1.0%/4</f>
        <v/>
      </c>
      <c r="K24" s="242">
        <f>J67*1.0%/4</f>
        <v/>
      </c>
      <c r="L24" s="242">
        <f>K67*1.0%/4</f>
        <v/>
      </c>
      <c r="M24" s="242">
        <f>L67*1.0%/4</f>
        <v/>
      </c>
      <c r="N24" s="242">
        <f>M67*1.0%/4</f>
        <v/>
      </c>
      <c r="O24" s="242">
        <f>N67*1.0%/4</f>
        <v/>
      </c>
      <c r="P24" s="242">
        <f>O67*1.0%/4</f>
        <v/>
      </c>
      <c r="Q24" s="242">
        <f>P67*1.0%/4</f>
        <v/>
      </c>
      <c r="R24" s="242">
        <f>Q67*1.0%/4</f>
        <v/>
      </c>
      <c r="S24" s="242">
        <f>R67*1.0%/4</f>
        <v/>
      </c>
      <c r="T24" s="242">
        <f>S67*1.0%/4</f>
        <v/>
      </c>
      <c r="U24" s="242">
        <f>T67*1.0%/4</f>
        <v/>
      </c>
      <c r="V24" s="242">
        <f>U67*1.0%/4</f>
        <v/>
      </c>
    </row>
    <row r="25">
      <c r="A25" s="165" t="inlineStr">
        <is>
          <t>Pre-tax income</t>
        </is>
      </c>
      <c r="B25" s="165" t="inlineStr">
        <is>
          <t>$mm</t>
        </is>
      </c>
      <c r="C25" s="242">
        <f>C21+C22-C23+C24</f>
        <v/>
      </c>
      <c r="D25" s="242">
        <f>D21+D22-D23+D24</f>
        <v/>
      </c>
      <c r="E25" s="242">
        <f>E21+E22-E23+E24</f>
        <v/>
      </c>
      <c r="F25" s="242">
        <f>F21+F22-F23+F24</f>
        <v/>
      </c>
      <c r="G25" s="242">
        <f>G21+G22-G23+G24</f>
        <v/>
      </c>
      <c r="H25" s="242">
        <f>H21+H22-H23+H24</f>
        <v/>
      </c>
      <c r="I25" s="242">
        <f>I21+I22-I23+I24</f>
        <v/>
      </c>
      <c r="J25" s="242">
        <f>J21+J22-J23+J24</f>
        <v/>
      </c>
      <c r="K25" s="242">
        <f>K21+K22-K23+K24</f>
        <v/>
      </c>
      <c r="L25" s="242">
        <f>L21+L22-L23+L24</f>
        <v/>
      </c>
      <c r="M25" s="242">
        <f>M21+M22-M23+M24</f>
        <v/>
      </c>
      <c r="N25" s="242">
        <f>N21+N22-N23+N24</f>
        <v/>
      </c>
      <c r="O25" s="242">
        <f>O21+O22-O23+O24</f>
        <v/>
      </c>
      <c r="P25" s="242">
        <f>P21+P22-P23+P24</f>
        <v/>
      </c>
      <c r="Q25" s="242">
        <f>Q21+Q22-Q23+Q24</f>
        <v/>
      </c>
      <c r="R25" s="242">
        <f>R21+R22-R23+R24</f>
        <v/>
      </c>
      <c r="S25" s="242">
        <f>S21+S22-S23+S24</f>
        <v/>
      </c>
      <c r="T25" s="242">
        <f>T21+T22-T23+T24</f>
        <v/>
      </c>
      <c r="U25" s="242">
        <f>U21+U22-U23+U24</f>
        <v/>
      </c>
      <c r="V25" s="242">
        <f>V21+V22-V23+V24</f>
        <v/>
      </c>
    </row>
    <row r="26">
      <c r="A26" s="165" t="inlineStr">
        <is>
          <t>Book tax expense</t>
        </is>
      </c>
      <c r="B26" s="165" t="inlineStr">
        <is>
          <t>$mm</t>
        </is>
      </c>
      <c r="C26" s="242">
        <f>-MAX(0,C25*Inputs!$B$15)</f>
        <v/>
      </c>
      <c r="D26" s="242">
        <f>-MAX(0,D25*Inputs!$B$15)</f>
        <v/>
      </c>
      <c r="E26" s="242">
        <f>-MAX(0,E25*Inputs!$B$15)</f>
        <v/>
      </c>
      <c r="F26" s="242">
        <f>-MAX(0,F25*Inputs!$B$15)</f>
        <v/>
      </c>
      <c r="G26" s="242">
        <f>-MAX(0,G25*Inputs!$B$15)</f>
        <v/>
      </c>
      <c r="H26" s="242">
        <f>-MAX(0,H25*Inputs!$B$15)</f>
        <v/>
      </c>
      <c r="I26" s="242">
        <f>-MAX(0,I25*Inputs!$B$15)</f>
        <v/>
      </c>
      <c r="J26" s="242">
        <f>-MAX(0,J25*Inputs!$B$15)</f>
        <v/>
      </c>
      <c r="K26" s="242">
        <f>-MAX(0,K25*Inputs!$B$15)</f>
        <v/>
      </c>
      <c r="L26" s="242">
        <f>-MAX(0,L25*Inputs!$B$15)</f>
        <v/>
      </c>
      <c r="M26" s="242">
        <f>-MAX(0,M25*Inputs!$B$15)</f>
        <v/>
      </c>
      <c r="N26" s="242">
        <f>-MAX(0,N25*Inputs!$B$15)</f>
        <v/>
      </c>
      <c r="O26" s="242">
        <f>-MAX(0,O25*Inputs!$B$15)</f>
        <v/>
      </c>
      <c r="P26" s="242">
        <f>-MAX(0,P25*Inputs!$B$15)</f>
        <v/>
      </c>
      <c r="Q26" s="242">
        <f>-MAX(0,Q25*Inputs!$B$15)</f>
        <v/>
      </c>
      <c r="R26" s="242">
        <f>-MAX(0,R25*Inputs!$B$15)</f>
        <v/>
      </c>
      <c r="S26" s="242">
        <f>-MAX(0,S25*Inputs!$B$15)</f>
        <v/>
      </c>
      <c r="T26" s="242">
        <f>-MAX(0,T25*Inputs!$B$15)</f>
        <v/>
      </c>
      <c r="U26" s="242">
        <f>-MAX(0,U25*Inputs!$B$15)</f>
        <v/>
      </c>
      <c r="V26" s="242">
        <f>-MAX(0,V25*Inputs!$B$15)</f>
        <v/>
      </c>
    </row>
    <row r="27">
      <c r="A27" s="165" t="inlineStr">
        <is>
          <t>Cash taxes</t>
        </is>
      </c>
      <c r="B27" s="165" t="inlineStr">
        <is>
          <t>$mm</t>
        </is>
      </c>
      <c r="C27" s="242">
        <f>-MAX(0,(C116-0)*Inputs!$B$15)</f>
        <v/>
      </c>
      <c r="D27" s="242">
        <f>-MAX(0,(D116-C115)*Inputs!$B$15)</f>
        <v/>
      </c>
      <c r="E27" s="242">
        <f>-MAX(0,(E116-D115)*Inputs!$B$15)</f>
        <v/>
      </c>
      <c r="F27" s="242">
        <f>-MAX(0,(F116-E115)*Inputs!$B$15)</f>
        <v/>
      </c>
      <c r="G27" s="242">
        <f>-MAX(0,(G116-F115)*Inputs!$B$15)</f>
        <v/>
      </c>
      <c r="H27" s="242">
        <f>-MAX(0,(H116-G115)*Inputs!$B$15)</f>
        <v/>
      </c>
      <c r="I27" s="242">
        <f>-MAX(0,(I116-H115)*Inputs!$B$15)</f>
        <v/>
      </c>
      <c r="J27" s="242">
        <f>-MAX(0,(J116-I115)*Inputs!$B$15)</f>
        <v/>
      </c>
      <c r="K27" s="242">
        <f>-MAX(0,(K116-J115)*Inputs!$B$15)</f>
        <v/>
      </c>
      <c r="L27" s="242">
        <f>-MAX(0,(L116-K115)*Inputs!$B$15)</f>
        <v/>
      </c>
      <c r="M27" s="242">
        <f>-MAX(0,(M116-L115)*Inputs!$B$15)</f>
        <v/>
      </c>
      <c r="N27" s="242">
        <f>-MAX(0,(N116-M115)*Inputs!$B$15)</f>
        <v/>
      </c>
      <c r="O27" s="242">
        <f>-MAX(0,(O116-N115)*Inputs!$B$15)</f>
        <v/>
      </c>
      <c r="P27" s="242">
        <f>-MAX(0,(P116-O115)*Inputs!$B$15)</f>
        <v/>
      </c>
      <c r="Q27" s="242">
        <f>-MAX(0,(Q116-P115)*Inputs!$B$15)</f>
        <v/>
      </c>
      <c r="R27" s="242">
        <f>-MAX(0,(R116-Q115)*Inputs!$B$15)</f>
        <v/>
      </c>
      <c r="S27" s="242">
        <f>-MAX(0,(S116-R115)*Inputs!$B$15)</f>
        <v/>
      </c>
      <c r="T27" s="242">
        <f>-MAX(0,(T116-S115)*Inputs!$B$15)</f>
        <v/>
      </c>
      <c r="U27" s="242">
        <f>-MAX(0,(U116-T115)*Inputs!$B$15)</f>
        <v/>
      </c>
      <c r="V27" s="242">
        <f>-MAX(0,(V116-U115)*Inputs!$B$15)</f>
        <v/>
      </c>
    </row>
    <row r="28">
      <c r="A28" s="165" t="inlineStr">
        <is>
          <t>Net income</t>
        </is>
      </c>
      <c r="B28" s="165" t="inlineStr">
        <is>
          <t>$mm</t>
        </is>
      </c>
      <c r="C28" s="242">
        <f>C25+C26</f>
        <v/>
      </c>
      <c r="D28" s="242">
        <f>D25+D26</f>
        <v/>
      </c>
      <c r="E28" s="242">
        <f>E25+E26</f>
        <v/>
      </c>
      <c r="F28" s="242">
        <f>F25+F26</f>
        <v/>
      </c>
      <c r="G28" s="242">
        <f>G25+G26</f>
        <v/>
      </c>
      <c r="H28" s="242">
        <f>H25+H26</f>
        <v/>
      </c>
      <c r="I28" s="242">
        <f>I25+I26</f>
        <v/>
      </c>
      <c r="J28" s="242">
        <f>J25+J26</f>
        <v/>
      </c>
      <c r="K28" s="242">
        <f>K25+K26</f>
        <v/>
      </c>
      <c r="L28" s="242">
        <f>L25+L26</f>
        <v/>
      </c>
      <c r="M28" s="242">
        <f>M25+M26</f>
        <v/>
      </c>
      <c r="N28" s="242">
        <f>N25+N26</f>
        <v/>
      </c>
      <c r="O28" s="242">
        <f>O25+O26</f>
        <v/>
      </c>
      <c r="P28" s="242">
        <f>P25+P26</f>
        <v/>
      </c>
      <c r="Q28" s="242">
        <f>Q25+Q26</f>
        <v/>
      </c>
      <c r="R28" s="242">
        <f>R25+R26</f>
        <v/>
      </c>
      <c r="S28" s="242">
        <f>S25+S26</f>
        <v/>
      </c>
      <c r="T28" s="242">
        <f>T25+T26</f>
        <v/>
      </c>
      <c r="U28" s="242">
        <f>U25+U26</f>
        <v/>
      </c>
      <c r="V28" s="242">
        <f>V25+V26</f>
        <v/>
      </c>
    </row>
    <row r="29">
      <c r="A29" s="39" t="inlineStr">
        <is>
          <t>Working Capital and Capital Expenditure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>
      <c r="A30" s="165" t="inlineStr">
        <is>
          <t>Accounts receivable</t>
        </is>
      </c>
      <c r="B30" s="165" t="inlineStr">
        <is>
          <t>$mm</t>
        </is>
      </c>
      <c r="C30" s="242">
        <f>(C5/'Scenario_Drivers'!C70)*'Scenario_Drivers'!C44/365</f>
        <v/>
      </c>
      <c r="D30" s="242">
        <f>(D5/'Scenario_Drivers'!D70)*'Scenario_Drivers'!D44/365</f>
        <v/>
      </c>
      <c r="E30" s="242">
        <f>(E5/'Scenario_Drivers'!E70)*'Scenario_Drivers'!E44/365</f>
        <v/>
      </c>
      <c r="F30" s="242">
        <f>(F5/'Scenario_Drivers'!F70)*'Scenario_Drivers'!F44/365</f>
        <v/>
      </c>
      <c r="G30" s="242">
        <f>(G5/'Scenario_Drivers'!G70)*'Scenario_Drivers'!G44/365</f>
        <v/>
      </c>
      <c r="H30" s="242">
        <f>(H5/'Scenario_Drivers'!H70)*'Scenario_Drivers'!H44/365</f>
        <v/>
      </c>
      <c r="I30" s="242">
        <f>(I5/'Scenario_Drivers'!I70)*'Scenario_Drivers'!I44/365</f>
        <v/>
      </c>
      <c r="J30" s="242">
        <f>(J5/'Scenario_Drivers'!J70)*'Scenario_Drivers'!J44/365</f>
        <v/>
      </c>
      <c r="K30" s="242">
        <f>(K5/'Scenario_Drivers'!K70)*'Scenario_Drivers'!K44/365</f>
        <v/>
      </c>
      <c r="L30" s="242">
        <f>(L5/'Scenario_Drivers'!L70)*'Scenario_Drivers'!L44/365</f>
        <v/>
      </c>
      <c r="M30" s="242">
        <f>(M5/'Scenario_Drivers'!M70)*'Scenario_Drivers'!M44/365</f>
        <v/>
      </c>
      <c r="N30" s="242">
        <f>(N5/'Scenario_Drivers'!N70)*'Scenario_Drivers'!N44/365</f>
        <v/>
      </c>
      <c r="O30" s="242">
        <f>(O5/'Scenario_Drivers'!O70)*'Scenario_Drivers'!O44/365</f>
        <v/>
      </c>
      <c r="P30" s="242">
        <f>(P5/'Scenario_Drivers'!P70)*'Scenario_Drivers'!P44/365</f>
        <v/>
      </c>
      <c r="Q30" s="242">
        <f>(Q5/'Scenario_Drivers'!Q70)*'Scenario_Drivers'!Q44/365</f>
        <v/>
      </c>
      <c r="R30" s="242">
        <f>(R5/'Scenario_Drivers'!R70)*'Scenario_Drivers'!R44/365</f>
        <v/>
      </c>
      <c r="S30" s="242">
        <f>(S5/'Scenario_Drivers'!S70)*'Scenario_Drivers'!S44/365</f>
        <v/>
      </c>
      <c r="T30" s="242">
        <f>(T5/'Scenario_Drivers'!T70)*'Scenario_Drivers'!T44/365</f>
        <v/>
      </c>
      <c r="U30" s="242">
        <f>(U5/'Scenario_Drivers'!U70)*'Scenario_Drivers'!U44/365</f>
        <v/>
      </c>
      <c r="V30" s="242">
        <f>(V5/'Scenario_Drivers'!V70)*'Scenario_Drivers'!V44/365</f>
        <v/>
      </c>
    </row>
    <row r="31">
      <c r="A31" s="165" t="inlineStr">
        <is>
          <t>Unbilled WIP</t>
        </is>
      </c>
      <c r="B31" s="165" t="inlineStr">
        <is>
          <t>$mm</t>
        </is>
      </c>
      <c r="C31" s="242">
        <f>(C5/'Scenario_Drivers'!C70)*'Scenario_Drivers'!C45</f>
        <v/>
      </c>
      <c r="D31" s="242">
        <f>(D5/'Scenario_Drivers'!D70)*'Scenario_Drivers'!D45</f>
        <v/>
      </c>
      <c r="E31" s="242">
        <f>(E5/'Scenario_Drivers'!E70)*'Scenario_Drivers'!E45</f>
        <v/>
      </c>
      <c r="F31" s="242">
        <f>(F5/'Scenario_Drivers'!F70)*'Scenario_Drivers'!F45</f>
        <v/>
      </c>
      <c r="G31" s="242">
        <f>(G5/'Scenario_Drivers'!G70)*'Scenario_Drivers'!G45</f>
        <v/>
      </c>
      <c r="H31" s="242">
        <f>(H5/'Scenario_Drivers'!H70)*'Scenario_Drivers'!H45</f>
        <v/>
      </c>
      <c r="I31" s="242">
        <f>(I5/'Scenario_Drivers'!I70)*'Scenario_Drivers'!I45</f>
        <v/>
      </c>
      <c r="J31" s="242">
        <f>(J5/'Scenario_Drivers'!J70)*'Scenario_Drivers'!J45</f>
        <v/>
      </c>
      <c r="K31" s="242">
        <f>(K5/'Scenario_Drivers'!K70)*'Scenario_Drivers'!K45</f>
        <v/>
      </c>
      <c r="L31" s="242">
        <f>(L5/'Scenario_Drivers'!L70)*'Scenario_Drivers'!L45</f>
        <v/>
      </c>
      <c r="M31" s="242">
        <f>(M5/'Scenario_Drivers'!M70)*'Scenario_Drivers'!M45</f>
        <v/>
      </c>
      <c r="N31" s="242">
        <f>(N5/'Scenario_Drivers'!N70)*'Scenario_Drivers'!N45</f>
        <v/>
      </c>
      <c r="O31" s="242">
        <f>(O5/'Scenario_Drivers'!O70)*'Scenario_Drivers'!O45</f>
        <v/>
      </c>
      <c r="P31" s="242">
        <f>(P5/'Scenario_Drivers'!P70)*'Scenario_Drivers'!P45</f>
        <v/>
      </c>
      <c r="Q31" s="242">
        <f>(Q5/'Scenario_Drivers'!Q70)*'Scenario_Drivers'!Q45</f>
        <v/>
      </c>
      <c r="R31" s="242">
        <f>(R5/'Scenario_Drivers'!R70)*'Scenario_Drivers'!R45</f>
        <v/>
      </c>
      <c r="S31" s="242">
        <f>(S5/'Scenario_Drivers'!S70)*'Scenario_Drivers'!S45</f>
        <v/>
      </c>
      <c r="T31" s="242">
        <f>(T5/'Scenario_Drivers'!T70)*'Scenario_Drivers'!T45</f>
        <v/>
      </c>
      <c r="U31" s="242">
        <f>(U5/'Scenario_Drivers'!U70)*'Scenario_Drivers'!U45</f>
        <v/>
      </c>
      <c r="V31" s="242">
        <f>(V5/'Scenario_Drivers'!V70)*'Scenario_Drivers'!V45</f>
        <v/>
      </c>
    </row>
    <row r="32">
      <c r="A32" s="165" t="inlineStr">
        <is>
          <t>Prepaids</t>
        </is>
      </c>
      <c r="B32" s="165" t="inlineStr">
        <is>
          <t>$mm</t>
        </is>
      </c>
      <c r="C32" s="242">
        <f>(C5/'Scenario_Drivers'!C70)*'Scenario_Drivers'!C46</f>
        <v/>
      </c>
      <c r="D32" s="242">
        <f>(D5/'Scenario_Drivers'!D70)*'Scenario_Drivers'!D46</f>
        <v/>
      </c>
      <c r="E32" s="242">
        <f>(E5/'Scenario_Drivers'!E70)*'Scenario_Drivers'!E46</f>
        <v/>
      </c>
      <c r="F32" s="242">
        <f>(F5/'Scenario_Drivers'!F70)*'Scenario_Drivers'!F46</f>
        <v/>
      </c>
      <c r="G32" s="242">
        <f>(G5/'Scenario_Drivers'!G70)*'Scenario_Drivers'!G46</f>
        <v/>
      </c>
      <c r="H32" s="242">
        <f>(H5/'Scenario_Drivers'!H70)*'Scenario_Drivers'!H46</f>
        <v/>
      </c>
      <c r="I32" s="242">
        <f>(I5/'Scenario_Drivers'!I70)*'Scenario_Drivers'!I46</f>
        <v/>
      </c>
      <c r="J32" s="242">
        <f>(J5/'Scenario_Drivers'!J70)*'Scenario_Drivers'!J46</f>
        <v/>
      </c>
      <c r="K32" s="242">
        <f>(K5/'Scenario_Drivers'!K70)*'Scenario_Drivers'!K46</f>
        <v/>
      </c>
      <c r="L32" s="242">
        <f>(L5/'Scenario_Drivers'!L70)*'Scenario_Drivers'!L46</f>
        <v/>
      </c>
      <c r="M32" s="242">
        <f>(M5/'Scenario_Drivers'!M70)*'Scenario_Drivers'!M46</f>
        <v/>
      </c>
      <c r="N32" s="242">
        <f>(N5/'Scenario_Drivers'!N70)*'Scenario_Drivers'!N46</f>
        <v/>
      </c>
      <c r="O32" s="242">
        <f>(O5/'Scenario_Drivers'!O70)*'Scenario_Drivers'!O46</f>
        <v/>
      </c>
      <c r="P32" s="242">
        <f>(P5/'Scenario_Drivers'!P70)*'Scenario_Drivers'!P46</f>
        <v/>
      </c>
      <c r="Q32" s="242">
        <f>(Q5/'Scenario_Drivers'!Q70)*'Scenario_Drivers'!Q46</f>
        <v/>
      </c>
      <c r="R32" s="242">
        <f>(R5/'Scenario_Drivers'!R70)*'Scenario_Drivers'!R46</f>
        <v/>
      </c>
      <c r="S32" s="242">
        <f>(S5/'Scenario_Drivers'!S70)*'Scenario_Drivers'!S46</f>
        <v/>
      </c>
      <c r="T32" s="242">
        <f>(T5/'Scenario_Drivers'!T70)*'Scenario_Drivers'!T46</f>
        <v/>
      </c>
      <c r="U32" s="242">
        <f>(U5/'Scenario_Drivers'!U70)*'Scenario_Drivers'!U46</f>
        <v/>
      </c>
      <c r="V32" s="242">
        <f>(V5/'Scenario_Drivers'!V70)*'Scenario_Drivers'!V46</f>
        <v/>
      </c>
    </row>
    <row r="33">
      <c r="A33" s="165" t="inlineStr">
        <is>
          <t>Accounts payable</t>
        </is>
      </c>
      <c r="B33" s="165" t="inlineStr">
        <is>
          <t>$mm</t>
        </is>
      </c>
      <c r="C33" s="242">
        <f>(C5/'Scenario_Drivers'!C70)*'Scenario_Drivers'!C47</f>
        <v/>
      </c>
      <c r="D33" s="242">
        <f>(D5/'Scenario_Drivers'!D70)*'Scenario_Drivers'!D47</f>
        <v/>
      </c>
      <c r="E33" s="242">
        <f>(E5/'Scenario_Drivers'!E70)*'Scenario_Drivers'!E47</f>
        <v/>
      </c>
      <c r="F33" s="242">
        <f>(F5/'Scenario_Drivers'!F70)*'Scenario_Drivers'!F47</f>
        <v/>
      </c>
      <c r="G33" s="242">
        <f>(G5/'Scenario_Drivers'!G70)*'Scenario_Drivers'!G47</f>
        <v/>
      </c>
      <c r="H33" s="242">
        <f>(H5/'Scenario_Drivers'!H70)*'Scenario_Drivers'!H47</f>
        <v/>
      </c>
      <c r="I33" s="242">
        <f>(I5/'Scenario_Drivers'!I70)*'Scenario_Drivers'!I47</f>
        <v/>
      </c>
      <c r="J33" s="242">
        <f>(J5/'Scenario_Drivers'!J70)*'Scenario_Drivers'!J47</f>
        <v/>
      </c>
      <c r="K33" s="242">
        <f>(K5/'Scenario_Drivers'!K70)*'Scenario_Drivers'!K47</f>
        <v/>
      </c>
      <c r="L33" s="242">
        <f>(L5/'Scenario_Drivers'!L70)*'Scenario_Drivers'!L47</f>
        <v/>
      </c>
      <c r="M33" s="242">
        <f>(M5/'Scenario_Drivers'!M70)*'Scenario_Drivers'!M47</f>
        <v/>
      </c>
      <c r="N33" s="242">
        <f>(N5/'Scenario_Drivers'!N70)*'Scenario_Drivers'!N47</f>
        <v/>
      </c>
      <c r="O33" s="242">
        <f>(O5/'Scenario_Drivers'!O70)*'Scenario_Drivers'!O47</f>
        <v/>
      </c>
      <c r="P33" s="242">
        <f>(P5/'Scenario_Drivers'!P70)*'Scenario_Drivers'!P47</f>
        <v/>
      </c>
      <c r="Q33" s="242">
        <f>(Q5/'Scenario_Drivers'!Q70)*'Scenario_Drivers'!Q47</f>
        <v/>
      </c>
      <c r="R33" s="242">
        <f>(R5/'Scenario_Drivers'!R70)*'Scenario_Drivers'!R47</f>
        <v/>
      </c>
      <c r="S33" s="242">
        <f>(S5/'Scenario_Drivers'!S70)*'Scenario_Drivers'!S47</f>
        <v/>
      </c>
      <c r="T33" s="242">
        <f>(T5/'Scenario_Drivers'!T70)*'Scenario_Drivers'!T47</f>
        <v/>
      </c>
      <c r="U33" s="242">
        <f>(U5/'Scenario_Drivers'!U70)*'Scenario_Drivers'!U47</f>
        <v/>
      </c>
      <c r="V33" s="242">
        <f>(V5/'Scenario_Drivers'!V70)*'Scenario_Drivers'!V47</f>
        <v/>
      </c>
    </row>
    <row r="34">
      <c r="A34" s="165" t="inlineStr">
        <is>
          <t>Accrued liabilities</t>
        </is>
      </c>
      <c r="B34" s="165" t="inlineStr">
        <is>
          <t>$mm</t>
        </is>
      </c>
      <c r="C34" s="242">
        <f>(C5/'Scenario_Drivers'!C70)*'Scenario_Drivers'!C48</f>
        <v/>
      </c>
      <c r="D34" s="242">
        <f>(D5/'Scenario_Drivers'!D70)*'Scenario_Drivers'!D48</f>
        <v/>
      </c>
      <c r="E34" s="242">
        <f>(E5/'Scenario_Drivers'!E70)*'Scenario_Drivers'!E48</f>
        <v/>
      </c>
      <c r="F34" s="242">
        <f>(F5/'Scenario_Drivers'!F70)*'Scenario_Drivers'!F48</f>
        <v/>
      </c>
      <c r="G34" s="242">
        <f>(G5/'Scenario_Drivers'!G70)*'Scenario_Drivers'!G48</f>
        <v/>
      </c>
      <c r="H34" s="242">
        <f>(H5/'Scenario_Drivers'!H70)*'Scenario_Drivers'!H48</f>
        <v/>
      </c>
      <c r="I34" s="242">
        <f>(I5/'Scenario_Drivers'!I70)*'Scenario_Drivers'!I48</f>
        <v/>
      </c>
      <c r="J34" s="242">
        <f>(J5/'Scenario_Drivers'!J70)*'Scenario_Drivers'!J48</f>
        <v/>
      </c>
      <c r="K34" s="242">
        <f>(K5/'Scenario_Drivers'!K70)*'Scenario_Drivers'!K48</f>
        <v/>
      </c>
      <c r="L34" s="242">
        <f>(L5/'Scenario_Drivers'!L70)*'Scenario_Drivers'!L48</f>
        <v/>
      </c>
      <c r="M34" s="242">
        <f>(M5/'Scenario_Drivers'!M70)*'Scenario_Drivers'!M48</f>
        <v/>
      </c>
      <c r="N34" s="242">
        <f>(N5/'Scenario_Drivers'!N70)*'Scenario_Drivers'!N48</f>
        <v/>
      </c>
      <c r="O34" s="242">
        <f>(O5/'Scenario_Drivers'!O70)*'Scenario_Drivers'!O48</f>
        <v/>
      </c>
      <c r="P34" s="242">
        <f>(P5/'Scenario_Drivers'!P70)*'Scenario_Drivers'!P48</f>
        <v/>
      </c>
      <c r="Q34" s="242">
        <f>(Q5/'Scenario_Drivers'!Q70)*'Scenario_Drivers'!Q48</f>
        <v/>
      </c>
      <c r="R34" s="242">
        <f>(R5/'Scenario_Drivers'!R70)*'Scenario_Drivers'!R48</f>
        <v/>
      </c>
      <c r="S34" s="242">
        <f>(S5/'Scenario_Drivers'!S70)*'Scenario_Drivers'!S48</f>
        <v/>
      </c>
      <c r="T34" s="242">
        <f>(T5/'Scenario_Drivers'!T70)*'Scenario_Drivers'!T48</f>
        <v/>
      </c>
      <c r="U34" s="242">
        <f>(U5/'Scenario_Drivers'!U70)*'Scenario_Drivers'!U48</f>
        <v/>
      </c>
      <c r="V34" s="242">
        <f>(V5/'Scenario_Drivers'!V70)*'Scenario_Drivers'!V48</f>
        <v/>
      </c>
    </row>
    <row r="35">
      <c r="A35" s="165" t="inlineStr">
        <is>
          <t>Deferred revenue</t>
        </is>
      </c>
      <c r="B35" s="165" t="inlineStr">
        <is>
          <t>$mm</t>
        </is>
      </c>
      <c r="C35" s="242">
        <f>(C5/'Scenario_Drivers'!C70)*'Scenario_Drivers'!C49</f>
        <v/>
      </c>
      <c r="D35" s="242">
        <f>(D5/'Scenario_Drivers'!D70)*'Scenario_Drivers'!D49</f>
        <v/>
      </c>
      <c r="E35" s="242">
        <f>(E5/'Scenario_Drivers'!E70)*'Scenario_Drivers'!E49</f>
        <v/>
      </c>
      <c r="F35" s="242">
        <f>(F5/'Scenario_Drivers'!F70)*'Scenario_Drivers'!F49</f>
        <v/>
      </c>
      <c r="G35" s="242">
        <f>(G5/'Scenario_Drivers'!G70)*'Scenario_Drivers'!G49</f>
        <v/>
      </c>
      <c r="H35" s="242">
        <f>(H5/'Scenario_Drivers'!H70)*'Scenario_Drivers'!H49</f>
        <v/>
      </c>
      <c r="I35" s="242">
        <f>(I5/'Scenario_Drivers'!I70)*'Scenario_Drivers'!I49</f>
        <v/>
      </c>
      <c r="J35" s="242">
        <f>(J5/'Scenario_Drivers'!J70)*'Scenario_Drivers'!J49</f>
        <v/>
      </c>
      <c r="K35" s="242">
        <f>(K5/'Scenario_Drivers'!K70)*'Scenario_Drivers'!K49</f>
        <v/>
      </c>
      <c r="L35" s="242">
        <f>(L5/'Scenario_Drivers'!L70)*'Scenario_Drivers'!L49</f>
        <v/>
      </c>
      <c r="M35" s="242">
        <f>(M5/'Scenario_Drivers'!M70)*'Scenario_Drivers'!M49</f>
        <v/>
      </c>
      <c r="N35" s="242">
        <f>(N5/'Scenario_Drivers'!N70)*'Scenario_Drivers'!N49</f>
        <v/>
      </c>
      <c r="O35" s="242">
        <f>(O5/'Scenario_Drivers'!O70)*'Scenario_Drivers'!O49</f>
        <v/>
      </c>
      <c r="P35" s="242">
        <f>(P5/'Scenario_Drivers'!P70)*'Scenario_Drivers'!P49</f>
        <v/>
      </c>
      <c r="Q35" s="242">
        <f>(Q5/'Scenario_Drivers'!Q70)*'Scenario_Drivers'!Q49</f>
        <v/>
      </c>
      <c r="R35" s="242">
        <f>(R5/'Scenario_Drivers'!R70)*'Scenario_Drivers'!R49</f>
        <v/>
      </c>
      <c r="S35" s="242">
        <f>(S5/'Scenario_Drivers'!S70)*'Scenario_Drivers'!S49</f>
        <v/>
      </c>
      <c r="T35" s="242">
        <f>(T5/'Scenario_Drivers'!T70)*'Scenario_Drivers'!T49</f>
        <v/>
      </c>
      <c r="U35" s="242">
        <f>(U5/'Scenario_Drivers'!U70)*'Scenario_Drivers'!U49</f>
        <v/>
      </c>
      <c r="V35" s="242">
        <f>(V5/'Scenario_Drivers'!V70)*'Scenario_Drivers'!V49</f>
        <v/>
      </c>
    </row>
    <row r="36">
      <c r="A36" s="165" t="inlineStr">
        <is>
          <t>Operating NWC</t>
        </is>
      </c>
      <c r="B36" s="165" t="inlineStr">
        <is>
          <t>$mm</t>
        </is>
      </c>
      <c r="C36" s="242">
        <f>C30+C31+C32-C33-C34-C35</f>
        <v/>
      </c>
      <c r="D36" s="242">
        <f>D30+D31+D32-D33-D34-D35</f>
        <v/>
      </c>
      <c r="E36" s="242">
        <f>E30+E31+E32-E33-E34-E35</f>
        <v/>
      </c>
      <c r="F36" s="242">
        <f>F30+F31+F32-F33-F34-F35</f>
        <v/>
      </c>
      <c r="G36" s="242">
        <f>G30+G31+G32-G33-G34-G35</f>
        <v/>
      </c>
      <c r="H36" s="242">
        <f>H30+H31+H32-H33-H34-H35</f>
        <v/>
      </c>
      <c r="I36" s="242">
        <f>I30+I31+I32-I33-I34-I35</f>
        <v/>
      </c>
      <c r="J36" s="242">
        <f>J30+J31+J32-J33-J34-J35</f>
        <v/>
      </c>
      <c r="K36" s="242">
        <f>K30+K31+K32-K33-K34-K35</f>
        <v/>
      </c>
      <c r="L36" s="242">
        <f>L30+L31+L32-L33-L34-L35</f>
        <v/>
      </c>
      <c r="M36" s="242">
        <f>M30+M31+M32-M33-M34-M35</f>
        <v/>
      </c>
      <c r="N36" s="242">
        <f>N30+N31+N32-N33-N34-N35</f>
        <v/>
      </c>
      <c r="O36" s="242">
        <f>O30+O31+O32-O33-O34-O35</f>
        <v/>
      </c>
      <c r="P36" s="242">
        <f>P30+P31+P32-P33-P34-P35</f>
        <v/>
      </c>
      <c r="Q36" s="242">
        <f>Q30+Q31+Q32-Q33-Q34-Q35</f>
        <v/>
      </c>
      <c r="R36" s="242">
        <f>R30+R31+R32-R33-R34-R35</f>
        <v/>
      </c>
      <c r="S36" s="242">
        <f>S30+S31+S32-S33-S34-S35</f>
        <v/>
      </c>
      <c r="T36" s="242">
        <f>T30+T31+T32-T33-T34-T35</f>
        <v/>
      </c>
      <c r="U36" s="242">
        <f>U30+U31+U32-U33-U34-U35</f>
        <v/>
      </c>
      <c r="V36" s="242">
        <f>V30+V31+V32-V33-V34-V35</f>
        <v/>
      </c>
    </row>
    <row r="37">
      <c r="A37" s="165" t="inlineStr">
        <is>
          <t>Acquired NWC</t>
        </is>
      </c>
      <c r="B37" s="165" t="inlineStr">
        <is>
          <t>$mm</t>
        </is>
      </c>
      <c r="C37" s="239">
        <f>'Scenario_Drivers'!C51</f>
        <v/>
      </c>
      <c r="D37" s="239">
        <f>'Scenario_Drivers'!D51</f>
        <v/>
      </c>
      <c r="E37" s="239">
        <f>'Scenario_Drivers'!E51</f>
        <v/>
      </c>
      <c r="F37" s="239">
        <f>'Scenario_Drivers'!F51</f>
        <v/>
      </c>
      <c r="G37" s="239">
        <f>'Scenario_Drivers'!G51</f>
        <v/>
      </c>
      <c r="H37" s="239">
        <f>'Scenario_Drivers'!H51</f>
        <v/>
      </c>
      <c r="I37" s="239">
        <f>'Scenario_Drivers'!I51</f>
        <v/>
      </c>
      <c r="J37" s="239">
        <f>'Scenario_Drivers'!J51</f>
        <v/>
      </c>
      <c r="K37" s="239">
        <f>'Scenario_Drivers'!K51</f>
        <v/>
      </c>
      <c r="L37" s="239">
        <f>'Scenario_Drivers'!L51</f>
        <v/>
      </c>
      <c r="M37" s="239">
        <f>'Scenario_Drivers'!M51</f>
        <v/>
      </c>
      <c r="N37" s="239">
        <f>'Scenario_Drivers'!N51</f>
        <v/>
      </c>
      <c r="O37" s="239">
        <f>'Scenario_Drivers'!O51</f>
        <v/>
      </c>
      <c r="P37" s="239">
        <f>'Scenario_Drivers'!P51</f>
        <v/>
      </c>
      <c r="Q37" s="239">
        <f>'Scenario_Drivers'!Q51</f>
        <v/>
      </c>
      <c r="R37" s="239">
        <f>'Scenario_Drivers'!R51</f>
        <v/>
      </c>
      <c r="S37" s="239">
        <f>'Scenario_Drivers'!S51</f>
        <v/>
      </c>
      <c r="T37" s="239">
        <f>'Scenario_Drivers'!T51</f>
        <v/>
      </c>
      <c r="U37" s="239">
        <f>'Scenario_Drivers'!U51</f>
        <v/>
      </c>
      <c r="V37" s="239">
        <f>'Scenario_Drivers'!V51</f>
        <v/>
      </c>
    </row>
    <row r="38">
      <c r="A38" s="165" t="inlineStr">
        <is>
          <t>Organic change in NWC</t>
        </is>
      </c>
      <c r="B38" s="165" t="inlineStr">
        <is>
          <t>$mm</t>
        </is>
      </c>
      <c r="C38" s="242">
        <f>C36-('S&amp;U_Opening'!$B$16+'S&amp;U_Opening'!$B$17+'S&amp;U_Opening'!$B$18-'S&amp;U_Opening'!$E$15-'S&amp;U_Opening'!$E$16-'S&amp;U_Opening'!$E$17)-C37</f>
        <v/>
      </c>
      <c r="D38" s="242">
        <f>D36-(C36)-D37</f>
        <v/>
      </c>
      <c r="E38" s="242">
        <f>E36-(D36)-E37</f>
        <v/>
      </c>
      <c r="F38" s="242">
        <f>F36-(E36)-F37</f>
        <v/>
      </c>
      <c r="G38" s="242">
        <f>G36-(F36)-G37</f>
        <v/>
      </c>
      <c r="H38" s="242">
        <f>H36-(G36)-H37</f>
        <v/>
      </c>
      <c r="I38" s="242">
        <f>I36-(H36)-I37</f>
        <v/>
      </c>
      <c r="J38" s="242">
        <f>J36-(I36)-J37</f>
        <v/>
      </c>
      <c r="K38" s="242">
        <f>K36-(J36)-K37</f>
        <v/>
      </c>
      <c r="L38" s="242">
        <f>L36-(K36)-L37</f>
        <v/>
      </c>
      <c r="M38" s="242">
        <f>M36-(L36)-M37</f>
        <v/>
      </c>
      <c r="N38" s="242">
        <f>N36-(M36)-N37</f>
        <v/>
      </c>
      <c r="O38" s="242">
        <f>O36-(N36)-O37</f>
        <v/>
      </c>
      <c r="P38" s="242">
        <f>P36-(O36)-P37</f>
        <v/>
      </c>
      <c r="Q38" s="242">
        <f>Q36-(P36)-Q37</f>
        <v/>
      </c>
      <c r="R38" s="242">
        <f>R36-(Q36)-R37</f>
        <v/>
      </c>
      <c r="S38" s="242">
        <f>S36-(R36)-S37</f>
        <v/>
      </c>
      <c r="T38" s="242">
        <f>T36-(S36)-T37</f>
        <v/>
      </c>
      <c r="U38" s="242">
        <f>U36-(T36)-U37</f>
        <v/>
      </c>
      <c r="V38" s="242">
        <f>V36-(U36)-V37</f>
        <v/>
      </c>
    </row>
    <row r="39">
      <c r="A39" s="165" t="inlineStr">
        <is>
          <t>Maintenance capex</t>
        </is>
      </c>
      <c r="B39" s="165" t="inlineStr">
        <is>
          <t>$mm</t>
        </is>
      </c>
      <c r="C39" s="242">
        <f>C5*'Scenario_Drivers'!C50*Inputs!$B$18</f>
        <v/>
      </c>
      <c r="D39" s="242">
        <f>D5*'Scenario_Drivers'!D50*Inputs!$B$18</f>
        <v/>
      </c>
      <c r="E39" s="242">
        <f>E5*'Scenario_Drivers'!E50*Inputs!$B$18</f>
        <v/>
      </c>
      <c r="F39" s="242">
        <f>F5*'Scenario_Drivers'!F50*Inputs!$B$18</f>
        <v/>
      </c>
      <c r="G39" s="242">
        <f>G5*'Scenario_Drivers'!G50*Inputs!$B$18</f>
        <v/>
      </c>
      <c r="H39" s="242">
        <f>H5*'Scenario_Drivers'!H50*Inputs!$B$18</f>
        <v/>
      </c>
      <c r="I39" s="242">
        <f>I5*'Scenario_Drivers'!I50*Inputs!$B$18</f>
        <v/>
      </c>
      <c r="J39" s="242">
        <f>J5*'Scenario_Drivers'!J50*Inputs!$B$18</f>
        <v/>
      </c>
      <c r="K39" s="242">
        <f>K5*'Scenario_Drivers'!K50*Inputs!$B$18</f>
        <v/>
      </c>
      <c r="L39" s="242">
        <f>L5*'Scenario_Drivers'!L50*Inputs!$B$18</f>
        <v/>
      </c>
      <c r="M39" s="242">
        <f>M5*'Scenario_Drivers'!M50*Inputs!$B$18</f>
        <v/>
      </c>
      <c r="N39" s="242">
        <f>N5*'Scenario_Drivers'!N50*Inputs!$B$18</f>
        <v/>
      </c>
      <c r="O39" s="242">
        <f>O5*'Scenario_Drivers'!O50*Inputs!$B$18</f>
        <v/>
      </c>
      <c r="P39" s="242">
        <f>P5*'Scenario_Drivers'!P50*Inputs!$B$18</f>
        <v/>
      </c>
      <c r="Q39" s="242">
        <f>Q5*'Scenario_Drivers'!Q50*Inputs!$B$18</f>
        <v/>
      </c>
      <c r="R39" s="242">
        <f>R5*'Scenario_Drivers'!R50*Inputs!$B$18</f>
        <v/>
      </c>
      <c r="S39" s="242">
        <f>S5*'Scenario_Drivers'!S50*Inputs!$B$18</f>
        <v/>
      </c>
      <c r="T39" s="242">
        <f>T5*'Scenario_Drivers'!T50*Inputs!$B$18</f>
        <v/>
      </c>
      <c r="U39" s="242">
        <f>U5*'Scenario_Drivers'!U50*Inputs!$B$18</f>
        <v/>
      </c>
      <c r="V39" s="242">
        <f>V5*'Scenario_Drivers'!V50*Inputs!$B$18</f>
        <v/>
      </c>
    </row>
    <row r="40">
      <c r="A40" s="165" t="inlineStr">
        <is>
          <t>Growth capex</t>
        </is>
      </c>
      <c r="B40" s="165" t="inlineStr">
        <is>
          <t>$mm</t>
        </is>
      </c>
      <c r="C40" s="242">
        <f>C5*'Scenario_Drivers'!C50*(1-Inputs!$B$18)</f>
        <v/>
      </c>
      <c r="D40" s="242">
        <f>D5*'Scenario_Drivers'!D50*(1-Inputs!$B$18)</f>
        <v/>
      </c>
      <c r="E40" s="242">
        <f>E5*'Scenario_Drivers'!E50*(1-Inputs!$B$18)</f>
        <v/>
      </c>
      <c r="F40" s="242">
        <f>F5*'Scenario_Drivers'!F50*(1-Inputs!$B$18)</f>
        <v/>
      </c>
      <c r="G40" s="242">
        <f>G5*'Scenario_Drivers'!G50*(1-Inputs!$B$18)</f>
        <v/>
      </c>
      <c r="H40" s="242">
        <f>H5*'Scenario_Drivers'!H50*(1-Inputs!$B$18)</f>
        <v/>
      </c>
      <c r="I40" s="242">
        <f>I5*'Scenario_Drivers'!I50*(1-Inputs!$B$18)</f>
        <v/>
      </c>
      <c r="J40" s="242">
        <f>J5*'Scenario_Drivers'!J50*(1-Inputs!$B$18)</f>
        <v/>
      </c>
      <c r="K40" s="242">
        <f>K5*'Scenario_Drivers'!K50*(1-Inputs!$B$18)</f>
        <v/>
      </c>
      <c r="L40" s="242">
        <f>L5*'Scenario_Drivers'!L50*(1-Inputs!$B$18)</f>
        <v/>
      </c>
      <c r="M40" s="242">
        <f>M5*'Scenario_Drivers'!M50*(1-Inputs!$B$18)</f>
        <v/>
      </c>
      <c r="N40" s="242">
        <f>N5*'Scenario_Drivers'!N50*(1-Inputs!$B$18)</f>
        <v/>
      </c>
      <c r="O40" s="242">
        <f>O5*'Scenario_Drivers'!O50*(1-Inputs!$B$18)</f>
        <v/>
      </c>
      <c r="P40" s="242">
        <f>P5*'Scenario_Drivers'!P50*(1-Inputs!$B$18)</f>
        <v/>
      </c>
      <c r="Q40" s="242">
        <f>Q5*'Scenario_Drivers'!Q50*(1-Inputs!$B$18)</f>
        <v/>
      </c>
      <c r="R40" s="242">
        <f>R5*'Scenario_Drivers'!R50*(1-Inputs!$B$18)</f>
        <v/>
      </c>
      <c r="S40" s="242">
        <f>S5*'Scenario_Drivers'!S50*(1-Inputs!$B$18)</f>
        <v/>
      </c>
      <c r="T40" s="242">
        <f>T5*'Scenario_Drivers'!T50*(1-Inputs!$B$18)</f>
        <v/>
      </c>
      <c r="U40" s="242">
        <f>U5*'Scenario_Drivers'!U50*(1-Inputs!$B$18)</f>
        <v/>
      </c>
      <c r="V40" s="242">
        <f>V5*'Scenario_Drivers'!V50*(1-Inputs!$B$18)</f>
        <v/>
      </c>
    </row>
    <row r="41">
      <c r="A41" s="165" t="inlineStr">
        <is>
          <t>Total capex</t>
        </is>
      </c>
      <c r="B41" s="165" t="inlineStr">
        <is>
          <t>$mm</t>
        </is>
      </c>
      <c r="C41" s="242">
        <f>SUM(C39:C40)</f>
        <v/>
      </c>
      <c r="D41" s="242">
        <f>SUM(D39:D40)</f>
        <v/>
      </c>
      <c r="E41" s="242">
        <f>SUM(E39:E40)</f>
        <v/>
      </c>
      <c r="F41" s="242">
        <f>SUM(F39:F40)</f>
        <v/>
      </c>
      <c r="G41" s="242">
        <f>SUM(G39:G40)</f>
        <v/>
      </c>
      <c r="H41" s="242">
        <f>SUM(H39:H40)</f>
        <v/>
      </c>
      <c r="I41" s="242">
        <f>SUM(I39:I40)</f>
        <v/>
      </c>
      <c r="J41" s="242">
        <f>SUM(J39:J40)</f>
        <v/>
      </c>
      <c r="K41" s="242">
        <f>SUM(K39:K40)</f>
        <v/>
      </c>
      <c r="L41" s="242">
        <f>SUM(L39:L40)</f>
        <v/>
      </c>
      <c r="M41" s="242">
        <f>SUM(M39:M40)</f>
        <v/>
      </c>
      <c r="N41" s="242">
        <f>SUM(N39:N40)</f>
        <v/>
      </c>
      <c r="O41" s="242">
        <f>SUM(O39:O40)</f>
        <v/>
      </c>
      <c r="P41" s="242">
        <f>SUM(P39:P40)</f>
        <v/>
      </c>
      <c r="Q41" s="242">
        <f>SUM(Q39:Q40)</f>
        <v/>
      </c>
      <c r="R41" s="242">
        <f>SUM(R39:R40)</f>
        <v/>
      </c>
      <c r="S41" s="242">
        <f>SUM(S39:S40)</f>
        <v/>
      </c>
      <c r="T41" s="242">
        <f>SUM(T39:T40)</f>
        <v/>
      </c>
      <c r="U41" s="242">
        <f>SUM(U39:U40)</f>
        <v/>
      </c>
      <c r="V41" s="242">
        <f>SUM(V39:V40)</f>
        <v/>
      </c>
    </row>
    <row r="42">
      <c r="A42" s="165" t="inlineStr">
        <is>
          <t>Acquired PP&amp;E</t>
        </is>
      </c>
      <c r="B42" s="165" t="inlineStr">
        <is>
          <t>$mm</t>
        </is>
      </c>
      <c r="C42" s="239">
        <f>'Scenario_Drivers'!C52</f>
        <v/>
      </c>
      <c r="D42" s="239">
        <f>'Scenario_Drivers'!D52</f>
        <v/>
      </c>
      <c r="E42" s="239">
        <f>'Scenario_Drivers'!E52</f>
        <v/>
      </c>
      <c r="F42" s="239">
        <f>'Scenario_Drivers'!F52</f>
        <v/>
      </c>
      <c r="G42" s="239">
        <f>'Scenario_Drivers'!G52</f>
        <v/>
      </c>
      <c r="H42" s="239">
        <f>'Scenario_Drivers'!H52</f>
        <v/>
      </c>
      <c r="I42" s="239">
        <f>'Scenario_Drivers'!I52</f>
        <v/>
      </c>
      <c r="J42" s="239">
        <f>'Scenario_Drivers'!J52</f>
        <v/>
      </c>
      <c r="K42" s="239">
        <f>'Scenario_Drivers'!K52</f>
        <v/>
      </c>
      <c r="L42" s="239">
        <f>'Scenario_Drivers'!L52</f>
        <v/>
      </c>
      <c r="M42" s="239">
        <f>'Scenario_Drivers'!M52</f>
        <v/>
      </c>
      <c r="N42" s="239">
        <f>'Scenario_Drivers'!N52</f>
        <v/>
      </c>
      <c r="O42" s="239">
        <f>'Scenario_Drivers'!O52</f>
        <v/>
      </c>
      <c r="P42" s="239">
        <f>'Scenario_Drivers'!P52</f>
        <v/>
      </c>
      <c r="Q42" s="239">
        <f>'Scenario_Drivers'!Q52</f>
        <v/>
      </c>
      <c r="R42" s="239">
        <f>'Scenario_Drivers'!R52</f>
        <v/>
      </c>
      <c r="S42" s="239">
        <f>'Scenario_Drivers'!S52</f>
        <v/>
      </c>
      <c r="T42" s="239">
        <f>'Scenario_Drivers'!T52</f>
        <v/>
      </c>
      <c r="U42" s="239">
        <f>'Scenario_Drivers'!U52</f>
        <v/>
      </c>
      <c r="V42" s="239">
        <f>'Scenario_Drivers'!V52</f>
        <v/>
      </c>
    </row>
    <row r="43">
      <c r="A43" s="165" t="inlineStr">
        <is>
          <t>Acquisition EV</t>
        </is>
      </c>
      <c r="B43" s="165" t="inlineStr">
        <is>
          <t>$mm</t>
        </is>
      </c>
      <c r="C43" s="239">
        <f>'Scenario_Drivers'!C53</f>
        <v/>
      </c>
      <c r="D43" s="239">
        <f>'Scenario_Drivers'!D53</f>
        <v/>
      </c>
      <c r="E43" s="239">
        <f>'Scenario_Drivers'!E53</f>
        <v/>
      </c>
      <c r="F43" s="239">
        <f>'Scenario_Drivers'!F53</f>
        <v/>
      </c>
      <c r="G43" s="239">
        <f>'Scenario_Drivers'!G53</f>
        <v/>
      </c>
      <c r="H43" s="239">
        <f>'Scenario_Drivers'!H53</f>
        <v/>
      </c>
      <c r="I43" s="239">
        <f>'Scenario_Drivers'!I53</f>
        <v/>
      </c>
      <c r="J43" s="239">
        <f>'Scenario_Drivers'!J53</f>
        <v/>
      </c>
      <c r="K43" s="239">
        <f>'Scenario_Drivers'!K53</f>
        <v/>
      </c>
      <c r="L43" s="239">
        <f>'Scenario_Drivers'!L53</f>
        <v/>
      </c>
      <c r="M43" s="239">
        <f>'Scenario_Drivers'!M53</f>
        <v/>
      </c>
      <c r="N43" s="239">
        <f>'Scenario_Drivers'!N53</f>
        <v/>
      </c>
      <c r="O43" s="239">
        <f>'Scenario_Drivers'!O53</f>
        <v/>
      </c>
      <c r="P43" s="239">
        <f>'Scenario_Drivers'!P53</f>
        <v/>
      </c>
      <c r="Q43" s="239">
        <f>'Scenario_Drivers'!Q53</f>
        <v/>
      </c>
      <c r="R43" s="239">
        <f>'Scenario_Drivers'!R53</f>
        <v/>
      </c>
      <c r="S43" s="239">
        <f>'Scenario_Drivers'!S53</f>
        <v/>
      </c>
      <c r="T43" s="239">
        <f>'Scenario_Drivers'!T53</f>
        <v/>
      </c>
      <c r="U43" s="239">
        <f>'Scenario_Drivers'!U53</f>
        <v/>
      </c>
      <c r="V43" s="239">
        <f>'Scenario_Drivers'!V53</f>
        <v/>
      </c>
    </row>
    <row r="44">
      <c r="A44" s="165" t="inlineStr">
        <is>
          <t>Acquisition fees</t>
        </is>
      </c>
      <c r="B44" s="165" t="inlineStr">
        <is>
          <t>$mm</t>
        </is>
      </c>
      <c r="C44" s="239">
        <f>'Scenario_Drivers'!C54</f>
        <v/>
      </c>
      <c r="D44" s="239">
        <f>'Scenario_Drivers'!D54</f>
        <v/>
      </c>
      <c r="E44" s="239">
        <f>'Scenario_Drivers'!E54</f>
        <v/>
      </c>
      <c r="F44" s="239">
        <f>'Scenario_Drivers'!F54</f>
        <v/>
      </c>
      <c r="G44" s="239">
        <f>'Scenario_Drivers'!G54</f>
        <v/>
      </c>
      <c r="H44" s="239">
        <f>'Scenario_Drivers'!H54</f>
        <v/>
      </c>
      <c r="I44" s="239">
        <f>'Scenario_Drivers'!I54</f>
        <v/>
      </c>
      <c r="J44" s="239">
        <f>'Scenario_Drivers'!J54</f>
        <v/>
      </c>
      <c r="K44" s="239">
        <f>'Scenario_Drivers'!K54</f>
        <v/>
      </c>
      <c r="L44" s="239">
        <f>'Scenario_Drivers'!L54</f>
        <v/>
      </c>
      <c r="M44" s="239">
        <f>'Scenario_Drivers'!M54</f>
        <v/>
      </c>
      <c r="N44" s="239">
        <f>'Scenario_Drivers'!N54</f>
        <v/>
      </c>
      <c r="O44" s="239">
        <f>'Scenario_Drivers'!O54</f>
        <v/>
      </c>
      <c r="P44" s="239">
        <f>'Scenario_Drivers'!P54</f>
        <v/>
      </c>
      <c r="Q44" s="239">
        <f>'Scenario_Drivers'!Q54</f>
        <v/>
      </c>
      <c r="R44" s="239">
        <f>'Scenario_Drivers'!R54</f>
        <v/>
      </c>
      <c r="S44" s="239">
        <f>'Scenario_Drivers'!S54</f>
        <v/>
      </c>
      <c r="T44" s="239">
        <f>'Scenario_Drivers'!T54</f>
        <v/>
      </c>
      <c r="U44" s="239">
        <f>'Scenario_Drivers'!U54</f>
        <v/>
      </c>
      <c r="V44" s="239">
        <f>'Scenario_Drivers'!V54</f>
        <v/>
      </c>
    </row>
    <row r="45">
      <c r="A45" s="165" t="inlineStr">
        <is>
          <t>Capitalized integration spend</t>
        </is>
      </c>
      <c r="B45" s="165" t="inlineStr">
        <is>
          <t>$mm</t>
        </is>
      </c>
      <c r="C45" s="239">
        <f>'Scenario_Drivers'!C61</f>
        <v/>
      </c>
      <c r="D45" s="239">
        <f>'Scenario_Drivers'!D61</f>
        <v/>
      </c>
      <c r="E45" s="239">
        <f>'Scenario_Drivers'!E61</f>
        <v/>
      </c>
      <c r="F45" s="239">
        <f>'Scenario_Drivers'!F61</f>
        <v/>
      </c>
      <c r="G45" s="239">
        <f>'Scenario_Drivers'!G61</f>
        <v/>
      </c>
      <c r="H45" s="239">
        <f>'Scenario_Drivers'!H61</f>
        <v/>
      </c>
      <c r="I45" s="239">
        <f>'Scenario_Drivers'!I61</f>
        <v/>
      </c>
      <c r="J45" s="239">
        <f>'Scenario_Drivers'!J61</f>
        <v/>
      </c>
      <c r="K45" s="239">
        <f>'Scenario_Drivers'!K61</f>
        <v/>
      </c>
      <c r="L45" s="239">
        <f>'Scenario_Drivers'!L61</f>
        <v/>
      </c>
      <c r="M45" s="239">
        <f>'Scenario_Drivers'!M61</f>
        <v/>
      </c>
      <c r="N45" s="239">
        <f>'Scenario_Drivers'!N61</f>
        <v/>
      </c>
      <c r="O45" s="239">
        <f>'Scenario_Drivers'!O61</f>
        <v/>
      </c>
      <c r="P45" s="239">
        <f>'Scenario_Drivers'!P61</f>
        <v/>
      </c>
      <c r="Q45" s="239">
        <f>'Scenario_Drivers'!Q61</f>
        <v/>
      </c>
      <c r="R45" s="239">
        <f>'Scenario_Drivers'!R61</f>
        <v/>
      </c>
      <c r="S45" s="239">
        <f>'Scenario_Drivers'!S61</f>
        <v/>
      </c>
      <c r="T45" s="239">
        <f>'Scenario_Drivers'!T61</f>
        <v/>
      </c>
      <c r="U45" s="239">
        <f>'Scenario_Drivers'!U61</f>
        <v/>
      </c>
      <c r="V45" s="239">
        <f>'Scenario_Drivers'!V61</f>
        <v/>
      </c>
    </row>
    <row r="46">
      <c r="A46" s="39" t="inlineStr">
        <is>
          <t>Cash Flow Statement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</row>
    <row r="47">
      <c r="A47" s="165" t="inlineStr">
        <is>
          <t>Net income - CF</t>
        </is>
      </c>
      <c r="B47" s="165" t="inlineStr">
        <is>
          <t>$mm</t>
        </is>
      </c>
      <c r="C47" s="242">
        <f>C28</f>
        <v/>
      </c>
      <c r="D47" s="242">
        <f>D28</f>
        <v/>
      </c>
      <c r="E47" s="242">
        <f>E28</f>
        <v/>
      </c>
      <c r="F47" s="242">
        <f>F28</f>
        <v/>
      </c>
      <c r="G47" s="242">
        <f>G28</f>
        <v/>
      </c>
      <c r="H47" s="242">
        <f>H28</f>
        <v/>
      </c>
      <c r="I47" s="242">
        <f>I28</f>
        <v/>
      </c>
      <c r="J47" s="242">
        <f>J28</f>
        <v/>
      </c>
      <c r="K47" s="242">
        <f>K28</f>
        <v/>
      </c>
      <c r="L47" s="242">
        <f>L28</f>
        <v/>
      </c>
      <c r="M47" s="242">
        <f>M28</f>
        <v/>
      </c>
      <c r="N47" s="242">
        <f>N28</f>
        <v/>
      </c>
      <c r="O47" s="242">
        <f>O28</f>
        <v/>
      </c>
      <c r="P47" s="242">
        <f>P28</f>
        <v/>
      </c>
      <c r="Q47" s="242">
        <f>Q28</f>
        <v/>
      </c>
      <c r="R47" s="242">
        <f>R28</f>
        <v/>
      </c>
      <c r="S47" s="242">
        <f>S28</f>
        <v/>
      </c>
      <c r="T47" s="242">
        <f>T28</f>
        <v/>
      </c>
      <c r="U47" s="242">
        <f>U28</f>
        <v/>
      </c>
      <c r="V47" s="242">
        <f>V28</f>
        <v/>
      </c>
    </row>
    <row r="48">
      <c r="A48" s="165" t="inlineStr">
        <is>
          <t>Total D&amp;A - CF</t>
        </is>
      </c>
      <c r="B48" s="165" t="inlineStr">
        <is>
          <t>$mm</t>
        </is>
      </c>
      <c r="C48" s="242">
        <f>C20</f>
        <v/>
      </c>
      <c r="D48" s="242">
        <f>D20</f>
        <v/>
      </c>
      <c r="E48" s="242">
        <f>E20</f>
        <v/>
      </c>
      <c r="F48" s="242">
        <f>F20</f>
        <v/>
      </c>
      <c r="G48" s="242">
        <f>G20</f>
        <v/>
      </c>
      <c r="H48" s="242">
        <f>H20</f>
        <v/>
      </c>
      <c r="I48" s="242">
        <f>I20</f>
        <v/>
      </c>
      <c r="J48" s="242">
        <f>J20</f>
        <v/>
      </c>
      <c r="K48" s="242">
        <f>K20</f>
        <v/>
      </c>
      <c r="L48" s="242">
        <f>L20</f>
        <v/>
      </c>
      <c r="M48" s="242">
        <f>M20</f>
        <v/>
      </c>
      <c r="N48" s="242">
        <f>N20</f>
        <v/>
      </c>
      <c r="O48" s="242">
        <f>O20</f>
        <v/>
      </c>
      <c r="P48" s="242">
        <f>P20</f>
        <v/>
      </c>
      <c r="Q48" s="242">
        <f>Q20</f>
        <v/>
      </c>
      <c r="R48" s="242">
        <f>R20</f>
        <v/>
      </c>
      <c r="S48" s="242">
        <f>S20</f>
        <v/>
      </c>
      <c r="T48" s="242">
        <f>T20</f>
        <v/>
      </c>
      <c r="U48" s="242">
        <f>U20</f>
        <v/>
      </c>
      <c r="V48" s="242">
        <f>V20</f>
        <v/>
      </c>
    </row>
    <row r="49">
      <c r="A49" s="165" t="inlineStr">
        <is>
          <t>Financing fee amortization - CF</t>
        </is>
      </c>
      <c r="B49" s="165" t="inlineStr">
        <is>
          <t>$mm</t>
        </is>
      </c>
      <c r="C49" s="242">
        <f>C23</f>
        <v/>
      </c>
      <c r="D49" s="242">
        <f>D23</f>
        <v/>
      </c>
      <c r="E49" s="242">
        <f>E23</f>
        <v/>
      </c>
      <c r="F49" s="242">
        <f>F23</f>
        <v/>
      </c>
      <c r="G49" s="242">
        <f>G23</f>
        <v/>
      </c>
      <c r="H49" s="242">
        <f>H23</f>
        <v/>
      </c>
      <c r="I49" s="242">
        <f>I23</f>
        <v/>
      </c>
      <c r="J49" s="242">
        <f>J23</f>
        <v/>
      </c>
      <c r="K49" s="242">
        <f>K23</f>
        <v/>
      </c>
      <c r="L49" s="242">
        <f>L23</f>
        <v/>
      </c>
      <c r="M49" s="242">
        <f>M23</f>
        <v/>
      </c>
      <c r="N49" s="242">
        <f>N23</f>
        <v/>
      </c>
      <c r="O49" s="242">
        <f>O23</f>
        <v/>
      </c>
      <c r="P49" s="242">
        <f>P23</f>
        <v/>
      </c>
      <c r="Q49" s="242">
        <f>Q23</f>
        <v/>
      </c>
      <c r="R49" s="242">
        <f>R23</f>
        <v/>
      </c>
      <c r="S49" s="242">
        <f>S23</f>
        <v/>
      </c>
      <c r="T49" s="242">
        <f>T23</f>
        <v/>
      </c>
      <c r="U49" s="242">
        <f>U23</f>
        <v/>
      </c>
      <c r="V49" s="242">
        <f>V23</f>
        <v/>
      </c>
    </row>
    <row r="50">
      <c r="A50" s="165" t="inlineStr">
        <is>
          <t>Deferred tax / non-cash tax</t>
        </is>
      </c>
      <c r="B50" s="165" t="inlineStr">
        <is>
          <t>$mm</t>
        </is>
      </c>
      <c r="C50" s="242">
        <f>-C26+C27</f>
        <v/>
      </c>
      <c r="D50" s="242">
        <f>-D26+D27</f>
        <v/>
      </c>
      <c r="E50" s="242">
        <f>-E26+E27</f>
        <v/>
      </c>
      <c r="F50" s="242">
        <f>-F26+F27</f>
        <v/>
      </c>
      <c r="G50" s="242">
        <f>-G26+G27</f>
        <v/>
      </c>
      <c r="H50" s="242">
        <f>-H26+H27</f>
        <v/>
      </c>
      <c r="I50" s="242">
        <f>-I26+I27</f>
        <v/>
      </c>
      <c r="J50" s="242">
        <f>-J26+J27</f>
        <v/>
      </c>
      <c r="K50" s="242">
        <f>-K26+K27</f>
        <v/>
      </c>
      <c r="L50" s="242">
        <f>-L26+L27</f>
        <v/>
      </c>
      <c r="M50" s="242">
        <f>-M26+M27</f>
        <v/>
      </c>
      <c r="N50" s="242">
        <f>-N26+N27</f>
        <v/>
      </c>
      <c r="O50" s="242">
        <f>-O26+O27</f>
        <v/>
      </c>
      <c r="P50" s="242">
        <f>-P26+P27</f>
        <v/>
      </c>
      <c r="Q50" s="242">
        <f>-Q26+Q27</f>
        <v/>
      </c>
      <c r="R50" s="242">
        <f>-R26+R27</f>
        <v/>
      </c>
      <c r="S50" s="242">
        <f>-S26+S27</f>
        <v/>
      </c>
      <c r="T50" s="242">
        <f>-T26+T27</f>
        <v/>
      </c>
      <c r="U50" s="242">
        <f>-U26+U27</f>
        <v/>
      </c>
      <c r="V50" s="242">
        <f>-V26+V27</f>
        <v/>
      </c>
    </row>
    <row r="51">
      <c r="A51" s="165" t="inlineStr">
        <is>
          <t>Change in NWC - CF</t>
        </is>
      </c>
      <c r="B51" s="165" t="inlineStr">
        <is>
          <t>$mm</t>
        </is>
      </c>
      <c r="C51" s="242">
        <f>-C38</f>
        <v/>
      </c>
      <c r="D51" s="242">
        <f>-D38</f>
        <v/>
      </c>
      <c r="E51" s="242">
        <f>-E38</f>
        <v/>
      </c>
      <c r="F51" s="242">
        <f>-F38</f>
        <v/>
      </c>
      <c r="G51" s="242">
        <f>-G38</f>
        <v/>
      </c>
      <c r="H51" s="242">
        <f>-H38</f>
        <v/>
      </c>
      <c r="I51" s="242">
        <f>-I38</f>
        <v/>
      </c>
      <c r="J51" s="242">
        <f>-J38</f>
        <v/>
      </c>
      <c r="K51" s="242">
        <f>-K38</f>
        <v/>
      </c>
      <c r="L51" s="242">
        <f>-L38</f>
        <v/>
      </c>
      <c r="M51" s="242">
        <f>-M38</f>
        <v/>
      </c>
      <c r="N51" s="242">
        <f>-N38</f>
        <v/>
      </c>
      <c r="O51" s="242">
        <f>-O38</f>
        <v/>
      </c>
      <c r="P51" s="242">
        <f>-P38</f>
        <v/>
      </c>
      <c r="Q51" s="242">
        <f>-Q38</f>
        <v/>
      </c>
      <c r="R51" s="242">
        <f>-R38</f>
        <v/>
      </c>
      <c r="S51" s="242">
        <f>-S38</f>
        <v/>
      </c>
      <c r="T51" s="242">
        <f>-T38</f>
        <v/>
      </c>
      <c r="U51" s="242">
        <f>-U38</f>
        <v/>
      </c>
      <c r="V51" s="242">
        <f>-V38</f>
        <v/>
      </c>
    </row>
    <row r="52">
      <c r="A52" s="165" t="inlineStr">
        <is>
          <t>Cash from operations</t>
        </is>
      </c>
      <c r="B52" s="165" t="inlineStr">
        <is>
          <t>$mm</t>
        </is>
      </c>
      <c r="C52" s="242">
        <f>SUM(C47:C51)</f>
        <v/>
      </c>
      <c r="D52" s="242">
        <f>SUM(D47:D51)</f>
        <v/>
      </c>
      <c r="E52" s="242">
        <f>SUM(E47:E51)</f>
        <v/>
      </c>
      <c r="F52" s="242">
        <f>SUM(F47:F51)</f>
        <v/>
      </c>
      <c r="G52" s="242">
        <f>SUM(G47:G51)</f>
        <v/>
      </c>
      <c r="H52" s="242">
        <f>SUM(H47:H51)</f>
        <v/>
      </c>
      <c r="I52" s="242">
        <f>SUM(I47:I51)</f>
        <v/>
      </c>
      <c r="J52" s="242">
        <f>SUM(J47:J51)</f>
        <v/>
      </c>
      <c r="K52" s="242">
        <f>SUM(K47:K51)</f>
        <v/>
      </c>
      <c r="L52" s="242">
        <f>SUM(L47:L51)</f>
        <v/>
      </c>
      <c r="M52" s="242">
        <f>SUM(M47:M51)</f>
        <v/>
      </c>
      <c r="N52" s="242">
        <f>SUM(N47:N51)</f>
        <v/>
      </c>
      <c r="O52" s="242">
        <f>SUM(O47:O51)</f>
        <v/>
      </c>
      <c r="P52" s="242">
        <f>SUM(P47:P51)</f>
        <v/>
      </c>
      <c r="Q52" s="242">
        <f>SUM(Q47:Q51)</f>
        <v/>
      </c>
      <c r="R52" s="242">
        <f>SUM(R47:R51)</f>
        <v/>
      </c>
      <c r="S52" s="242">
        <f>SUM(S47:S51)</f>
        <v/>
      </c>
      <c r="T52" s="242">
        <f>SUM(T47:T51)</f>
        <v/>
      </c>
      <c r="U52" s="242">
        <f>SUM(U47:U51)</f>
        <v/>
      </c>
      <c r="V52" s="242">
        <f>SUM(V47:V51)</f>
        <v/>
      </c>
    </row>
    <row r="53">
      <c r="A53" s="165" t="inlineStr">
        <is>
          <t>Capital expenditure - CF</t>
        </is>
      </c>
      <c r="B53" s="165" t="inlineStr">
        <is>
          <t>$mm</t>
        </is>
      </c>
      <c r="C53" s="242">
        <f>-C41</f>
        <v/>
      </c>
      <c r="D53" s="242">
        <f>-D41</f>
        <v/>
      </c>
      <c r="E53" s="242">
        <f>-E41</f>
        <v/>
      </c>
      <c r="F53" s="242">
        <f>-F41</f>
        <v/>
      </c>
      <c r="G53" s="242">
        <f>-G41</f>
        <v/>
      </c>
      <c r="H53" s="242">
        <f>-H41</f>
        <v/>
      </c>
      <c r="I53" s="242">
        <f>-I41</f>
        <v/>
      </c>
      <c r="J53" s="242">
        <f>-J41</f>
        <v/>
      </c>
      <c r="K53" s="242">
        <f>-K41</f>
        <v/>
      </c>
      <c r="L53" s="242">
        <f>-L41</f>
        <v/>
      </c>
      <c r="M53" s="242">
        <f>-M41</f>
        <v/>
      </c>
      <c r="N53" s="242">
        <f>-N41</f>
        <v/>
      </c>
      <c r="O53" s="242">
        <f>-O41</f>
        <v/>
      </c>
      <c r="P53" s="242">
        <f>-P41</f>
        <v/>
      </c>
      <c r="Q53" s="242">
        <f>-Q41</f>
        <v/>
      </c>
      <c r="R53" s="242">
        <f>-R41</f>
        <v/>
      </c>
      <c r="S53" s="242">
        <f>-S41</f>
        <v/>
      </c>
      <c r="T53" s="242">
        <f>-T41</f>
        <v/>
      </c>
      <c r="U53" s="242">
        <f>-U41</f>
        <v/>
      </c>
      <c r="V53" s="242">
        <f>-V41</f>
        <v/>
      </c>
    </row>
    <row r="54">
      <c r="A54" s="165" t="inlineStr">
        <is>
          <t>Acquisition EV - CF</t>
        </is>
      </c>
      <c r="B54" s="165" t="inlineStr">
        <is>
          <t>$mm</t>
        </is>
      </c>
      <c r="C54" s="242">
        <f>-C43</f>
        <v/>
      </c>
      <c r="D54" s="242">
        <f>-D43</f>
        <v/>
      </c>
      <c r="E54" s="242">
        <f>-E43</f>
        <v/>
      </c>
      <c r="F54" s="242">
        <f>-F43</f>
        <v/>
      </c>
      <c r="G54" s="242">
        <f>-G43</f>
        <v/>
      </c>
      <c r="H54" s="242">
        <f>-H43</f>
        <v/>
      </c>
      <c r="I54" s="242">
        <f>-I43</f>
        <v/>
      </c>
      <c r="J54" s="242">
        <f>-J43</f>
        <v/>
      </c>
      <c r="K54" s="242">
        <f>-K43</f>
        <v/>
      </c>
      <c r="L54" s="242">
        <f>-L43</f>
        <v/>
      </c>
      <c r="M54" s="242">
        <f>-M43</f>
        <v/>
      </c>
      <c r="N54" s="242">
        <f>-N43</f>
        <v/>
      </c>
      <c r="O54" s="242">
        <f>-O43</f>
        <v/>
      </c>
      <c r="P54" s="242">
        <f>-P43</f>
        <v/>
      </c>
      <c r="Q54" s="242">
        <f>-Q43</f>
        <v/>
      </c>
      <c r="R54" s="242">
        <f>-R43</f>
        <v/>
      </c>
      <c r="S54" s="242">
        <f>-S43</f>
        <v/>
      </c>
      <c r="T54" s="242">
        <f>-T43</f>
        <v/>
      </c>
      <c r="U54" s="242">
        <f>-U43</f>
        <v/>
      </c>
      <c r="V54" s="242">
        <f>-V43</f>
        <v/>
      </c>
    </row>
    <row r="55">
      <c r="A55" s="165" t="inlineStr">
        <is>
          <t>Capitalized integration spend - CF</t>
        </is>
      </c>
      <c r="B55" s="165" t="inlineStr">
        <is>
          <t>$mm</t>
        </is>
      </c>
      <c r="C55" s="242">
        <f>-C45</f>
        <v/>
      </c>
      <c r="D55" s="242">
        <f>-D45</f>
        <v/>
      </c>
      <c r="E55" s="242">
        <f>-E45</f>
        <v/>
      </c>
      <c r="F55" s="242">
        <f>-F45</f>
        <v/>
      </c>
      <c r="G55" s="242">
        <f>-G45</f>
        <v/>
      </c>
      <c r="H55" s="242">
        <f>-H45</f>
        <v/>
      </c>
      <c r="I55" s="242">
        <f>-I45</f>
        <v/>
      </c>
      <c r="J55" s="242">
        <f>-J45</f>
        <v/>
      </c>
      <c r="K55" s="242">
        <f>-K45</f>
        <v/>
      </c>
      <c r="L55" s="242">
        <f>-L45</f>
        <v/>
      </c>
      <c r="M55" s="242">
        <f>-M45</f>
        <v/>
      </c>
      <c r="N55" s="242">
        <f>-N45</f>
        <v/>
      </c>
      <c r="O55" s="242">
        <f>-O45</f>
        <v/>
      </c>
      <c r="P55" s="242">
        <f>-P45</f>
        <v/>
      </c>
      <c r="Q55" s="242">
        <f>-Q45</f>
        <v/>
      </c>
      <c r="R55" s="242">
        <f>-R45</f>
        <v/>
      </c>
      <c r="S55" s="242">
        <f>-S45</f>
        <v/>
      </c>
      <c r="T55" s="242">
        <f>-T45</f>
        <v/>
      </c>
      <c r="U55" s="242">
        <f>-U45</f>
        <v/>
      </c>
      <c r="V55" s="242">
        <f>-V45</f>
        <v/>
      </c>
    </row>
    <row r="56">
      <c r="A56" s="165" t="inlineStr">
        <is>
          <t>Cash from investing</t>
        </is>
      </c>
      <c r="B56" s="165" t="inlineStr">
        <is>
          <t>$mm</t>
        </is>
      </c>
      <c r="C56" s="242">
        <f>SUM(C53:C55)</f>
        <v/>
      </c>
      <c r="D56" s="242">
        <f>SUM(D53:D55)</f>
        <v/>
      </c>
      <c r="E56" s="242">
        <f>SUM(E53:E55)</f>
        <v/>
      </c>
      <c r="F56" s="242">
        <f>SUM(F53:F55)</f>
        <v/>
      </c>
      <c r="G56" s="242">
        <f>SUM(G53:G55)</f>
        <v/>
      </c>
      <c r="H56" s="242">
        <f>SUM(H53:H55)</f>
        <v/>
      </c>
      <c r="I56" s="242">
        <f>SUM(I53:I55)</f>
        <v/>
      </c>
      <c r="J56" s="242">
        <f>SUM(J53:J55)</f>
        <v/>
      </c>
      <c r="K56" s="242">
        <f>SUM(K53:K55)</f>
        <v/>
      </c>
      <c r="L56" s="242">
        <f>SUM(L53:L55)</f>
        <v/>
      </c>
      <c r="M56" s="242">
        <f>SUM(M53:M55)</f>
        <v/>
      </c>
      <c r="N56" s="242">
        <f>SUM(N53:N55)</f>
        <v/>
      </c>
      <c r="O56" s="242">
        <f>SUM(O53:O55)</f>
        <v/>
      </c>
      <c r="P56" s="242">
        <f>SUM(P53:P55)</f>
        <v/>
      </c>
      <c r="Q56" s="242">
        <f>SUM(Q53:Q55)</f>
        <v/>
      </c>
      <c r="R56" s="242">
        <f>SUM(R53:R55)</f>
        <v/>
      </c>
      <c r="S56" s="242">
        <f>SUM(S53:S55)</f>
        <v/>
      </c>
      <c r="T56" s="242">
        <f>SUM(T53:T55)</f>
        <v/>
      </c>
      <c r="U56" s="242">
        <f>SUM(U53:U55)</f>
        <v/>
      </c>
      <c r="V56" s="242">
        <f>SUM(V53:V55)</f>
        <v/>
      </c>
    </row>
    <row r="57">
      <c r="A57" s="165" t="inlineStr">
        <is>
          <t>Sponsor equity contribution</t>
        </is>
      </c>
      <c r="B57" s="165" t="inlineStr">
        <is>
          <t>$mm</t>
        </is>
      </c>
      <c r="C57" s="239">
        <f>'Scenario_Drivers'!C60</f>
        <v/>
      </c>
      <c r="D57" s="239">
        <f>'Scenario_Drivers'!D60</f>
        <v/>
      </c>
      <c r="E57" s="239">
        <f>'Scenario_Drivers'!E60</f>
        <v/>
      </c>
      <c r="F57" s="239">
        <f>'Scenario_Drivers'!F60</f>
        <v/>
      </c>
      <c r="G57" s="239">
        <f>'Scenario_Drivers'!G60</f>
        <v/>
      </c>
      <c r="H57" s="239">
        <f>'Scenario_Drivers'!H60</f>
        <v/>
      </c>
      <c r="I57" s="239">
        <f>'Scenario_Drivers'!I60</f>
        <v/>
      </c>
      <c r="J57" s="239">
        <f>'Scenario_Drivers'!J60</f>
        <v/>
      </c>
      <c r="K57" s="239">
        <f>'Scenario_Drivers'!K60</f>
        <v/>
      </c>
      <c r="L57" s="239">
        <f>'Scenario_Drivers'!L60</f>
        <v/>
      </c>
      <c r="M57" s="239">
        <f>'Scenario_Drivers'!M60</f>
        <v/>
      </c>
      <c r="N57" s="239">
        <f>'Scenario_Drivers'!N60</f>
        <v/>
      </c>
      <c r="O57" s="239">
        <f>'Scenario_Drivers'!O60</f>
        <v/>
      </c>
      <c r="P57" s="239">
        <f>'Scenario_Drivers'!P60</f>
        <v/>
      </c>
      <c r="Q57" s="239">
        <f>'Scenario_Drivers'!Q60</f>
        <v/>
      </c>
      <c r="R57" s="239">
        <f>'Scenario_Drivers'!R60</f>
        <v/>
      </c>
      <c r="S57" s="239">
        <f>'Scenario_Drivers'!S60</f>
        <v/>
      </c>
      <c r="T57" s="239">
        <f>'Scenario_Drivers'!T60</f>
        <v/>
      </c>
      <c r="U57" s="239">
        <f>'Scenario_Drivers'!U60</f>
        <v/>
      </c>
      <c r="V57" s="239">
        <f>'Scenario_Drivers'!V60</f>
        <v/>
      </c>
    </row>
    <row r="58">
      <c r="A58" s="165" t="inlineStr">
        <is>
          <t>DDTL draw</t>
        </is>
      </c>
      <c r="B58" s="165" t="inlineStr">
        <is>
          <t>$mm</t>
        </is>
      </c>
      <c r="C58" s="239">
        <f>'Scenario_Drivers'!C59</f>
        <v/>
      </c>
      <c r="D58" s="239">
        <f>'Scenario_Drivers'!D59</f>
        <v/>
      </c>
      <c r="E58" s="239">
        <f>'Scenario_Drivers'!E59</f>
        <v/>
      </c>
      <c r="F58" s="239">
        <f>'Scenario_Drivers'!F59</f>
        <v/>
      </c>
      <c r="G58" s="239">
        <f>'Scenario_Drivers'!G59</f>
        <v/>
      </c>
      <c r="H58" s="239">
        <f>'Scenario_Drivers'!H59</f>
        <v/>
      </c>
      <c r="I58" s="239">
        <f>'Scenario_Drivers'!I59</f>
        <v/>
      </c>
      <c r="J58" s="239">
        <f>'Scenario_Drivers'!J59</f>
        <v/>
      </c>
      <c r="K58" s="239">
        <f>'Scenario_Drivers'!K59</f>
        <v/>
      </c>
      <c r="L58" s="239">
        <f>'Scenario_Drivers'!L59</f>
        <v/>
      </c>
      <c r="M58" s="239">
        <f>'Scenario_Drivers'!M59</f>
        <v/>
      </c>
      <c r="N58" s="239">
        <f>'Scenario_Drivers'!N59</f>
        <v/>
      </c>
      <c r="O58" s="239">
        <f>'Scenario_Drivers'!O59</f>
        <v/>
      </c>
      <c r="P58" s="239">
        <f>'Scenario_Drivers'!P59</f>
        <v/>
      </c>
      <c r="Q58" s="239">
        <f>'Scenario_Drivers'!Q59</f>
        <v/>
      </c>
      <c r="R58" s="239">
        <f>'Scenario_Drivers'!R59</f>
        <v/>
      </c>
      <c r="S58" s="239">
        <f>'Scenario_Drivers'!S59</f>
        <v/>
      </c>
      <c r="T58" s="239">
        <f>'Scenario_Drivers'!T59</f>
        <v/>
      </c>
      <c r="U58" s="239">
        <f>'Scenario_Drivers'!U59</f>
        <v/>
      </c>
      <c r="V58" s="239">
        <f>'Scenario_Drivers'!V59</f>
        <v/>
      </c>
    </row>
    <row r="59">
      <c r="A59" s="165" t="inlineStr">
        <is>
          <t>Revolver draw</t>
        </is>
      </c>
      <c r="B59" s="165" t="inlineStr">
        <is>
          <t>$mm</t>
        </is>
      </c>
      <c r="C59" s="242">
        <f>IF('Scenario_Drivers'!C64&gt;=0,MAX(0,'Scenario_Drivers'!C64-0),IF('S&amp;U_Opening'!$B$15+C52+C56+C57+C58+C61+C62&lt;'Scenario_Drivers'!C63,MIN((MAX(0,Inputs!$B$20-'Scenario_Drivers'!C62))-0,'Scenario_Drivers'!C63-('S&amp;U_Opening'!$B$15+C52+C56+C57+C58+C61+C62)),0))</f>
        <v/>
      </c>
      <c r="D59" s="242">
        <f>IF('Scenario_Drivers'!D64&gt;=0,MAX(0,'Scenario_Drivers'!D64-C78),IF(C67+D52+D56+D57+D58+D61+D62&lt;'Scenario_Drivers'!D63,MIN((MAX(0,Inputs!$B$20-'Scenario_Drivers'!D62))-C78,'Scenario_Drivers'!D63-(C67+D52+D56+D57+D58+D61+D62)),0))</f>
        <v/>
      </c>
      <c r="E59" s="242">
        <f>IF('Scenario_Drivers'!E64&gt;=0,MAX(0,'Scenario_Drivers'!E64-D78),IF(D67+E52+E56+E57+E58+E61+E62&lt;'Scenario_Drivers'!E63,MIN((MAX(0,Inputs!$B$20-'Scenario_Drivers'!E62))-D78,'Scenario_Drivers'!E63-(D67+E52+E56+E57+E58+E61+E62)),0))</f>
        <v/>
      </c>
      <c r="F59" s="242">
        <f>IF('Scenario_Drivers'!F64&gt;=0,MAX(0,'Scenario_Drivers'!F64-E78),IF(E67+F52+F56+F57+F58+F61+F62&lt;'Scenario_Drivers'!F63,MIN((MAX(0,Inputs!$B$20-'Scenario_Drivers'!F62))-E78,'Scenario_Drivers'!F63-(E67+F52+F56+F57+F58+F61+F62)),0))</f>
        <v/>
      </c>
      <c r="G59" s="242">
        <f>IF('Scenario_Drivers'!G64&gt;=0,MAX(0,'Scenario_Drivers'!G64-F78),IF(F67+G52+G56+G57+G58+G61+G62&lt;'Scenario_Drivers'!G63,MIN((MAX(0,Inputs!$B$20-'Scenario_Drivers'!G62))-F78,'Scenario_Drivers'!G63-(F67+G52+G56+G57+G58+G61+G62)),0))</f>
        <v/>
      </c>
      <c r="H59" s="242">
        <f>IF('Scenario_Drivers'!H64&gt;=0,MAX(0,'Scenario_Drivers'!H64-G78),IF(G67+H52+H56+H57+H58+H61+H62&lt;'Scenario_Drivers'!H63,MIN((MAX(0,Inputs!$B$20-'Scenario_Drivers'!H62))-G78,'Scenario_Drivers'!H63-(G67+H52+H56+H57+H58+H61+H62)),0))</f>
        <v/>
      </c>
      <c r="I59" s="242">
        <f>IF('Scenario_Drivers'!I64&gt;=0,MAX(0,'Scenario_Drivers'!I64-H78),IF(H67+I52+I56+I57+I58+I61+I62&lt;'Scenario_Drivers'!I63,MIN((MAX(0,Inputs!$B$20-'Scenario_Drivers'!I62))-H78,'Scenario_Drivers'!I63-(H67+I52+I56+I57+I58+I61+I62)),0))</f>
        <v/>
      </c>
      <c r="J59" s="242">
        <f>IF('Scenario_Drivers'!J64&gt;=0,MAX(0,'Scenario_Drivers'!J64-I78),IF(I67+J52+J56+J57+J58+J61+J62&lt;'Scenario_Drivers'!J63,MIN((MAX(0,Inputs!$B$20-'Scenario_Drivers'!J62))-I78,'Scenario_Drivers'!J63-(I67+J52+J56+J57+J58+J61+J62)),0))</f>
        <v/>
      </c>
      <c r="K59" s="242">
        <f>IF('Scenario_Drivers'!K64&gt;=0,MAX(0,'Scenario_Drivers'!K64-J78),IF(J67+K52+K56+K57+K58+K61+K62&lt;'Scenario_Drivers'!K63,MIN((MAX(0,Inputs!$B$20-'Scenario_Drivers'!K62))-J78,'Scenario_Drivers'!K63-(J67+K52+K56+K57+K58+K61+K62)),0))</f>
        <v/>
      </c>
      <c r="L59" s="242">
        <f>IF('Scenario_Drivers'!L64&gt;=0,MAX(0,'Scenario_Drivers'!L64-K78),IF(K67+L52+L56+L57+L58+L61+L62&lt;'Scenario_Drivers'!L63,MIN((MAX(0,Inputs!$B$20-'Scenario_Drivers'!L62))-K78,'Scenario_Drivers'!L63-(K67+L52+L56+L57+L58+L61+L62)),0))</f>
        <v/>
      </c>
      <c r="M59" s="242">
        <f>IF('Scenario_Drivers'!M64&gt;=0,MAX(0,'Scenario_Drivers'!M64-L78),IF(L67+M52+M56+M57+M58+M61+M62&lt;'Scenario_Drivers'!M63,MIN((MAX(0,Inputs!$B$20-'Scenario_Drivers'!M62))-L78,'Scenario_Drivers'!M63-(L67+M52+M56+M57+M58+M61+M62)),0))</f>
        <v/>
      </c>
      <c r="N59" s="242">
        <f>IF('Scenario_Drivers'!N64&gt;=0,MAX(0,'Scenario_Drivers'!N64-M78),IF(M67+N52+N56+N57+N58+N61+N62&lt;'Scenario_Drivers'!N63,MIN((MAX(0,Inputs!$B$20-'Scenario_Drivers'!N62))-M78,'Scenario_Drivers'!N63-(M67+N52+N56+N57+N58+N61+N62)),0))</f>
        <v/>
      </c>
      <c r="O59" s="242">
        <f>IF('Scenario_Drivers'!O64&gt;=0,MAX(0,'Scenario_Drivers'!O64-N78),IF(N67+O52+O56+O57+O58+O61+O62&lt;'Scenario_Drivers'!O63,MIN((MAX(0,Inputs!$B$20-'Scenario_Drivers'!O62))-N78,'Scenario_Drivers'!O63-(N67+O52+O56+O57+O58+O61+O62)),0))</f>
        <v/>
      </c>
      <c r="P59" s="242">
        <f>IF('Scenario_Drivers'!P64&gt;=0,MAX(0,'Scenario_Drivers'!P64-O78),IF(O67+P52+P56+P57+P58+P61+P62&lt;'Scenario_Drivers'!P63,MIN((MAX(0,Inputs!$B$20-'Scenario_Drivers'!P62))-O78,'Scenario_Drivers'!P63-(O67+P52+P56+P57+P58+P61+P62)),0))</f>
        <v/>
      </c>
      <c r="Q59" s="242">
        <f>IF('Scenario_Drivers'!Q64&gt;=0,MAX(0,'Scenario_Drivers'!Q64-P78),IF(P67+Q52+Q56+Q57+Q58+Q61+Q62&lt;'Scenario_Drivers'!Q63,MIN((MAX(0,Inputs!$B$20-'Scenario_Drivers'!Q62))-P78,'Scenario_Drivers'!Q63-(P67+Q52+Q56+Q57+Q58+Q61+Q62)),0))</f>
        <v/>
      </c>
      <c r="R59" s="242">
        <f>IF('Scenario_Drivers'!R64&gt;=0,MAX(0,'Scenario_Drivers'!R64-Q78),IF(Q67+R52+R56+R57+R58+R61+R62&lt;'Scenario_Drivers'!R63,MIN((MAX(0,Inputs!$B$20-'Scenario_Drivers'!R62))-Q78,'Scenario_Drivers'!R63-(Q67+R52+R56+R57+R58+R61+R62)),0))</f>
        <v/>
      </c>
      <c r="S59" s="242">
        <f>IF('Scenario_Drivers'!S64&gt;=0,MAX(0,'Scenario_Drivers'!S64-R78),IF(R67+S52+S56+S57+S58+S61+S62&lt;'Scenario_Drivers'!S63,MIN((MAX(0,Inputs!$B$20-'Scenario_Drivers'!S62))-R78,'Scenario_Drivers'!S63-(R67+S52+S56+S57+S58+S61+S62)),0))</f>
        <v/>
      </c>
      <c r="T59" s="242">
        <f>IF('Scenario_Drivers'!T64&gt;=0,MAX(0,'Scenario_Drivers'!T64-S78),IF(S67+T52+T56+T57+T58+T61+T62&lt;'Scenario_Drivers'!T63,MIN((MAX(0,Inputs!$B$20-'Scenario_Drivers'!T62))-S78,'Scenario_Drivers'!T63-(S67+T52+T56+T57+T58+T61+T62)),0))</f>
        <v/>
      </c>
      <c r="U59" s="242">
        <f>IF('Scenario_Drivers'!U64&gt;=0,MAX(0,'Scenario_Drivers'!U64-T78),IF(T67+U52+U56+U57+U58+U61+U62&lt;'Scenario_Drivers'!U63,MIN((MAX(0,Inputs!$B$20-'Scenario_Drivers'!U62))-T78,'Scenario_Drivers'!U63-(T67+U52+U56+U57+U58+U61+U62)),0))</f>
        <v/>
      </c>
      <c r="V59" s="242">
        <f>IF('Scenario_Drivers'!V64&gt;=0,MAX(0,'Scenario_Drivers'!V64-U78),IF(U67+V52+V56+V57+V58+V61+V62&lt;'Scenario_Drivers'!V63,MIN((MAX(0,Inputs!$B$20-'Scenario_Drivers'!V62))-U78,'Scenario_Drivers'!V63-(U67+V52+V56+V57+V58+V61+V62)),0))</f>
        <v/>
      </c>
    </row>
    <row r="60">
      <c r="A60" s="165" t="inlineStr">
        <is>
          <t>Revolver repayment</t>
        </is>
      </c>
      <c r="B60" s="165" t="inlineStr">
        <is>
          <t>$mm</t>
        </is>
      </c>
      <c r="C60" s="242">
        <f>-(IF('Scenario_Drivers'!C65=1,0,IF('Scenario_Drivers'!C64&gt;=0,MAX(0,0-'Scenario_Drivers'!C64),IF('S&amp;U_Opening'!$B$15+C52+C56+C57+C58+C61+C62&gt;'Scenario_Drivers'!C63,MIN(0,('S&amp;U_Opening'!$B$15+C52+C56+C57+C58+C61+C62)-'Scenario_Drivers'!C63),0))))</f>
        <v/>
      </c>
      <c r="D60" s="242">
        <f>-(IF('Scenario_Drivers'!D65=1,C78,IF('Scenario_Drivers'!D64&gt;=0,MAX(0,C78-'Scenario_Drivers'!D64),IF(C67+D52+D56+D57+D58+D61+D62&gt;'Scenario_Drivers'!D63,MIN(C78,(C67+D52+D56+D57+D58+D61+D62)-'Scenario_Drivers'!D63),0))))</f>
        <v/>
      </c>
      <c r="E60" s="242">
        <f>-(IF('Scenario_Drivers'!E65=1,D78,IF('Scenario_Drivers'!E64&gt;=0,MAX(0,D78-'Scenario_Drivers'!E64),IF(D67+E52+E56+E57+E58+E61+E62&gt;'Scenario_Drivers'!E63,MIN(D78,(D67+E52+E56+E57+E58+E61+E62)-'Scenario_Drivers'!E63),0))))</f>
        <v/>
      </c>
      <c r="F60" s="242">
        <f>-(IF('Scenario_Drivers'!F65=1,E78,IF('Scenario_Drivers'!F64&gt;=0,MAX(0,E78-'Scenario_Drivers'!F64),IF(E67+F52+F56+F57+F58+F61+F62&gt;'Scenario_Drivers'!F63,MIN(E78,(E67+F52+F56+F57+F58+F61+F62)-'Scenario_Drivers'!F63),0))))</f>
        <v/>
      </c>
      <c r="G60" s="242">
        <f>-(IF('Scenario_Drivers'!G65=1,F78,IF('Scenario_Drivers'!G64&gt;=0,MAX(0,F78-'Scenario_Drivers'!G64),IF(F67+G52+G56+G57+G58+G61+G62&gt;'Scenario_Drivers'!G63,MIN(F78,(F67+G52+G56+G57+G58+G61+G62)-'Scenario_Drivers'!G63),0))))</f>
        <v/>
      </c>
      <c r="H60" s="242">
        <f>-(IF('Scenario_Drivers'!H65=1,G78,IF('Scenario_Drivers'!H64&gt;=0,MAX(0,G78-'Scenario_Drivers'!H64),IF(G67+H52+H56+H57+H58+H61+H62&gt;'Scenario_Drivers'!H63,MIN(G78,(G67+H52+H56+H57+H58+H61+H62)-'Scenario_Drivers'!H63),0))))</f>
        <v/>
      </c>
      <c r="I60" s="242">
        <f>-(IF('Scenario_Drivers'!I65=1,H78,IF('Scenario_Drivers'!I64&gt;=0,MAX(0,H78-'Scenario_Drivers'!I64),IF(H67+I52+I56+I57+I58+I61+I62&gt;'Scenario_Drivers'!I63,MIN(H78,(H67+I52+I56+I57+I58+I61+I62)-'Scenario_Drivers'!I63),0))))</f>
        <v/>
      </c>
      <c r="J60" s="242">
        <f>-(IF('Scenario_Drivers'!J65=1,I78,IF('Scenario_Drivers'!J64&gt;=0,MAX(0,I78-'Scenario_Drivers'!J64),IF(I67+J52+J56+J57+J58+J61+J62&gt;'Scenario_Drivers'!J63,MIN(I78,(I67+J52+J56+J57+J58+J61+J62)-'Scenario_Drivers'!J63),0))))</f>
        <v/>
      </c>
      <c r="K60" s="242">
        <f>-(IF('Scenario_Drivers'!K65=1,J78,IF('Scenario_Drivers'!K64&gt;=0,MAX(0,J78-'Scenario_Drivers'!K64),IF(J67+K52+K56+K57+K58+K61+K62&gt;'Scenario_Drivers'!K63,MIN(J78,(J67+K52+K56+K57+K58+K61+K62)-'Scenario_Drivers'!K63),0))))</f>
        <v/>
      </c>
      <c r="L60" s="242">
        <f>-(IF('Scenario_Drivers'!L65=1,K78,IF('Scenario_Drivers'!L64&gt;=0,MAX(0,K78-'Scenario_Drivers'!L64),IF(K67+L52+L56+L57+L58+L61+L62&gt;'Scenario_Drivers'!L63,MIN(K78,(K67+L52+L56+L57+L58+L61+L62)-'Scenario_Drivers'!L63),0))))</f>
        <v/>
      </c>
      <c r="M60" s="242">
        <f>-(IF('Scenario_Drivers'!M65=1,L78,IF('Scenario_Drivers'!M64&gt;=0,MAX(0,L78-'Scenario_Drivers'!M64),IF(L67+M52+M56+M57+M58+M61+M62&gt;'Scenario_Drivers'!M63,MIN(L78,(L67+M52+M56+M57+M58+M61+M62)-'Scenario_Drivers'!M63),0))))</f>
        <v/>
      </c>
      <c r="N60" s="242">
        <f>-(IF('Scenario_Drivers'!N65=1,M78,IF('Scenario_Drivers'!N64&gt;=0,MAX(0,M78-'Scenario_Drivers'!N64),IF(M67+N52+N56+N57+N58+N61+N62&gt;'Scenario_Drivers'!N63,MIN(M78,(M67+N52+N56+N57+N58+N61+N62)-'Scenario_Drivers'!N63),0))))</f>
        <v/>
      </c>
      <c r="O60" s="242">
        <f>-(IF('Scenario_Drivers'!O65=1,N78,IF('Scenario_Drivers'!O64&gt;=0,MAX(0,N78-'Scenario_Drivers'!O64),IF(N67+O52+O56+O57+O58+O61+O62&gt;'Scenario_Drivers'!O63,MIN(N78,(N67+O52+O56+O57+O58+O61+O62)-'Scenario_Drivers'!O63),0))))</f>
        <v/>
      </c>
      <c r="P60" s="242">
        <f>-(IF('Scenario_Drivers'!P65=1,O78,IF('Scenario_Drivers'!P64&gt;=0,MAX(0,O78-'Scenario_Drivers'!P64),IF(O67+P52+P56+P57+P58+P61+P62&gt;'Scenario_Drivers'!P63,MIN(O78,(O67+P52+P56+P57+P58+P61+P62)-'Scenario_Drivers'!P63),0))))</f>
        <v/>
      </c>
      <c r="Q60" s="242">
        <f>-(IF('Scenario_Drivers'!Q65=1,P78,IF('Scenario_Drivers'!Q64&gt;=0,MAX(0,P78-'Scenario_Drivers'!Q64),IF(P67+Q52+Q56+Q57+Q58+Q61+Q62&gt;'Scenario_Drivers'!Q63,MIN(P78,(P67+Q52+Q56+Q57+Q58+Q61+Q62)-'Scenario_Drivers'!Q63),0))))</f>
        <v/>
      </c>
      <c r="R60" s="242">
        <f>-(IF('Scenario_Drivers'!R65=1,Q78,IF('Scenario_Drivers'!R64&gt;=0,MAX(0,Q78-'Scenario_Drivers'!R64),IF(Q67+R52+R56+R57+R58+R61+R62&gt;'Scenario_Drivers'!R63,MIN(Q78,(Q67+R52+R56+R57+R58+R61+R62)-'Scenario_Drivers'!R63),0))))</f>
        <v/>
      </c>
      <c r="S60" s="242">
        <f>-(IF('Scenario_Drivers'!S65=1,R78,IF('Scenario_Drivers'!S64&gt;=0,MAX(0,R78-'Scenario_Drivers'!S64),IF(R67+S52+S56+S57+S58+S61+S62&gt;'Scenario_Drivers'!S63,MIN(R78,(R67+S52+S56+S57+S58+S61+S62)-'Scenario_Drivers'!S63),0))))</f>
        <v/>
      </c>
      <c r="T60" s="242">
        <f>-(IF('Scenario_Drivers'!T65=1,S78,IF('Scenario_Drivers'!T64&gt;=0,MAX(0,S78-'Scenario_Drivers'!T64),IF(S67+T52+T56+T57+T58+T61+T62&gt;'Scenario_Drivers'!T63,MIN(S78,(S67+T52+T56+T57+T58+T61+T62)-'Scenario_Drivers'!T63),0))))</f>
        <v/>
      </c>
      <c r="U60" s="242">
        <f>-(IF('Scenario_Drivers'!U65=1,T78,IF('Scenario_Drivers'!U64&gt;=0,MAX(0,T78-'Scenario_Drivers'!U64),IF(T67+U52+U56+U57+U58+U61+U62&gt;'Scenario_Drivers'!U63,MIN(T78,(T67+U52+U56+U57+U58+U61+U62)-'Scenario_Drivers'!U63),0))))</f>
        <v/>
      </c>
      <c r="V60" s="242">
        <f>-(IF('Scenario_Drivers'!V65=1,U78,IF('Scenario_Drivers'!V64&gt;=0,MAX(0,U78-'Scenario_Drivers'!V64),IF(U67+V52+V56+V57+V58+V61+V62&gt;'Scenario_Drivers'!V63,MIN(U78,(U67+V52+V56+V57+V58+V61+V62)-'Scenario_Drivers'!V63),0))))</f>
        <v/>
      </c>
    </row>
    <row r="61">
      <c r="A61" s="165" t="inlineStr">
        <is>
          <t>Scheduled term amortization</t>
        </is>
      </c>
      <c r="B61" s="165" t="inlineStr">
        <is>
          <t>$mm</t>
        </is>
      </c>
      <c r="C61" s="242">
        <f>-(MIN(0.107,'S&amp;U_Opening'!$E$18))</f>
        <v/>
      </c>
      <c r="D61" s="242">
        <f>-(MIN(0.107,C76))</f>
        <v/>
      </c>
      <c r="E61" s="242">
        <f>-(MIN(0.107,D76))</f>
        <v/>
      </c>
      <c r="F61" s="242">
        <f>-(MIN(0.107,E76))</f>
        <v/>
      </c>
      <c r="G61" s="242">
        <f>-(MIN(0.107,F76))</f>
        <v/>
      </c>
      <c r="H61" s="242">
        <f>-(MIN(0.107,G76))</f>
        <v/>
      </c>
      <c r="I61" s="242">
        <f>-(MIN(0.107,H76))</f>
        <v/>
      </c>
      <c r="J61" s="242">
        <f>-(MIN(0.107,I76))</f>
        <v/>
      </c>
      <c r="K61" s="242">
        <f>-(MIN(0.107,J76))</f>
        <v/>
      </c>
      <c r="L61" s="242">
        <f>-(MIN(0.107,K76))</f>
        <v/>
      </c>
      <c r="M61" s="242">
        <f>-(MIN(0.107,L76))</f>
        <v/>
      </c>
      <c r="N61" s="242">
        <f>-(MIN(0.107,M76))</f>
        <v/>
      </c>
      <c r="O61" s="242">
        <f>-(MIN(0.107,N76))</f>
        <v/>
      </c>
      <c r="P61" s="242">
        <f>-(MIN(0.107,O76))</f>
        <v/>
      </c>
      <c r="Q61" s="242">
        <f>-(MIN(0.107,P76))</f>
        <v/>
      </c>
      <c r="R61" s="242">
        <f>-(MIN(0.107,Q76))</f>
        <v/>
      </c>
      <c r="S61" s="242">
        <f>-(MIN(0.107,R76))</f>
        <v/>
      </c>
      <c r="T61" s="242">
        <f>-(MIN(0.107,S76))</f>
        <v/>
      </c>
      <c r="U61" s="242">
        <f>-(MIN(0.107,T76))</f>
        <v/>
      </c>
      <c r="V61" s="242">
        <f>-(MIN(0.107,U76))</f>
        <v/>
      </c>
    </row>
    <row r="62">
      <c r="A62" s="165" t="inlineStr">
        <is>
          <t>Scheduled DDTL amortization</t>
        </is>
      </c>
      <c r="B62" s="165" t="inlineStr">
        <is>
          <t>$mm</t>
        </is>
      </c>
      <c r="C62" s="242">
        <f>-(IF(0&gt;0,MIN(0.015,0),0))</f>
        <v/>
      </c>
      <c r="D62" s="242">
        <f>-(IF(C77&gt;0,MIN(0.015,C77),0))</f>
        <v/>
      </c>
      <c r="E62" s="242">
        <f>-(IF(D77&gt;0,MIN(0.015,D77),0))</f>
        <v/>
      </c>
      <c r="F62" s="242">
        <f>-(IF(E77&gt;0,MIN(0.015,E77),0))</f>
        <v/>
      </c>
      <c r="G62" s="242">
        <f>-(IF(F77&gt;0,MIN(0.015,F77),0))</f>
        <v/>
      </c>
      <c r="H62" s="242">
        <f>-(IF(G77&gt;0,MIN(0.015,G77),0))</f>
        <v/>
      </c>
      <c r="I62" s="242">
        <f>-(IF(H77&gt;0,MIN(0.015,H77),0))</f>
        <v/>
      </c>
      <c r="J62" s="242">
        <f>-(IF(I77&gt;0,MIN(0.015,I77),0))</f>
        <v/>
      </c>
      <c r="K62" s="242">
        <f>-(IF(J77&gt;0,MIN(0.015,J77),0))</f>
        <v/>
      </c>
      <c r="L62" s="242">
        <f>-(IF(K77&gt;0,MIN(0.015,K77),0))</f>
        <v/>
      </c>
      <c r="M62" s="242">
        <f>-(IF(L77&gt;0,MIN(0.015,L77),0))</f>
        <v/>
      </c>
      <c r="N62" s="242">
        <f>-(IF(M77&gt;0,MIN(0.015,M77),0))</f>
        <v/>
      </c>
      <c r="O62" s="242">
        <f>-(IF(N77&gt;0,MIN(0.015,N77),0))</f>
        <v/>
      </c>
      <c r="P62" s="242">
        <f>-(IF(O77&gt;0,MIN(0.015,O77),0))</f>
        <v/>
      </c>
      <c r="Q62" s="242">
        <f>-(IF(P77&gt;0,MIN(0.015,P77),0))</f>
        <v/>
      </c>
      <c r="R62" s="242">
        <f>-(IF(Q77&gt;0,MIN(0.015,Q77),0))</f>
        <v/>
      </c>
      <c r="S62" s="242">
        <f>-(IF(R77&gt;0,MIN(0.015,R77),0))</f>
        <v/>
      </c>
      <c r="T62" s="242">
        <f>-(IF(S77&gt;0,MIN(0.015,S77),0))</f>
        <v/>
      </c>
      <c r="U62" s="242">
        <f>-(IF(T77&gt;0,MIN(0.015,T77),0))</f>
        <v/>
      </c>
      <c r="V62" s="242">
        <f>-(IF(U77&gt;0,MIN(0.015,U77),0))</f>
        <v/>
      </c>
    </row>
    <row r="63">
      <c r="A63" s="165" t="inlineStr">
        <is>
          <t>ECF sweep</t>
        </is>
      </c>
      <c r="B63" s="165" t="inlineStr">
        <is>
          <t>$mm</t>
        </is>
      </c>
      <c r="C63" s="242">
        <f>-(0)</f>
        <v/>
      </c>
      <c r="D63" s="242">
        <f>-(0)</f>
        <v/>
      </c>
      <c r="E63" s="242">
        <f>-(MIN((MAX(0,D76+E61)),MAX(0,((D67+E52+E56+E57+E58+E61+E62)+E59+E60)-'Scenario_Drivers'!E63))*(IF((((MAX(0,D76+E61))+(MAX(0,D77+E58+E62))+(D78+E59+E60)-MIN(((D67+E52+E56+E57+E58+E61+E62)+E59+E60),Inputs!$B$19))/MAX(0.001,(SUM(C14:E14))))&gt;3.0,50%,IF((((MAX(0,D76+E61))+(MAX(0,D77+E58+E62))+(D78+E59+E60)-MIN(((D67+E52+E56+E57+E58+E61+E62)+E59+E60),Inputs!$B$19))/MAX(0.001,(SUM(C14:E14))))&gt;2.5,25%,0%))))</f>
        <v/>
      </c>
      <c r="F63" s="242">
        <f>-(0)</f>
        <v/>
      </c>
      <c r="G63" s="242">
        <f>-(0)</f>
        <v/>
      </c>
      <c r="H63" s="242">
        <f>-(0)</f>
        <v/>
      </c>
      <c r="I63" s="242">
        <f>-(MIN((MAX(0,H76+I61)),MAX(0,((H67+I52+I56+I57+I58+I61+I62)+I59+I60)-'Scenario_Drivers'!I63))*(IF((((MAX(0,H76+I61))+(MAX(0,H77+I58+I62))+(H78+I59+I60)-MIN(((H67+I52+I56+I57+I58+I61+I62)+I59+I60),Inputs!$B$19))/MAX(0.001,(SUM(F14:I14))))&gt;3.0,50%,IF((((MAX(0,H76+I61))+(MAX(0,H77+I58+I62))+(H78+I59+I60)-MIN(((H67+I52+I56+I57+I58+I61+I62)+I59+I60),Inputs!$B$19))/MAX(0.001,(SUM(F14:I14))))&gt;2.5,25%,0%))))</f>
        <v/>
      </c>
      <c r="J63" s="242">
        <f>-(0)</f>
        <v/>
      </c>
      <c r="K63" s="242">
        <f>-(0)</f>
        <v/>
      </c>
      <c r="L63" s="242">
        <f>-(0)</f>
        <v/>
      </c>
      <c r="M63" s="242">
        <f>-(MIN((MAX(0,L76+M61)),MAX(0,((L67+M52+M56+M57+M58+M61+M62)+M59+M60)-'Scenario_Drivers'!M63))*(IF((((MAX(0,L76+M61))+(MAX(0,L77+M58+M62))+(L78+M59+M60)-MIN(((L67+M52+M56+M57+M58+M61+M62)+M59+M60),Inputs!$B$19))/MAX(0.001,(SUM(J14:M14))))&gt;3.0,50%,IF((((MAX(0,L76+M61))+(MAX(0,L77+M58+M62))+(L78+M59+M60)-MIN(((L67+M52+M56+M57+M58+M61+M62)+M59+M60),Inputs!$B$19))/MAX(0.001,(SUM(J14:M14))))&gt;2.5,25%,0%))))</f>
        <v/>
      </c>
      <c r="N63" s="242">
        <f>-(0)</f>
        <v/>
      </c>
      <c r="O63" s="242">
        <f>-(0)</f>
        <v/>
      </c>
      <c r="P63" s="242">
        <f>-(0)</f>
        <v/>
      </c>
      <c r="Q63" s="242">
        <f>-(MIN((MAX(0,P76+Q61)),MAX(0,((P67+Q52+Q56+Q57+Q58+Q61+Q62)+Q59+Q60)-'Scenario_Drivers'!Q63))*(IF((((MAX(0,P76+Q61))+(MAX(0,P77+Q58+Q62))+(P78+Q59+Q60)-MIN(((P67+Q52+Q56+Q57+Q58+Q61+Q62)+Q59+Q60),Inputs!$B$19))/MAX(0.001,(SUM(N14:Q14))))&gt;3.0,50%,IF((((MAX(0,P76+Q61))+(MAX(0,P77+Q58+Q62))+(P78+Q59+Q60)-MIN(((P67+Q52+Q56+Q57+Q58+Q61+Q62)+Q59+Q60),Inputs!$B$19))/MAX(0.001,(SUM(N14:Q14))))&gt;2.5,25%,0%))))</f>
        <v/>
      </c>
      <c r="R63" s="242">
        <f>-(0)</f>
        <v/>
      </c>
      <c r="S63" s="242">
        <f>-(0)</f>
        <v/>
      </c>
      <c r="T63" s="242">
        <f>-(0)</f>
        <v/>
      </c>
      <c r="U63" s="242">
        <f>-(MIN((MAX(0,T76+U61)),MAX(0,((T67+U52+U56+U57+U58+U61+U62)+U59+U60)-'Scenario_Drivers'!U63))*(IF((((MAX(0,T76+U61))+(MAX(0,T77+U58+U62))+(T78+U59+U60)-MIN(((T67+U52+U56+U57+U58+U61+U62)+U59+U60),Inputs!$B$19))/MAX(0.001,(SUM(R14:U14))))&gt;3.0,50%,IF((((MAX(0,T76+U61))+(MAX(0,T77+U58+U62))+(T78+U59+U60)-MIN(((T67+U52+U56+U57+U58+U61+U62)+U59+U60),Inputs!$B$19))/MAX(0.001,(SUM(R14:U14))))&gt;2.5,25%,0%))))</f>
        <v/>
      </c>
      <c r="V63" s="242">
        <f>-(0)</f>
        <v/>
      </c>
    </row>
    <row r="64">
      <c r="A64" s="165" t="inlineStr">
        <is>
          <t>Cash from financing</t>
        </is>
      </c>
      <c r="B64" s="165" t="inlineStr">
        <is>
          <t>$mm</t>
        </is>
      </c>
      <c r="C64" s="242">
        <f>SUM(C57:C63)</f>
        <v/>
      </c>
      <c r="D64" s="242">
        <f>SUM(D57:D63)</f>
        <v/>
      </c>
      <c r="E64" s="242">
        <f>SUM(E57:E63)</f>
        <v/>
      </c>
      <c r="F64" s="242">
        <f>SUM(F57:F63)</f>
        <v/>
      </c>
      <c r="G64" s="242">
        <f>SUM(G57:G63)</f>
        <v/>
      </c>
      <c r="H64" s="242">
        <f>SUM(H57:H63)</f>
        <v/>
      </c>
      <c r="I64" s="242">
        <f>SUM(I57:I63)</f>
        <v/>
      </c>
      <c r="J64" s="242">
        <f>SUM(J57:J63)</f>
        <v/>
      </c>
      <c r="K64" s="242">
        <f>SUM(K57:K63)</f>
        <v/>
      </c>
      <c r="L64" s="242">
        <f>SUM(L57:L63)</f>
        <v/>
      </c>
      <c r="M64" s="242">
        <f>SUM(M57:M63)</f>
        <v/>
      </c>
      <c r="N64" s="242">
        <f>SUM(N57:N63)</f>
        <v/>
      </c>
      <c r="O64" s="242">
        <f>SUM(O57:O63)</f>
        <v/>
      </c>
      <c r="P64" s="242">
        <f>SUM(P57:P63)</f>
        <v/>
      </c>
      <c r="Q64" s="242">
        <f>SUM(Q57:Q63)</f>
        <v/>
      </c>
      <c r="R64" s="242">
        <f>SUM(R57:R63)</f>
        <v/>
      </c>
      <c r="S64" s="242">
        <f>SUM(S57:S63)</f>
        <v/>
      </c>
      <c r="T64" s="242">
        <f>SUM(T57:T63)</f>
        <v/>
      </c>
      <c r="U64" s="242">
        <f>SUM(U57:U63)</f>
        <v/>
      </c>
      <c r="V64" s="242">
        <f>SUM(V57:V63)</f>
        <v/>
      </c>
    </row>
    <row r="65">
      <c r="A65" s="165" t="inlineStr">
        <is>
          <t>Net change in cash</t>
        </is>
      </c>
      <c r="B65" s="165" t="inlineStr">
        <is>
          <t>$mm</t>
        </is>
      </c>
      <c r="C65" s="242">
        <f>C52+C56+C64</f>
        <v/>
      </c>
      <c r="D65" s="242">
        <f>D52+D56+D64</f>
        <v/>
      </c>
      <c r="E65" s="242">
        <f>E52+E56+E64</f>
        <v/>
      </c>
      <c r="F65" s="242">
        <f>F52+F56+F64</f>
        <v/>
      </c>
      <c r="G65" s="242">
        <f>G52+G56+G64</f>
        <v/>
      </c>
      <c r="H65" s="242">
        <f>H52+H56+H64</f>
        <v/>
      </c>
      <c r="I65" s="242">
        <f>I52+I56+I64</f>
        <v/>
      </c>
      <c r="J65" s="242">
        <f>J52+J56+J64</f>
        <v/>
      </c>
      <c r="K65" s="242">
        <f>K52+K56+K64</f>
        <v/>
      </c>
      <c r="L65" s="242">
        <f>L52+L56+L64</f>
        <v/>
      </c>
      <c r="M65" s="242">
        <f>M52+M56+M64</f>
        <v/>
      </c>
      <c r="N65" s="242">
        <f>N52+N56+N64</f>
        <v/>
      </c>
      <c r="O65" s="242">
        <f>O52+O56+O64</f>
        <v/>
      </c>
      <c r="P65" s="242">
        <f>P52+P56+P64</f>
        <v/>
      </c>
      <c r="Q65" s="242">
        <f>Q52+Q56+Q64</f>
        <v/>
      </c>
      <c r="R65" s="242">
        <f>R52+R56+R64</f>
        <v/>
      </c>
      <c r="S65" s="242">
        <f>S52+S56+S64</f>
        <v/>
      </c>
      <c r="T65" s="242">
        <f>T52+T56+T64</f>
        <v/>
      </c>
      <c r="U65" s="242">
        <f>U52+U56+U64</f>
        <v/>
      </c>
      <c r="V65" s="242">
        <f>V52+V56+V64</f>
        <v/>
      </c>
    </row>
    <row r="66">
      <c r="A66" s="165" t="inlineStr">
        <is>
          <t>Beginning cash</t>
        </is>
      </c>
      <c r="B66" s="165" t="inlineStr">
        <is>
          <t>$mm</t>
        </is>
      </c>
      <c r="C66" s="242">
        <f>'S&amp;U_Opening'!$B$15</f>
        <v/>
      </c>
      <c r="D66" s="242">
        <f>C67</f>
        <v/>
      </c>
      <c r="E66" s="242">
        <f>D67</f>
        <v/>
      </c>
      <c r="F66" s="242">
        <f>E67</f>
        <v/>
      </c>
      <c r="G66" s="242">
        <f>F67</f>
        <v/>
      </c>
      <c r="H66" s="242">
        <f>G67</f>
        <v/>
      </c>
      <c r="I66" s="242">
        <f>H67</f>
        <v/>
      </c>
      <c r="J66" s="242">
        <f>I67</f>
        <v/>
      </c>
      <c r="K66" s="242">
        <f>J67</f>
        <v/>
      </c>
      <c r="L66" s="242">
        <f>K67</f>
        <v/>
      </c>
      <c r="M66" s="242">
        <f>L67</f>
        <v/>
      </c>
      <c r="N66" s="242">
        <f>M67</f>
        <v/>
      </c>
      <c r="O66" s="242">
        <f>N67</f>
        <v/>
      </c>
      <c r="P66" s="242">
        <f>O67</f>
        <v/>
      </c>
      <c r="Q66" s="242">
        <f>P67</f>
        <v/>
      </c>
      <c r="R66" s="242">
        <f>Q67</f>
        <v/>
      </c>
      <c r="S66" s="242">
        <f>R67</f>
        <v/>
      </c>
      <c r="T66" s="242">
        <f>S67</f>
        <v/>
      </c>
      <c r="U66" s="242">
        <f>T67</f>
        <v/>
      </c>
      <c r="V66" s="242">
        <f>U67</f>
        <v/>
      </c>
    </row>
    <row r="67">
      <c r="A67" s="165" t="inlineStr">
        <is>
          <t>Ending cash</t>
        </is>
      </c>
      <c r="B67" s="165" t="inlineStr">
        <is>
          <t>$mm</t>
        </is>
      </c>
      <c r="C67" s="242">
        <f>C66+C65</f>
        <v/>
      </c>
      <c r="D67" s="242">
        <f>D66+D65</f>
        <v/>
      </c>
      <c r="E67" s="242">
        <f>E66+E65</f>
        <v/>
      </c>
      <c r="F67" s="242">
        <f>F66+F65</f>
        <v/>
      </c>
      <c r="G67" s="242">
        <f>G66+G65</f>
        <v/>
      </c>
      <c r="H67" s="242">
        <f>H66+H65</f>
        <v/>
      </c>
      <c r="I67" s="242">
        <f>I66+I65</f>
        <v/>
      </c>
      <c r="J67" s="242">
        <f>J66+J65</f>
        <v/>
      </c>
      <c r="K67" s="242">
        <f>K66+K65</f>
        <v/>
      </c>
      <c r="L67" s="242">
        <f>L66+L65</f>
        <v/>
      </c>
      <c r="M67" s="242">
        <f>M66+M65</f>
        <v/>
      </c>
      <c r="N67" s="242">
        <f>N66+N65</f>
        <v/>
      </c>
      <c r="O67" s="242">
        <f>O66+O65</f>
        <v/>
      </c>
      <c r="P67" s="242">
        <f>P66+P65</f>
        <v/>
      </c>
      <c r="Q67" s="242">
        <f>Q66+Q65</f>
        <v/>
      </c>
      <c r="R67" s="242">
        <f>R66+R65</f>
        <v/>
      </c>
      <c r="S67" s="242">
        <f>S66+S65</f>
        <v/>
      </c>
      <c r="T67" s="242">
        <f>T66+T65</f>
        <v/>
      </c>
      <c r="U67" s="242">
        <f>U66+U65</f>
        <v/>
      </c>
      <c r="V67" s="242">
        <f>V66+V65</f>
        <v/>
      </c>
    </row>
    <row r="68">
      <c r="A68" s="39" t="inlineStr">
        <is>
          <t>Balance Sheet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</row>
    <row r="69">
      <c r="A69" s="165" t="inlineStr">
        <is>
          <t>PP&amp;E, net</t>
        </is>
      </c>
      <c r="B69" s="165" t="inlineStr">
        <is>
          <t>$mm</t>
        </is>
      </c>
      <c r="C69" s="242">
        <f>'S&amp;U_Opening'!$B$19+C41+C42-C17</f>
        <v/>
      </c>
      <c r="D69" s="242">
        <f>C69+D41+D42-D17</f>
        <v/>
      </c>
      <c r="E69" s="242">
        <f>D69+E41+E42-E17</f>
        <v/>
      </c>
      <c r="F69" s="242">
        <f>E69+F41+F42-F17</f>
        <v/>
      </c>
      <c r="G69" s="242">
        <f>F69+G41+G42-G17</f>
        <v/>
      </c>
      <c r="H69" s="242">
        <f>G69+H41+H42-H17</f>
        <v/>
      </c>
      <c r="I69" s="242">
        <f>H69+I41+I42-I17</f>
        <v/>
      </c>
      <c r="J69" s="242">
        <f>I69+J41+J42-J17</f>
        <v/>
      </c>
      <c r="K69" s="242">
        <f>J69+K41+K42-K17</f>
        <v/>
      </c>
      <c r="L69" s="242">
        <f>K69+L41+L42-L17</f>
        <v/>
      </c>
      <c r="M69" s="242">
        <f>L69+M41+M42-M17</f>
        <v/>
      </c>
      <c r="N69" s="242">
        <f>M69+N41+N42-N17</f>
        <v/>
      </c>
      <c r="O69" s="242">
        <f>N69+O41+O42-O17</f>
        <v/>
      </c>
      <c r="P69" s="242">
        <f>O69+P41+P42-P17</f>
        <v/>
      </c>
      <c r="Q69" s="242">
        <f>P69+Q41+Q42-Q17</f>
        <v/>
      </c>
      <c r="R69" s="242">
        <f>Q69+R41+R42-R17</f>
        <v/>
      </c>
      <c r="S69" s="242">
        <f>R69+S41+S42-S17</f>
        <v/>
      </c>
      <c r="T69" s="242">
        <f>S69+T41+T42-T17</f>
        <v/>
      </c>
      <c r="U69" s="242">
        <f>T69+U41+U42-U17</f>
        <v/>
      </c>
      <c r="V69" s="242">
        <f>U69+V41+V42-V17</f>
        <v/>
      </c>
    </row>
    <row r="70">
      <c r="A70" s="165" t="inlineStr">
        <is>
          <t>Goodwill</t>
        </is>
      </c>
      <c r="B70" s="165" t="inlineStr">
        <is>
          <t>$mm</t>
        </is>
      </c>
      <c r="C70" s="242">
        <f>'S&amp;U_Opening'!$B$20+'Scenario_Drivers'!C56</f>
        <v/>
      </c>
      <c r="D70" s="242">
        <f>C70+'Scenario_Drivers'!D56</f>
        <v/>
      </c>
      <c r="E70" s="242">
        <f>D70+'Scenario_Drivers'!E56</f>
        <v/>
      </c>
      <c r="F70" s="242">
        <f>E70+'Scenario_Drivers'!F56</f>
        <v/>
      </c>
      <c r="G70" s="242">
        <f>F70+'Scenario_Drivers'!G56</f>
        <v/>
      </c>
      <c r="H70" s="242">
        <f>G70+'Scenario_Drivers'!H56</f>
        <v/>
      </c>
      <c r="I70" s="242">
        <f>H70+'Scenario_Drivers'!I56</f>
        <v/>
      </c>
      <c r="J70" s="242">
        <f>I70+'Scenario_Drivers'!J56</f>
        <v/>
      </c>
      <c r="K70" s="242">
        <f>J70+'Scenario_Drivers'!K56</f>
        <v/>
      </c>
      <c r="L70" s="242">
        <f>K70+'Scenario_Drivers'!L56</f>
        <v/>
      </c>
      <c r="M70" s="242">
        <f>L70+'Scenario_Drivers'!M56</f>
        <v/>
      </c>
      <c r="N70" s="242">
        <f>M70+'Scenario_Drivers'!N56</f>
        <v/>
      </c>
      <c r="O70" s="242">
        <f>N70+'Scenario_Drivers'!O56</f>
        <v/>
      </c>
      <c r="P70" s="242">
        <f>O70+'Scenario_Drivers'!P56</f>
        <v/>
      </c>
      <c r="Q70" s="242">
        <f>P70+'Scenario_Drivers'!Q56</f>
        <v/>
      </c>
      <c r="R70" s="242">
        <f>Q70+'Scenario_Drivers'!R56</f>
        <v/>
      </c>
      <c r="S70" s="242">
        <f>R70+'Scenario_Drivers'!S56</f>
        <v/>
      </c>
      <c r="T70" s="242">
        <f>S70+'Scenario_Drivers'!T56</f>
        <v/>
      </c>
      <c r="U70" s="242">
        <f>T70+'Scenario_Drivers'!U56</f>
        <v/>
      </c>
      <c r="V70" s="242">
        <f>U70+'Scenario_Drivers'!V56</f>
        <v/>
      </c>
    </row>
    <row r="71">
      <c r="A71" s="165" t="inlineStr">
        <is>
          <t>Intangibles, net</t>
        </is>
      </c>
      <c r="B71" s="165" t="inlineStr">
        <is>
          <t>$mm</t>
        </is>
      </c>
      <c r="C71" s="242">
        <f>MAX(0,SUM('S&amp;U_Opening'!$B$21:$B$23)+'Scenario_Drivers'!C55-C18)</f>
        <v/>
      </c>
      <c r="D71" s="242">
        <f>MAX(0,C71+'Scenario_Drivers'!D55-D18)</f>
        <v/>
      </c>
      <c r="E71" s="242">
        <f>MAX(0,D71+'Scenario_Drivers'!E55-E18)</f>
        <v/>
      </c>
      <c r="F71" s="242">
        <f>MAX(0,E71+'Scenario_Drivers'!F55-F18)</f>
        <v/>
      </c>
      <c r="G71" s="242">
        <f>MAX(0,F71+'Scenario_Drivers'!G55-G18)</f>
        <v/>
      </c>
      <c r="H71" s="242">
        <f>MAX(0,G71+'Scenario_Drivers'!H55-H18)</f>
        <v/>
      </c>
      <c r="I71" s="242">
        <f>MAX(0,H71+'Scenario_Drivers'!I55-I18)</f>
        <v/>
      </c>
      <c r="J71" s="242">
        <f>MAX(0,I71+'Scenario_Drivers'!J55-J18)</f>
        <v/>
      </c>
      <c r="K71" s="242">
        <f>MAX(0,J71+'Scenario_Drivers'!K55-K18)</f>
        <v/>
      </c>
      <c r="L71" s="242">
        <f>MAX(0,K71+'Scenario_Drivers'!L55-L18)</f>
        <v/>
      </c>
      <c r="M71" s="242">
        <f>MAX(0,L71+'Scenario_Drivers'!M55-M18)</f>
        <v/>
      </c>
      <c r="N71" s="242">
        <f>MAX(0,M71+'Scenario_Drivers'!N55-N18)</f>
        <v/>
      </c>
      <c r="O71" s="242">
        <f>MAX(0,N71+'Scenario_Drivers'!O55-O18)</f>
        <v/>
      </c>
      <c r="P71" s="242">
        <f>MAX(0,O71+'Scenario_Drivers'!P55-P18)</f>
        <v/>
      </c>
      <c r="Q71" s="242">
        <f>MAX(0,P71+'Scenario_Drivers'!Q55-Q18)</f>
        <v/>
      </c>
      <c r="R71" s="242">
        <f>MAX(0,Q71+'Scenario_Drivers'!R55-R18)</f>
        <v/>
      </c>
      <c r="S71" s="242">
        <f>MAX(0,R71+'Scenario_Drivers'!S55-S18)</f>
        <v/>
      </c>
      <c r="T71" s="242">
        <f>MAX(0,S71+'Scenario_Drivers'!T55-T18)</f>
        <v/>
      </c>
      <c r="U71" s="242">
        <f>MAX(0,T71+'Scenario_Drivers'!U55-U18)</f>
        <v/>
      </c>
      <c r="V71" s="242">
        <f>MAX(0,U71+'Scenario_Drivers'!V55-V18)</f>
        <v/>
      </c>
    </row>
    <row r="72">
      <c r="A72" s="165" t="inlineStr">
        <is>
          <t>Integration asset</t>
        </is>
      </c>
      <c r="B72" s="165" t="inlineStr">
        <is>
          <t>$mm</t>
        </is>
      </c>
      <c r="C72" s="242">
        <f>MAX(0,0+C45-C19)</f>
        <v/>
      </c>
      <c r="D72" s="242">
        <f>MAX(0,C72+D45-D19)</f>
        <v/>
      </c>
      <c r="E72" s="242">
        <f>MAX(0,D72+E45-E19)</f>
        <v/>
      </c>
      <c r="F72" s="242">
        <f>MAX(0,E72+F45-F19)</f>
        <v/>
      </c>
      <c r="G72" s="242">
        <f>MAX(0,F72+G45-G19)</f>
        <v/>
      </c>
      <c r="H72" s="242">
        <f>MAX(0,G72+H45-H19)</f>
        <v/>
      </c>
      <c r="I72" s="242">
        <f>MAX(0,H72+I45-I19)</f>
        <v/>
      </c>
      <c r="J72" s="242">
        <f>MAX(0,I72+J45-J19)</f>
        <v/>
      </c>
      <c r="K72" s="242">
        <f>MAX(0,J72+K45-K19)</f>
        <v/>
      </c>
      <c r="L72" s="242">
        <f>MAX(0,K72+L45-L19)</f>
        <v/>
      </c>
      <c r="M72" s="242">
        <f>MAX(0,L72+M45-M19)</f>
        <v/>
      </c>
      <c r="N72" s="242">
        <f>MAX(0,M72+N45-N19)</f>
        <v/>
      </c>
      <c r="O72" s="242">
        <f>MAX(0,N72+O45-O19)</f>
        <v/>
      </c>
      <c r="P72" s="242">
        <f>MAX(0,O72+P45-P19)</f>
        <v/>
      </c>
      <c r="Q72" s="242">
        <f>MAX(0,P72+Q45-Q19)</f>
        <v/>
      </c>
      <c r="R72" s="242">
        <f>MAX(0,Q72+R45-R19)</f>
        <v/>
      </c>
      <c r="S72" s="242">
        <f>MAX(0,R72+S45-S19)</f>
        <v/>
      </c>
      <c r="T72" s="242">
        <f>MAX(0,S72+T45-T19)</f>
        <v/>
      </c>
      <c r="U72" s="242">
        <f>MAX(0,T72+U45-U19)</f>
        <v/>
      </c>
      <c r="V72" s="242">
        <f>MAX(0,U72+V45-V19)</f>
        <v/>
      </c>
    </row>
    <row r="73">
      <c r="A73" s="165" t="inlineStr">
        <is>
          <t>Deferred financing fees</t>
        </is>
      </c>
      <c r="B73" s="165" t="inlineStr">
        <is>
          <t>$mm</t>
        </is>
      </c>
      <c r="C73" s="242">
        <f>MAX(0,'S&amp;U_Opening'!$B$24-C23)</f>
        <v/>
      </c>
      <c r="D73" s="242">
        <f>MAX(0,C73-D23)</f>
        <v/>
      </c>
      <c r="E73" s="242">
        <f>MAX(0,D73-E23)</f>
        <v/>
      </c>
      <c r="F73" s="242">
        <f>MAX(0,E73-F23)</f>
        <v/>
      </c>
      <c r="G73" s="242">
        <f>MAX(0,F73-G23)</f>
        <v/>
      </c>
      <c r="H73" s="242">
        <f>MAX(0,G73-H23)</f>
        <v/>
      </c>
      <c r="I73" s="242">
        <f>MAX(0,H73-I23)</f>
        <v/>
      </c>
      <c r="J73" s="242">
        <f>MAX(0,I73-J23)</f>
        <v/>
      </c>
      <c r="K73" s="242">
        <f>MAX(0,J73-K23)</f>
        <v/>
      </c>
      <c r="L73" s="242">
        <f>MAX(0,K73-L23)</f>
        <v/>
      </c>
      <c r="M73" s="242">
        <f>MAX(0,L73-M23)</f>
        <v/>
      </c>
      <c r="N73" s="242">
        <f>MAX(0,M73-N23)</f>
        <v/>
      </c>
      <c r="O73" s="242">
        <f>MAX(0,N73-O23)</f>
        <v/>
      </c>
      <c r="P73" s="242">
        <f>MAX(0,O73-P23)</f>
        <v/>
      </c>
      <c r="Q73" s="242">
        <f>MAX(0,P73-Q23)</f>
        <v/>
      </c>
      <c r="R73" s="242">
        <f>MAX(0,Q73-R23)</f>
        <v/>
      </c>
      <c r="S73" s="242">
        <f>MAX(0,R73-S23)</f>
        <v/>
      </c>
      <c r="T73" s="242">
        <f>MAX(0,S73-T23)</f>
        <v/>
      </c>
      <c r="U73" s="242">
        <f>MAX(0,T73-U23)</f>
        <v/>
      </c>
      <c r="V73" s="242">
        <f>MAX(0,U73-V23)</f>
        <v/>
      </c>
    </row>
    <row r="74">
      <c r="A74" s="165" t="inlineStr">
        <is>
          <t>Other assets</t>
        </is>
      </c>
      <c r="B74" s="165" t="inlineStr">
        <is>
          <t>$mm</t>
        </is>
      </c>
      <c r="C74" s="242">
        <f>1.3</f>
        <v/>
      </c>
      <c r="D74" s="242">
        <f>1.3</f>
        <v/>
      </c>
      <c r="E74" s="242">
        <f>1.3</f>
        <v/>
      </c>
      <c r="F74" s="242">
        <f>1.3</f>
        <v/>
      </c>
      <c r="G74" s="242">
        <f>1.3</f>
        <v/>
      </c>
      <c r="H74" s="242">
        <f>1.3</f>
        <v/>
      </c>
      <c r="I74" s="242">
        <f>1.3</f>
        <v/>
      </c>
      <c r="J74" s="242">
        <f>1.3</f>
        <v/>
      </c>
      <c r="K74" s="242">
        <f>1.3</f>
        <v/>
      </c>
      <c r="L74" s="242">
        <f>1.3</f>
        <v/>
      </c>
      <c r="M74" s="242">
        <f>1.3</f>
        <v/>
      </c>
      <c r="N74" s="242">
        <f>1.3</f>
        <v/>
      </c>
      <c r="O74" s="242">
        <f>1.3</f>
        <v/>
      </c>
      <c r="P74" s="242">
        <f>1.3</f>
        <v/>
      </c>
      <c r="Q74" s="242">
        <f>1.3</f>
        <v/>
      </c>
      <c r="R74" s="242">
        <f>1.3</f>
        <v/>
      </c>
      <c r="S74" s="242">
        <f>1.3</f>
        <v/>
      </c>
      <c r="T74" s="242">
        <f>1.3</f>
        <v/>
      </c>
      <c r="U74" s="242">
        <f>1.3</f>
        <v/>
      </c>
      <c r="V74" s="242">
        <f>1.3</f>
        <v/>
      </c>
    </row>
    <row r="75">
      <c r="A75" s="165" t="inlineStr">
        <is>
          <t>Total assets</t>
        </is>
      </c>
      <c r="B75" s="165" t="inlineStr">
        <is>
          <t>$mm</t>
        </is>
      </c>
      <c r="C75" s="242">
        <f>SUM(C67,C30,C31,C32,C69,C70,C71,C72,C73,C74)</f>
        <v/>
      </c>
      <c r="D75" s="242">
        <f>SUM(D67,D30,D31,D32,D69,D70,D71,D72,D73,D74)</f>
        <v/>
      </c>
      <c r="E75" s="242">
        <f>SUM(E67,E30,E31,E32,E69,E70,E71,E72,E73,E74)</f>
        <v/>
      </c>
      <c r="F75" s="242">
        <f>SUM(F67,F30,F31,F32,F69,F70,F71,F72,F73,F74)</f>
        <v/>
      </c>
      <c r="G75" s="242">
        <f>SUM(G67,G30,G31,G32,G69,G70,G71,G72,G73,G74)</f>
        <v/>
      </c>
      <c r="H75" s="242">
        <f>SUM(H67,H30,H31,H32,H69,H70,H71,H72,H73,H74)</f>
        <v/>
      </c>
      <c r="I75" s="242">
        <f>SUM(I67,I30,I31,I32,I69,I70,I71,I72,I73,I74)</f>
        <v/>
      </c>
      <c r="J75" s="242">
        <f>SUM(J67,J30,J31,J32,J69,J70,J71,J72,J73,J74)</f>
        <v/>
      </c>
      <c r="K75" s="242">
        <f>SUM(K67,K30,K31,K32,K69,K70,K71,K72,K73,K74)</f>
        <v/>
      </c>
      <c r="L75" s="242">
        <f>SUM(L67,L30,L31,L32,L69,L70,L71,L72,L73,L74)</f>
        <v/>
      </c>
      <c r="M75" s="242">
        <f>SUM(M67,M30,M31,M32,M69,M70,M71,M72,M73,M74)</f>
        <v/>
      </c>
      <c r="N75" s="242">
        <f>SUM(N67,N30,N31,N32,N69,N70,N71,N72,N73,N74)</f>
        <v/>
      </c>
      <c r="O75" s="242">
        <f>SUM(O67,O30,O31,O32,O69,O70,O71,O72,O73,O74)</f>
        <v/>
      </c>
      <c r="P75" s="242">
        <f>SUM(P67,P30,P31,P32,P69,P70,P71,P72,P73,P74)</f>
        <v/>
      </c>
      <c r="Q75" s="242">
        <f>SUM(Q67,Q30,Q31,Q32,Q69,Q70,Q71,Q72,Q73,Q74)</f>
        <v/>
      </c>
      <c r="R75" s="242">
        <f>SUM(R67,R30,R31,R32,R69,R70,R71,R72,R73,R74)</f>
        <v/>
      </c>
      <c r="S75" s="242">
        <f>SUM(S67,S30,S31,S32,S69,S70,S71,S72,S73,S74)</f>
        <v/>
      </c>
      <c r="T75" s="242">
        <f>SUM(T67,T30,T31,T32,T69,T70,T71,T72,T73,T74)</f>
        <v/>
      </c>
      <c r="U75" s="242">
        <f>SUM(U67,U30,U31,U32,U69,U70,U71,U72,U73,U74)</f>
        <v/>
      </c>
      <c r="V75" s="242">
        <f>SUM(V67,V30,V31,V32,V69,V70,V71,V72,V73,V74)</f>
        <v/>
      </c>
    </row>
    <row r="76">
      <c r="A76" s="165" t="inlineStr">
        <is>
          <t>Term loan</t>
        </is>
      </c>
      <c r="B76" s="165" t="inlineStr">
        <is>
          <t>$mm</t>
        </is>
      </c>
      <c r="C76" s="242">
        <f>MAX(0,MAX(0,'S&amp;U_Opening'!$E$18+C61)+C63)</f>
        <v/>
      </c>
      <c r="D76" s="242">
        <f>MAX(0,MAX(0,C76+D61)+D63)</f>
        <v/>
      </c>
      <c r="E76" s="242">
        <f>MAX(0,MAX(0,D76+E61)+E63)</f>
        <v/>
      </c>
      <c r="F76" s="242">
        <f>MAX(0,MAX(0,E76+F61)+F63)</f>
        <v/>
      </c>
      <c r="G76" s="242">
        <f>MAX(0,MAX(0,F76+G61)+G63)</f>
        <v/>
      </c>
      <c r="H76" s="242">
        <f>MAX(0,MAX(0,G76+H61)+H63)</f>
        <v/>
      </c>
      <c r="I76" s="242">
        <f>MAX(0,MAX(0,H76+I61)+I63)</f>
        <v/>
      </c>
      <c r="J76" s="242">
        <f>MAX(0,MAX(0,I76+J61)+J63)</f>
        <v/>
      </c>
      <c r="K76" s="242">
        <f>MAX(0,MAX(0,J76+K61)+K63)</f>
        <v/>
      </c>
      <c r="L76" s="242">
        <f>MAX(0,MAX(0,K76+L61)+L63)</f>
        <v/>
      </c>
      <c r="M76" s="242">
        <f>MAX(0,MAX(0,L76+M61)+M63)</f>
        <v/>
      </c>
      <c r="N76" s="242">
        <f>MAX(0,MAX(0,M76+N61)+N63)</f>
        <v/>
      </c>
      <c r="O76" s="242">
        <f>MAX(0,MAX(0,N76+O61)+O63)</f>
        <v/>
      </c>
      <c r="P76" s="242">
        <f>MAX(0,MAX(0,O76+P61)+P63)</f>
        <v/>
      </c>
      <c r="Q76" s="242">
        <f>MAX(0,MAX(0,P76+Q61)+Q63)</f>
        <v/>
      </c>
      <c r="R76" s="242">
        <f>MAX(0,MAX(0,Q76+R61)+R63)</f>
        <v/>
      </c>
      <c r="S76" s="242">
        <f>MAX(0,MAX(0,R76+S61)+S63)</f>
        <v/>
      </c>
      <c r="T76" s="242">
        <f>MAX(0,MAX(0,S76+T61)+T63)</f>
        <v/>
      </c>
      <c r="U76" s="242">
        <f>MAX(0,MAX(0,T76+U61)+U63)</f>
        <v/>
      </c>
      <c r="V76" s="242">
        <f>MAX(0,MAX(0,U76+V61)+V63)</f>
        <v/>
      </c>
    </row>
    <row r="77">
      <c r="A77" s="165" t="inlineStr">
        <is>
          <t>DDTL</t>
        </is>
      </c>
      <c r="B77" s="165" t="inlineStr">
        <is>
          <t>$mm</t>
        </is>
      </c>
      <c r="C77" s="242">
        <f>MAX(0,0+C58+C62)</f>
        <v/>
      </c>
      <c r="D77" s="242">
        <f>MAX(0,C77+D58+D62)</f>
        <v/>
      </c>
      <c r="E77" s="242">
        <f>MAX(0,D77+E58+E62)</f>
        <v/>
      </c>
      <c r="F77" s="242">
        <f>MAX(0,E77+F58+F62)</f>
        <v/>
      </c>
      <c r="G77" s="242">
        <f>MAX(0,F77+G58+G62)</f>
        <v/>
      </c>
      <c r="H77" s="242">
        <f>MAX(0,G77+H58+H62)</f>
        <v/>
      </c>
      <c r="I77" s="242">
        <f>MAX(0,H77+I58+I62)</f>
        <v/>
      </c>
      <c r="J77" s="242">
        <f>MAX(0,I77+J58+J62)</f>
        <v/>
      </c>
      <c r="K77" s="242">
        <f>MAX(0,J77+K58+K62)</f>
        <v/>
      </c>
      <c r="L77" s="242">
        <f>MAX(0,K77+L58+L62)</f>
        <v/>
      </c>
      <c r="M77" s="242">
        <f>MAX(0,L77+M58+M62)</f>
        <v/>
      </c>
      <c r="N77" s="242">
        <f>MAX(0,M77+N58+N62)</f>
        <v/>
      </c>
      <c r="O77" s="242">
        <f>MAX(0,N77+O58+O62)</f>
        <v/>
      </c>
      <c r="P77" s="242">
        <f>MAX(0,O77+P58+P62)</f>
        <v/>
      </c>
      <c r="Q77" s="242">
        <f>MAX(0,P77+Q58+Q62)</f>
        <v/>
      </c>
      <c r="R77" s="242">
        <f>MAX(0,Q77+R58+R62)</f>
        <v/>
      </c>
      <c r="S77" s="242">
        <f>MAX(0,R77+S58+S62)</f>
        <v/>
      </c>
      <c r="T77" s="242">
        <f>MAX(0,S77+T58+T62)</f>
        <v/>
      </c>
      <c r="U77" s="242">
        <f>MAX(0,T77+U58+U62)</f>
        <v/>
      </c>
      <c r="V77" s="242">
        <f>MAX(0,U77+V58+V62)</f>
        <v/>
      </c>
    </row>
    <row r="78">
      <c r="A78" s="165" t="inlineStr">
        <is>
          <t>Revolver</t>
        </is>
      </c>
      <c r="B78" s="165" t="inlineStr">
        <is>
          <t>$mm</t>
        </is>
      </c>
      <c r="C78" s="242">
        <f>0+C59+C60</f>
        <v/>
      </c>
      <c r="D78" s="242">
        <f>C78+D59+D60</f>
        <v/>
      </c>
      <c r="E78" s="242">
        <f>D78+E59+E60</f>
        <v/>
      </c>
      <c r="F78" s="242">
        <f>E78+F59+F60</f>
        <v/>
      </c>
      <c r="G78" s="242">
        <f>F78+G59+G60</f>
        <v/>
      </c>
      <c r="H78" s="242">
        <f>G78+H59+H60</f>
        <v/>
      </c>
      <c r="I78" s="242">
        <f>H78+I59+I60</f>
        <v/>
      </c>
      <c r="J78" s="242">
        <f>I78+J59+J60</f>
        <v/>
      </c>
      <c r="K78" s="242">
        <f>J78+K59+K60</f>
        <v/>
      </c>
      <c r="L78" s="242">
        <f>K78+L59+L60</f>
        <v/>
      </c>
      <c r="M78" s="242">
        <f>L78+M59+M60</f>
        <v/>
      </c>
      <c r="N78" s="242">
        <f>M78+N59+N60</f>
        <v/>
      </c>
      <c r="O78" s="242">
        <f>N78+O59+O60</f>
        <v/>
      </c>
      <c r="P78" s="242">
        <f>O78+P59+P60</f>
        <v/>
      </c>
      <c r="Q78" s="242">
        <f>P78+Q59+Q60</f>
        <v/>
      </c>
      <c r="R78" s="242">
        <f>Q78+R59+R60</f>
        <v/>
      </c>
      <c r="S78" s="242">
        <f>R78+S59+S60</f>
        <v/>
      </c>
      <c r="T78" s="242">
        <f>S78+T59+T60</f>
        <v/>
      </c>
      <c r="U78" s="242">
        <f>T78+U59+U60</f>
        <v/>
      </c>
      <c r="V78" s="242">
        <f>U78+V59+V60</f>
        <v/>
      </c>
    </row>
    <row r="79">
      <c r="A79" s="165" t="inlineStr">
        <is>
          <t>Accounts payable - BS</t>
        </is>
      </c>
      <c r="B79" s="165" t="inlineStr">
        <is>
          <t>$mm</t>
        </is>
      </c>
      <c r="C79" s="242">
        <f>C33</f>
        <v/>
      </c>
      <c r="D79" s="242">
        <f>D33</f>
        <v/>
      </c>
      <c r="E79" s="242">
        <f>E33</f>
        <v/>
      </c>
      <c r="F79" s="242">
        <f>F33</f>
        <v/>
      </c>
      <c r="G79" s="242">
        <f>G33</f>
        <v/>
      </c>
      <c r="H79" s="242">
        <f>H33</f>
        <v/>
      </c>
      <c r="I79" s="242">
        <f>I33</f>
        <v/>
      </c>
      <c r="J79" s="242">
        <f>J33</f>
        <v/>
      </c>
      <c r="K79" s="242">
        <f>K33</f>
        <v/>
      </c>
      <c r="L79" s="242">
        <f>L33</f>
        <v/>
      </c>
      <c r="M79" s="242">
        <f>M33</f>
        <v/>
      </c>
      <c r="N79" s="242">
        <f>N33</f>
        <v/>
      </c>
      <c r="O79" s="242">
        <f>O33</f>
        <v/>
      </c>
      <c r="P79" s="242">
        <f>P33</f>
        <v/>
      </c>
      <c r="Q79" s="242">
        <f>Q33</f>
        <v/>
      </c>
      <c r="R79" s="242">
        <f>R33</f>
        <v/>
      </c>
      <c r="S79" s="242">
        <f>S33</f>
        <v/>
      </c>
      <c r="T79" s="242">
        <f>T33</f>
        <v/>
      </c>
      <c r="U79" s="242">
        <f>U33</f>
        <v/>
      </c>
      <c r="V79" s="242">
        <f>V33</f>
        <v/>
      </c>
    </row>
    <row r="80">
      <c r="A80" s="165" t="inlineStr">
        <is>
          <t>Accrued liabilities - BS</t>
        </is>
      </c>
      <c r="B80" s="165" t="inlineStr">
        <is>
          <t>$mm</t>
        </is>
      </c>
      <c r="C80" s="242">
        <f>C34</f>
        <v/>
      </c>
      <c r="D80" s="242">
        <f>D34</f>
        <v/>
      </c>
      <c r="E80" s="242">
        <f>E34</f>
        <v/>
      </c>
      <c r="F80" s="242">
        <f>F34</f>
        <v/>
      </c>
      <c r="G80" s="242">
        <f>G34</f>
        <v/>
      </c>
      <c r="H80" s="242">
        <f>H34</f>
        <v/>
      </c>
      <c r="I80" s="242">
        <f>I34</f>
        <v/>
      </c>
      <c r="J80" s="242">
        <f>J34</f>
        <v/>
      </c>
      <c r="K80" s="242">
        <f>K34</f>
        <v/>
      </c>
      <c r="L80" s="242">
        <f>L34</f>
        <v/>
      </c>
      <c r="M80" s="242">
        <f>M34</f>
        <v/>
      </c>
      <c r="N80" s="242">
        <f>N34</f>
        <v/>
      </c>
      <c r="O80" s="242">
        <f>O34</f>
        <v/>
      </c>
      <c r="P80" s="242">
        <f>P34</f>
        <v/>
      </c>
      <c r="Q80" s="242">
        <f>Q34</f>
        <v/>
      </c>
      <c r="R80" s="242">
        <f>R34</f>
        <v/>
      </c>
      <c r="S80" s="242">
        <f>S34</f>
        <v/>
      </c>
      <c r="T80" s="242">
        <f>T34</f>
        <v/>
      </c>
      <c r="U80" s="242">
        <f>U34</f>
        <v/>
      </c>
      <c r="V80" s="242">
        <f>V34</f>
        <v/>
      </c>
    </row>
    <row r="81">
      <c r="A81" s="165" t="inlineStr">
        <is>
          <t>Deferred revenue - BS</t>
        </is>
      </c>
      <c r="B81" s="165" t="inlineStr">
        <is>
          <t>$mm</t>
        </is>
      </c>
      <c r="C81" s="242">
        <f>C35</f>
        <v/>
      </c>
      <c r="D81" s="242">
        <f>D35</f>
        <v/>
      </c>
      <c r="E81" s="242">
        <f>E35</f>
        <v/>
      </c>
      <c r="F81" s="242">
        <f>F35</f>
        <v/>
      </c>
      <c r="G81" s="242">
        <f>G35</f>
        <v/>
      </c>
      <c r="H81" s="242">
        <f>H35</f>
        <v/>
      </c>
      <c r="I81" s="242">
        <f>I35</f>
        <v/>
      </c>
      <c r="J81" s="242">
        <f>J35</f>
        <v/>
      </c>
      <c r="K81" s="242">
        <f>K35</f>
        <v/>
      </c>
      <c r="L81" s="242">
        <f>L35</f>
        <v/>
      </c>
      <c r="M81" s="242">
        <f>M35</f>
        <v/>
      </c>
      <c r="N81" s="242">
        <f>N35</f>
        <v/>
      </c>
      <c r="O81" s="242">
        <f>O35</f>
        <v/>
      </c>
      <c r="P81" s="242">
        <f>P35</f>
        <v/>
      </c>
      <c r="Q81" s="242">
        <f>Q35</f>
        <v/>
      </c>
      <c r="R81" s="242">
        <f>R35</f>
        <v/>
      </c>
      <c r="S81" s="242">
        <f>S35</f>
        <v/>
      </c>
      <c r="T81" s="242">
        <f>T35</f>
        <v/>
      </c>
      <c r="U81" s="242">
        <f>U35</f>
        <v/>
      </c>
      <c r="V81" s="242">
        <f>V35</f>
        <v/>
      </c>
    </row>
    <row r="82">
      <c r="A82" s="165" t="inlineStr">
        <is>
          <t>Deferred tax liability</t>
        </is>
      </c>
      <c r="B82" s="165" t="inlineStr">
        <is>
          <t>$mm</t>
        </is>
      </c>
      <c r="C82" s="242">
        <f>MAX(0,'S&amp;U_Opening'!$E$19+'Scenario_Drivers'!C57-C26+C27)</f>
        <v/>
      </c>
      <c r="D82" s="242">
        <f>MAX(0,C82+'Scenario_Drivers'!D57-D26+D27)</f>
        <v/>
      </c>
      <c r="E82" s="242">
        <f>MAX(0,D82+'Scenario_Drivers'!E57-E26+E27)</f>
        <v/>
      </c>
      <c r="F82" s="242">
        <f>MAX(0,E82+'Scenario_Drivers'!F57-F26+F27)</f>
        <v/>
      </c>
      <c r="G82" s="242">
        <f>MAX(0,F82+'Scenario_Drivers'!G57-G26+G27)</f>
        <v/>
      </c>
      <c r="H82" s="242">
        <f>MAX(0,G82+'Scenario_Drivers'!H57-H26+H27)</f>
        <v/>
      </c>
      <c r="I82" s="242">
        <f>MAX(0,H82+'Scenario_Drivers'!I57-I26+I27)</f>
        <v/>
      </c>
      <c r="J82" s="242">
        <f>MAX(0,I82+'Scenario_Drivers'!J57-J26+J27)</f>
        <v/>
      </c>
      <c r="K82" s="242">
        <f>MAX(0,J82+'Scenario_Drivers'!K57-K26+K27)</f>
        <v/>
      </c>
      <c r="L82" s="242">
        <f>MAX(0,K82+'Scenario_Drivers'!L57-L26+L27)</f>
        <v/>
      </c>
      <c r="M82" s="242">
        <f>MAX(0,L82+'Scenario_Drivers'!M57-M26+M27)</f>
        <v/>
      </c>
      <c r="N82" s="242">
        <f>MAX(0,M82+'Scenario_Drivers'!N57-N26+N27)</f>
        <v/>
      </c>
      <c r="O82" s="242">
        <f>MAX(0,N82+'Scenario_Drivers'!O57-O26+O27)</f>
        <v/>
      </c>
      <c r="P82" s="242">
        <f>MAX(0,O82+'Scenario_Drivers'!P57-P26+P27)</f>
        <v/>
      </c>
      <c r="Q82" s="242">
        <f>MAX(0,P82+'Scenario_Drivers'!Q57-Q26+Q27)</f>
        <v/>
      </c>
      <c r="R82" s="242">
        <f>MAX(0,Q82+'Scenario_Drivers'!R57-R26+R27)</f>
        <v/>
      </c>
      <c r="S82" s="242">
        <f>MAX(0,R82+'Scenario_Drivers'!S57-S26+S27)</f>
        <v/>
      </c>
      <c r="T82" s="242">
        <f>MAX(0,S82+'Scenario_Drivers'!T57-T26+T27)</f>
        <v/>
      </c>
      <c r="U82" s="242">
        <f>MAX(0,T82+'Scenario_Drivers'!U57-U26+U27)</f>
        <v/>
      </c>
      <c r="V82" s="242">
        <f>MAX(0,U82+'Scenario_Drivers'!V57-V26+V27)</f>
        <v/>
      </c>
    </row>
    <row r="83">
      <c r="A83" s="165" t="inlineStr">
        <is>
          <t>Other liabilities</t>
        </is>
      </c>
      <c r="B83" s="165" t="inlineStr">
        <is>
          <t>$mm</t>
        </is>
      </c>
      <c r="C83" s="242">
        <f>'S&amp;U_Opening'!$E$20+'Scenario_Drivers'!C58</f>
        <v/>
      </c>
      <c r="D83" s="242">
        <f>C83+'Scenario_Drivers'!D58</f>
        <v/>
      </c>
      <c r="E83" s="242">
        <f>D83+'Scenario_Drivers'!E58</f>
        <v/>
      </c>
      <c r="F83" s="242">
        <f>E83+'Scenario_Drivers'!F58</f>
        <v/>
      </c>
      <c r="G83" s="242">
        <f>F83+'Scenario_Drivers'!G58</f>
        <v/>
      </c>
      <c r="H83" s="242">
        <f>G83+'Scenario_Drivers'!H58</f>
        <v/>
      </c>
      <c r="I83" s="242">
        <f>H83+'Scenario_Drivers'!I58</f>
        <v/>
      </c>
      <c r="J83" s="242">
        <f>I83+'Scenario_Drivers'!J58</f>
        <v/>
      </c>
      <c r="K83" s="242">
        <f>J83+'Scenario_Drivers'!K58</f>
        <v/>
      </c>
      <c r="L83" s="242">
        <f>K83+'Scenario_Drivers'!L58</f>
        <v/>
      </c>
      <c r="M83" s="242">
        <f>L83+'Scenario_Drivers'!M58</f>
        <v/>
      </c>
      <c r="N83" s="242">
        <f>M83+'Scenario_Drivers'!N58</f>
        <v/>
      </c>
      <c r="O83" s="242">
        <f>N83+'Scenario_Drivers'!O58</f>
        <v/>
      </c>
      <c r="P83" s="242">
        <f>O83+'Scenario_Drivers'!P58</f>
        <v/>
      </c>
      <c r="Q83" s="242">
        <f>P83+'Scenario_Drivers'!Q58</f>
        <v/>
      </c>
      <c r="R83" s="242">
        <f>Q83+'Scenario_Drivers'!R58</f>
        <v/>
      </c>
      <c r="S83" s="242">
        <f>R83+'Scenario_Drivers'!S58</f>
        <v/>
      </c>
      <c r="T83" s="242">
        <f>S83+'Scenario_Drivers'!T58</f>
        <v/>
      </c>
      <c r="U83" s="242">
        <f>T83+'Scenario_Drivers'!U58</f>
        <v/>
      </c>
      <c r="V83" s="242">
        <f>U83+'Scenario_Drivers'!V58</f>
        <v/>
      </c>
    </row>
    <row r="84">
      <c r="A84" s="165" t="inlineStr">
        <is>
          <t>Total liabilities</t>
        </is>
      </c>
      <c r="B84" s="165" t="inlineStr">
        <is>
          <t>$mm</t>
        </is>
      </c>
      <c r="C84" s="242">
        <f>SUM(C76:C83)</f>
        <v/>
      </c>
      <c r="D84" s="242">
        <f>SUM(D76:D83)</f>
        <v/>
      </c>
      <c r="E84" s="242">
        <f>SUM(E76:E83)</f>
        <v/>
      </c>
      <c r="F84" s="242">
        <f>SUM(F76:F83)</f>
        <v/>
      </c>
      <c r="G84" s="242">
        <f>SUM(G76:G83)</f>
        <v/>
      </c>
      <c r="H84" s="242">
        <f>SUM(H76:H83)</f>
        <v/>
      </c>
      <c r="I84" s="242">
        <f>SUM(I76:I83)</f>
        <v/>
      </c>
      <c r="J84" s="242">
        <f>SUM(J76:J83)</f>
        <v/>
      </c>
      <c r="K84" s="242">
        <f>SUM(K76:K83)</f>
        <v/>
      </c>
      <c r="L84" s="242">
        <f>SUM(L76:L83)</f>
        <v/>
      </c>
      <c r="M84" s="242">
        <f>SUM(M76:M83)</f>
        <v/>
      </c>
      <c r="N84" s="242">
        <f>SUM(N76:N83)</f>
        <v/>
      </c>
      <c r="O84" s="242">
        <f>SUM(O76:O83)</f>
        <v/>
      </c>
      <c r="P84" s="242">
        <f>SUM(P76:P83)</f>
        <v/>
      </c>
      <c r="Q84" s="242">
        <f>SUM(Q76:Q83)</f>
        <v/>
      </c>
      <c r="R84" s="242">
        <f>SUM(R76:R83)</f>
        <v/>
      </c>
      <c r="S84" s="242">
        <f>SUM(S76:S83)</f>
        <v/>
      </c>
      <c r="T84" s="242">
        <f>SUM(T76:T83)</f>
        <v/>
      </c>
      <c r="U84" s="242">
        <f>SUM(U76:U83)</f>
        <v/>
      </c>
      <c r="V84" s="242">
        <f>SUM(V76:V83)</f>
        <v/>
      </c>
    </row>
    <row r="85">
      <c r="A85" s="165" t="inlineStr">
        <is>
          <t>Equity</t>
        </is>
      </c>
      <c r="B85" s="165" t="inlineStr">
        <is>
          <t>$mm</t>
        </is>
      </c>
      <c r="C85" s="242">
        <f>'S&amp;U_Opening'!$E$21+C28+C57</f>
        <v/>
      </c>
      <c r="D85" s="242">
        <f>C85+D28+D57</f>
        <v/>
      </c>
      <c r="E85" s="242">
        <f>D85+E28+E57</f>
        <v/>
      </c>
      <c r="F85" s="242">
        <f>E85+F28+F57</f>
        <v/>
      </c>
      <c r="G85" s="242">
        <f>F85+G28+G57</f>
        <v/>
      </c>
      <c r="H85" s="242">
        <f>G85+H28+H57</f>
        <v/>
      </c>
      <c r="I85" s="242">
        <f>H85+I28+I57</f>
        <v/>
      </c>
      <c r="J85" s="242">
        <f>I85+J28+J57</f>
        <v/>
      </c>
      <c r="K85" s="242">
        <f>J85+K28+K57</f>
        <v/>
      </c>
      <c r="L85" s="242">
        <f>K85+L28+L57</f>
        <v/>
      </c>
      <c r="M85" s="242">
        <f>L85+M28+M57</f>
        <v/>
      </c>
      <c r="N85" s="242">
        <f>M85+N28+N57</f>
        <v/>
      </c>
      <c r="O85" s="242">
        <f>N85+O28+O57</f>
        <v/>
      </c>
      <c r="P85" s="242">
        <f>O85+P28+P57</f>
        <v/>
      </c>
      <c r="Q85" s="242">
        <f>P85+Q28+Q57</f>
        <v/>
      </c>
      <c r="R85" s="242">
        <f>Q85+R28+R57</f>
        <v/>
      </c>
      <c r="S85" s="242">
        <f>R85+S28+S57</f>
        <v/>
      </c>
      <c r="T85" s="242">
        <f>S85+T28+T57</f>
        <v/>
      </c>
      <c r="U85" s="242">
        <f>T85+U28+U57</f>
        <v/>
      </c>
      <c r="V85" s="242">
        <f>U85+V28+V57</f>
        <v/>
      </c>
    </row>
    <row r="86">
      <c r="A86" s="165" t="inlineStr">
        <is>
          <t>Total liabilities &amp; equity</t>
        </is>
      </c>
      <c r="B86" s="165" t="inlineStr">
        <is>
          <t>$mm</t>
        </is>
      </c>
      <c r="C86" s="242">
        <f>C84+C85</f>
        <v/>
      </c>
      <c r="D86" s="242">
        <f>D84+D85</f>
        <v/>
      </c>
      <c r="E86" s="242">
        <f>E84+E85</f>
        <v/>
      </c>
      <c r="F86" s="242">
        <f>F84+F85</f>
        <v/>
      </c>
      <c r="G86" s="242">
        <f>G84+G85</f>
        <v/>
      </c>
      <c r="H86" s="242">
        <f>H84+H85</f>
        <v/>
      </c>
      <c r="I86" s="242">
        <f>I84+I85</f>
        <v/>
      </c>
      <c r="J86" s="242">
        <f>J84+J85</f>
        <v/>
      </c>
      <c r="K86" s="242">
        <f>K84+K85</f>
        <v/>
      </c>
      <c r="L86" s="242">
        <f>L84+L85</f>
        <v/>
      </c>
      <c r="M86" s="242">
        <f>M84+M85</f>
        <v/>
      </c>
      <c r="N86" s="242">
        <f>N84+N85</f>
        <v/>
      </c>
      <c r="O86" s="242">
        <f>O84+O85</f>
        <v/>
      </c>
      <c r="P86" s="242">
        <f>P84+P85</f>
        <v/>
      </c>
      <c r="Q86" s="242">
        <f>Q84+Q85</f>
        <v/>
      </c>
      <c r="R86" s="242">
        <f>R84+R85</f>
        <v/>
      </c>
      <c r="S86" s="242">
        <f>S84+S85</f>
        <v/>
      </c>
      <c r="T86" s="242">
        <f>T84+T85</f>
        <v/>
      </c>
      <c r="U86" s="242">
        <f>U84+U85</f>
        <v/>
      </c>
      <c r="V86" s="242">
        <f>V84+V85</f>
        <v/>
      </c>
    </row>
    <row r="87">
      <c r="A87" s="165" t="inlineStr">
        <is>
          <t>Balance sheet check</t>
        </is>
      </c>
      <c r="B87" s="165" t="inlineStr">
        <is>
          <t>$mm</t>
        </is>
      </c>
      <c r="C87" s="242">
        <f>C75-C86</f>
        <v/>
      </c>
      <c r="D87" s="242">
        <f>D75-D86</f>
        <v/>
      </c>
      <c r="E87" s="242">
        <f>E75-E86</f>
        <v/>
      </c>
      <c r="F87" s="242">
        <f>F75-F86</f>
        <v/>
      </c>
      <c r="G87" s="242">
        <f>G75-G86</f>
        <v/>
      </c>
      <c r="H87" s="242">
        <f>H75-H86</f>
        <v/>
      </c>
      <c r="I87" s="242">
        <f>I75-I86</f>
        <v/>
      </c>
      <c r="J87" s="242">
        <f>J75-J86</f>
        <v/>
      </c>
      <c r="K87" s="242">
        <f>K75-K86</f>
        <v/>
      </c>
      <c r="L87" s="242">
        <f>L75-L86</f>
        <v/>
      </c>
      <c r="M87" s="242">
        <f>M75-M86</f>
        <v/>
      </c>
      <c r="N87" s="242">
        <f>N75-N86</f>
        <v/>
      </c>
      <c r="O87" s="242">
        <f>O75-O86</f>
        <v/>
      </c>
      <c r="P87" s="242">
        <f>P75-P86</f>
        <v/>
      </c>
      <c r="Q87" s="242">
        <f>Q75-Q86</f>
        <v/>
      </c>
      <c r="R87" s="242">
        <f>R75-R86</f>
        <v/>
      </c>
      <c r="S87" s="242">
        <f>S75-S86</f>
        <v/>
      </c>
      <c r="T87" s="242">
        <f>T75-T86</f>
        <v/>
      </c>
      <c r="U87" s="242">
        <f>U75-U86</f>
        <v/>
      </c>
      <c r="V87" s="242">
        <f>V75-V86</f>
        <v/>
      </c>
    </row>
    <row r="88">
      <c r="A88" s="39" t="inlineStr">
        <is>
          <t>Debt and Covenant Metrics</t>
        </is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</row>
    <row r="89">
      <c r="A89" s="165" t="inlineStr">
        <is>
          <t>Gross debt</t>
        </is>
      </c>
      <c r="B89" s="165" t="inlineStr">
        <is>
          <t>$mm</t>
        </is>
      </c>
      <c r="C89" s="242">
        <f>SUM(C76:C78)</f>
        <v/>
      </c>
      <c r="D89" s="242">
        <f>SUM(D76:D78)</f>
        <v/>
      </c>
      <c r="E89" s="242">
        <f>SUM(E76:E78)</f>
        <v/>
      </c>
      <c r="F89" s="242">
        <f>SUM(F76:F78)</f>
        <v/>
      </c>
      <c r="G89" s="242">
        <f>SUM(G76:G78)</f>
        <v/>
      </c>
      <c r="H89" s="242">
        <f>SUM(H76:H78)</f>
        <v/>
      </c>
      <c r="I89" s="242">
        <f>SUM(I76:I78)</f>
        <v/>
      </c>
      <c r="J89" s="242">
        <f>SUM(J76:J78)</f>
        <v/>
      </c>
      <c r="K89" s="242">
        <f>SUM(K76:K78)</f>
        <v/>
      </c>
      <c r="L89" s="242">
        <f>SUM(L76:L78)</f>
        <v/>
      </c>
      <c r="M89" s="242">
        <f>SUM(M76:M78)</f>
        <v/>
      </c>
      <c r="N89" s="242">
        <f>SUM(N76:N78)</f>
        <v/>
      </c>
      <c r="O89" s="242">
        <f>SUM(O76:O78)</f>
        <v/>
      </c>
      <c r="P89" s="242">
        <f>SUM(P76:P78)</f>
        <v/>
      </c>
      <c r="Q89" s="242">
        <f>SUM(Q76:Q78)</f>
        <v/>
      </c>
      <c r="R89" s="242">
        <f>SUM(R76:R78)</f>
        <v/>
      </c>
      <c r="S89" s="242">
        <f>SUM(S76:S78)</f>
        <v/>
      </c>
      <c r="T89" s="242">
        <f>SUM(T76:T78)</f>
        <v/>
      </c>
      <c r="U89" s="242">
        <f>SUM(U76:U78)</f>
        <v/>
      </c>
      <c r="V89" s="242">
        <f>SUM(V76:V78)</f>
        <v/>
      </c>
    </row>
    <row r="90">
      <c r="A90" s="165" t="inlineStr">
        <is>
          <t>Eligible cash</t>
        </is>
      </c>
      <c r="B90" s="165" t="inlineStr">
        <is>
          <t>$mm</t>
        </is>
      </c>
      <c r="C90" s="242">
        <f>MIN(C67,Inputs!$B$19)</f>
        <v/>
      </c>
      <c r="D90" s="242">
        <f>MIN(D67,Inputs!$B$19)</f>
        <v/>
      </c>
      <c r="E90" s="242">
        <f>MIN(E67,Inputs!$B$19)</f>
        <v/>
      </c>
      <c r="F90" s="242">
        <f>MIN(F67,Inputs!$B$19)</f>
        <v/>
      </c>
      <c r="G90" s="242">
        <f>MIN(G67,Inputs!$B$19)</f>
        <v/>
      </c>
      <c r="H90" s="242">
        <f>MIN(H67,Inputs!$B$19)</f>
        <v/>
      </c>
      <c r="I90" s="242">
        <f>MIN(I67,Inputs!$B$19)</f>
        <v/>
      </c>
      <c r="J90" s="242">
        <f>MIN(J67,Inputs!$B$19)</f>
        <v/>
      </c>
      <c r="K90" s="242">
        <f>MIN(K67,Inputs!$B$19)</f>
        <v/>
      </c>
      <c r="L90" s="242">
        <f>MIN(L67,Inputs!$B$19)</f>
        <v/>
      </c>
      <c r="M90" s="242">
        <f>MIN(M67,Inputs!$B$19)</f>
        <v/>
      </c>
      <c r="N90" s="242">
        <f>MIN(N67,Inputs!$B$19)</f>
        <v/>
      </c>
      <c r="O90" s="242">
        <f>MIN(O67,Inputs!$B$19)</f>
        <v/>
      </c>
      <c r="P90" s="242">
        <f>MIN(P67,Inputs!$B$19)</f>
        <v/>
      </c>
      <c r="Q90" s="242">
        <f>MIN(Q67,Inputs!$B$19)</f>
        <v/>
      </c>
      <c r="R90" s="242">
        <f>MIN(R67,Inputs!$B$19)</f>
        <v/>
      </c>
      <c r="S90" s="242">
        <f>MIN(S67,Inputs!$B$19)</f>
        <v/>
      </c>
      <c r="T90" s="242">
        <f>MIN(T67,Inputs!$B$19)</f>
        <v/>
      </c>
      <c r="U90" s="242">
        <f>MIN(U67,Inputs!$B$19)</f>
        <v/>
      </c>
      <c r="V90" s="242">
        <f>MIN(V67,Inputs!$B$19)</f>
        <v/>
      </c>
    </row>
    <row r="91">
      <c r="A91" s="165" t="inlineStr">
        <is>
          <t>Covenant net debt</t>
        </is>
      </c>
      <c r="B91" s="165" t="inlineStr">
        <is>
          <t>$mm</t>
        </is>
      </c>
      <c r="C91" s="242">
        <f>C89-C90</f>
        <v/>
      </c>
      <c r="D91" s="242">
        <f>D89-D90</f>
        <v/>
      </c>
      <c r="E91" s="242">
        <f>E89-E90</f>
        <v/>
      </c>
      <c r="F91" s="242">
        <f>F89-F90</f>
        <v/>
      </c>
      <c r="G91" s="242">
        <f>G89-G90</f>
        <v/>
      </c>
      <c r="H91" s="242">
        <f>H89-H90</f>
        <v/>
      </c>
      <c r="I91" s="242">
        <f>I89-I90</f>
        <v/>
      </c>
      <c r="J91" s="242">
        <f>J89-J90</f>
        <v/>
      </c>
      <c r="K91" s="242">
        <f>K89-K90</f>
        <v/>
      </c>
      <c r="L91" s="242">
        <f>L89-L90</f>
        <v/>
      </c>
      <c r="M91" s="242">
        <f>M89-M90</f>
        <v/>
      </c>
      <c r="N91" s="242">
        <f>N89-N90</f>
        <v/>
      </c>
      <c r="O91" s="242">
        <f>O89-O90</f>
        <v/>
      </c>
      <c r="P91" s="242">
        <f>P89-P90</f>
        <v/>
      </c>
      <c r="Q91" s="242">
        <f>Q89-Q90</f>
        <v/>
      </c>
      <c r="R91" s="242">
        <f>R89-R90</f>
        <v/>
      </c>
      <c r="S91" s="242">
        <f>S89-S90</f>
        <v/>
      </c>
      <c r="T91" s="242">
        <f>T89-T90</f>
        <v/>
      </c>
      <c r="U91" s="242">
        <f>U89-U90</f>
        <v/>
      </c>
      <c r="V91" s="242">
        <f>V89-V90</f>
        <v/>
      </c>
    </row>
    <row r="92">
      <c r="A92" s="165" t="inlineStr">
        <is>
          <t>Economic net debt</t>
        </is>
      </c>
      <c r="B92" s="165" t="inlineStr">
        <is>
          <t>$mm</t>
        </is>
      </c>
      <c r="C92" s="242">
        <f>C89-C67</f>
        <v/>
      </c>
      <c r="D92" s="242">
        <f>D89-D67</f>
        <v/>
      </c>
      <c r="E92" s="242">
        <f>E89-E67</f>
        <v/>
      </c>
      <c r="F92" s="242">
        <f>F89-F67</f>
        <v/>
      </c>
      <c r="G92" s="242">
        <f>G89-G67</f>
        <v/>
      </c>
      <c r="H92" s="242">
        <f>H89-H67</f>
        <v/>
      </c>
      <c r="I92" s="242">
        <f>I89-I67</f>
        <v/>
      </c>
      <c r="J92" s="242">
        <f>J89-J67</f>
        <v/>
      </c>
      <c r="K92" s="242">
        <f>K89-K67</f>
        <v/>
      </c>
      <c r="L92" s="242">
        <f>L89-L67</f>
        <v/>
      </c>
      <c r="M92" s="242">
        <f>M89-M67</f>
        <v/>
      </c>
      <c r="N92" s="242">
        <f>N89-N67</f>
        <v/>
      </c>
      <c r="O92" s="242">
        <f>O89-O67</f>
        <v/>
      </c>
      <c r="P92" s="242">
        <f>P89-P67</f>
        <v/>
      </c>
      <c r="Q92" s="242">
        <f>Q89-Q67</f>
        <v/>
      </c>
      <c r="R92" s="242">
        <f>R89-R67</f>
        <v/>
      </c>
      <c r="S92" s="242">
        <f>S89-S67</f>
        <v/>
      </c>
      <c r="T92" s="242">
        <f>T89-T67</f>
        <v/>
      </c>
      <c r="U92" s="242">
        <f>U89-U67</f>
        <v/>
      </c>
      <c r="V92" s="242">
        <f>V89-V67</f>
        <v/>
      </c>
    </row>
    <row r="93">
      <c r="A93" s="165" t="inlineStr">
        <is>
          <t>LTM revenue</t>
        </is>
      </c>
      <c r="B93" s="165" t="inlineStr">
        <is>
          <t>$mm</t>
        </is>
      </c>
      <c r="C93" s="242">
        <f>SUM(C5:C5)</f>
        <v/>
      </c>
      <c r="D93" s="242">
        <f>SUM(C5:D5)</f>
        <v/>
      </c>
      <c r="E93" s="242">
        <f>SUM(C5:E5)</f>
        <v/>
      </c>
      <c r="F93" s="242">
        <f>SUM(C5:F5)</f>
        <v/>
      </c>
      <c r="G93" s="242">
        <f>SUM(D5:G5)</f>
        <v/>
      </c>
      <c r="H93" s="242">
        <f>SUM(E5:H5)</f>
        <v/>
      </c>
      <c r="I93" s="242">
        <f>SUM(F5:I5)</f>
        <v/>
      </c>
      <c r="J93" s="242">
        <f>SUM(G5:J5)</f>
        <v/>
      </c>
      <c r="K93" s="242">
        <f>SUM(H5:K5)</f>
        <v/>
      </c>
      <c r="L93" s="242">
        <f>SUM(I5:L5)</f>
        <v/>
      </c>
      <c r="M93" s="242">
        <f>SUM(J5:M5)</f>
        <v/>
      </c>
      <c r="N93" s="242">
        <f>SUM(K5:N5)</f>
        <v/>
      </c>
      <c r="O93" s="242">
        <f>SUM(L5:O5)</f>
        <v/>
      </c>
      <c r="P93" s="242">
        <f>SUM(M5:P5)</f>
        <v/>
      </c>
      <c r="Q93" s="242">
        <f>SUM(N5:Q5)</f>
        <v/>
      </c>
      <c r="R93" s="242">
        <f>SUM(O5:R5)</f>
        <v/>
      </c>
      <c r="S93" s="242">
        <f>SUM(P5:S5)</f>
        <v/>
      </c>
      <c r="T93" s="242">
        <f>SUM(Q5:T5)</f>
        <v/>
      </c>
      <c r="U93" s="242">
        <f>SUM(R5:U5)</f>
        <v/>
      </c>
      <c r="V93" s="242">
        <f>SUM(S5:V5)</f>
        <v/>
      </c>
    </row>
    <row r="94">
      <c r="A94" s="165" t="inlineStr">
        <is>
          <t>LTM reported EBITDA</t>
        </is>
      </c>
      <c r="B94" s="165" t="inlineStr">
        <is>
          <t>$mm</t>
        </is>
      </c>
      <c r="C94" s="242">
        <f>SUM(C12:C12)</f>
        <v/>
      </c>
      <c r="D94" s="242">
        <f>SUM(C12:D12)</f>
        <v/>
      </c>
      <c r="E94" s="242">
        <f>SUM(C12:E12)</f>
        <v/>
      </c>
      <c r="F94" s="242">
        <f>SUM(C12:F12)</f>
        <v/>
      </c>
      <c r="G94" s="242">
        <f>SUM(D12:G12)</f>
        <v/>
      </c>
      <c r="H94" s="242">
        <f>SUM(E12:H12)</f>
        <v/>
      </c>
      <c r="I94" s="242">
        <f>SUM(F12:I12)</f>
        <v/>
      </c>
      <c r="J94" s="242">
        <f>SUM(G12:J12)</f>
        <v/>
      </c>
      <c r="K94" s="242">
        <f>SUM(H12:K12)</f>
        <v/>
      </c>
      <c r="L94" s="242">
        <f>SUM(I12:L12)</f>
        <v/>
      </c>
      <c r="M94" s="242">
        <f>SUM(J12:M12)</f>
        <v/>
      </c>
      <c r="N94" s="242">
        <f>SUM(K12:N12)</f>
        <v/>
      </c>
      <c r="O94" s="242">
        <f>SUM(L12:O12)</f>
        <v/>
      </c>
      <c r="P94" s="242">
        <f>SUM(M12:P12)</f>
        <v/>
      </c>
      <c r="Q94" s="242">
        <f>SUM(N12:Q12)</f>
        <v/>
      </c>
      <c r="R94" s="242">
        <f>SUM(O12:R12)</f>
        <v/>
      </c>
      <c r="S94" s="242">
        <f>SUM(P12:S12)</f>
        <v/>
      </c>
      <c r="T94" s="242">
        <f>SUM(Q12:T12)</f>
        <v/>
      </c>
      <c r="U94" s="242">
        <f>SUM(R12:U12)</f>
        <v/>
      </c>
      <c r="V94" s="242">
        <f>SUM(S12:V12)</f>
        <v/>
      </c>
    </row>
    <row r="95">
      <c r="A95" s="165" t="inlineStr">
        <is>
          <t>LTM firm EBITDA</t>
        </is>
      </c>
      <c r="B95" s="165" t="inlineStr">
        <is>
          <t>$mm</t>
        </is>
      </c>
      <c r="C95" s="242">
        <f>SUM(C10:C10)</f>
        <v/>
      </c>
      <c r="D95" s="242">
        <f>SUM(C10:D10)</f>
        <v/>
      </c>
      <c r="E95" s="242">
        <f>SUM(C10:E10)</f>
        <v/>
      </c>
      <c r="F95" s="242">
        <f>SUM(C10:F10)</f>
        <v/>
      </c>
      <c r="G95" s="242">
        <f>SUM(D10:G10)</f>
        <v/>
      </c>
      <c r="H95" s="242">
        <f>SUM(E10:H10)</f>
        <v/>
      </c>
      <c r="I95" s="242">
        <f>SUM(F10:I10)</f>
        <v/>
      </c>
      <c r="J95" s="242">
        <f>SUM(G10:J10)</f>
        <v/>
      </c>
      <c r="K95" s="242">
        <f>SUM(H10:K10)</f>
        <v/>
      </c>
      <c r="L95" s="242">
        <f>SUM(I10:L10)</f>
        <v/>
      </c>
      <c r="M95" s="242">
        <f>SUM(J10:M10)</f>
        <v/>
      </c>
      <c r="N95" s="242">
        <f>SUM(K10:N10)</f>
        <v/>
      </c>
      <c r="O95" s="242">
        <f>SUM(L10:O10)</f>
        <v/>
      </c>
      <c r="P95" s="242">
        <f>SUM(M10:P10)</f>
        <v/>
      </c>
      <c r="Q95" s="242">
        <f>SUM(N10:Q10)</f>
        <v/>
      </c>
      <c r="R95" s="242">
        <f>SUM(O10:R10)</f>
        <v/>
      </c>
      <c r="S95" s="242">
        <f>SUM(P10:S10)</f>
        <v/>
      </c>
      <c r="T95" s="242">
        <f>SUM(Q10:T10)</f>
        <v/>
      </c>
      <c r="U95" s="242">
        <f>SUM(R10:U10)</f>
        <v/>
      </c>
      <c r="V95" s="242">
        <f>SUM(S10:V10)</f>
        <v/>
      </c>
    </row>
    <row r="96">
      <c r="A96" s="165" t="inlineStr">
        <is>
          <t>LTM add-backs</t>
        </is>
      </c>
      <c r="B96" s="165" t="inlineStr">
        <is>
          <t>$mm</t>
        </is>
      </c>
      <c r="C96" s="242">
        <f>SUM(C13:C13)</f>
        <v/>
      </c>
      <c r="D96" s="242">
        <f>SUM(C13:D13)</f>
        <v/>
      </c>
      <c r="E96" s="242">
        <f>SUM(C13:E13)</f>
        <v/>
      </c>
      <c r="F96" s="242">
        <f>SUM(C13:F13)</f>
        <v/>
      </c>
      <c r="G96" s="242">
        <f>SUM(D13:G13)</f>
        <v/>
      </c>
      <c r="H96" s="242">
        <f>SUM(E13:H13)</f>
        <v/>
      </c>
      <c r="I96" s="242">
        <f>SUM(F13:I13)</f>
        <v/>
      </c>
      <c r="J96" s="242">
        <f>SUM(G13:J13)</f>
        <v/>
      </c>
      <c r="K96" s="242">
        <f>SUM(H13:K13)</f>
        <v/>
      </c>
      <c r="L96" s="242">
        <f>SUM(I13:L13)</f>
        <v/>
      </c>
      <c r="M96" s="242">
        <f>SUM(J13:M13)</f>
        <v/>
      </c>
      <c r="N96" s="242">
        <f>SUM(K13:N13)</f>
        <v/>
      </c>
      <c r="O96" s="242">
        <f>SUM(L13:O13)</f>
        <v/>
      </c>
      <c r="P96" s="242">
        <f>SUM(M13:P13)</f>
        <v/>
      </c>
      <c r="Q96" s="242">
        <f>SUM(N13:Q13)</f>
        <v/>
      </c>
      <c r="R96" s="242">
        <f>SUM(O13:R13)</f>
        <v/>
      </c>
      <c r="S96" s="242">
        <f>SUM(P13:S13)</f>
        <v/>
      </c>
      <c r="T96" s="242">
        <f>SUM(Q13:T13)</f>
        <v/>
      </c>
      <c r="U96" s="242">
        <f>SUM(R13:U13)</f>
        <v/>
      </c>
      <c r="V96" s="242">
        <f>SUM(S13:V13)</f>
        <v/>
      </c>
    </row>
    <row r="97">
      <c r="A97" s="165" t="inlineStr">
        <is>
          <t>LTM covenant EBITDA</t>
        </is>
      </c>
      <c r="B97" s="165" t="inlineStr">
        <is>
          <t>$mm</t>
        </is>
      </c>
      <c r="C97" s="242">
        <f>SUM(C14:C14)</f>
        <v/>
      </c>
      <c r="D97" s="242">
        <f>SUM(C14:D14)</f>
        <v/>
      </c>
      <c r="E97" s="242">
        <f>SUM(C14:E14)</f>
        <v/>
      </c>
      <c r="F97" s="242">
        <f>SUM(C14:F14)</f>
        <v/>
      </c>
      <c r="G97" s="242">
        <f>SUM(D14:G14)</f>
        <v/>
      </c>
      <c r="H97" s="242">
        <f>SUM(E14:H14)</f>
        <v/>
      </c>
      <c r="I97" s="242">
        <f>SUM(F14:I14)</f>
        <v/>
      </c>
      <c r="J97" s="242">
        <f>SUM(G14:J14)</f>
        <v/>
      </c>
      <c r="K97" s="242">
        <f>SUM(H14:K14)</f>
        <v/>
      </c>
      <c r="L97" s="242">
        <f>SUM(I14:L14)</f>
        <v/>
      </c>
      <c r="M97" s="242">
        <f>SUM(J14:M14)</f>
        <v/>
      </c>
      <c r="N97" s="242">
        <f>SUM(K14:N14)</f>
        <v/>
      </c>
      <c r="O97" s="242">
        <f>SUM(L14:O14)</f>
        <v/>
      </c>
      <c r="P97" s="242">
        <f>SUM(M14:P14)</f>
        <v/>
      </c>
      <c r="Q97" s="242">
        <f>SUM(N14:Q14)</f>
        <v/>
      </c>
      <c r="R97" s="242">
        <f>SUM(O14:R14)</f>
        <v/>
      </c>
      <c r="S97" s="242">
        <f>SUM(P14:S14)</f>
        <v/>
      </c>
      <c r="T97" s="242">
        <f>SUM(Q14:T14)</f>
        <v/>
      </c>
      <c r="U97" s="242">
        <f>SUM(R14:U14)</f>
        <v/>
      </c>
      <c r="V97" s="242">
        <f>SUM(S14:V14)</f>
        <v/>
      </c>
    </row>
    <row r="98">
      <c r="A98" s="165" t="inlineStr">
        <is>
          <t>Total net leverage</t>
        </is>
      </c>
      <c r="B98" s="165" t="inlineStr">
        <is>
          <t>x</t>
        </is>
      </c>
      <c r="C98" s="243">
        <f>C91/MAX(0.001,C97)</f>
        <v/>
      </c>
      <c r="D98" s="243">
        <f>D91/MAX(0.001,D97)</f>
        <v/>
      </c>
      <c r="E98" s="243">
        <f>E91/MAX(0.001,E97)</f>
        <v/>
      </c>
      <c r="F98" s="243">
        <f>F91/MAX(0.001,F97)</f>
        <v/>
      </c>
      <c r="G98" s="243">
        <f>G91/MAX(0.001,G97)</f>
        <v/>
      </c>
      <c r="H98" s="243">
        <f>H91/MAX(0.001,H97)</f>
        <v/>
      </c>
      <c r="I98" s="243">
        <f>I91/MAX(0.001,I97)</f>
        <v/>
      </c>
      <c r="J98" s="243">
        <f>J91/MAX(0.001,J97)</f>
        <v/>
      </c>
      <c r="K98" s="243">
        <f>K91/MAX(0.001,K97)</f>
        <v/>
      </c>
      <c r="L98" s="243">
        <f>L91/MAX(0.001,L97)</f>
        <v/>
      </c>
      <c r="M98" s="243">
        <f>M91/MAX(0.001,M97)</f>
        <v/>
      </c>
      <c r="N98" s="243">
        <f>N91/MAX(0.001,N97)</f>
        <v/>
      </c>
      <c r="O98" s="243">
        <f>O91/MAX(0.001,O97)</f>
        <v/>
      </c>
      <c r="P98" s="243">
        <f>P91/MAX(0.001,P97)</f>
        <v/>
      </c>
      <c r="Q98" s="243">
        <f>Q91/MAX(0.001,Q97)</f>
        <v/>
      </c>
      <c r="R98" s="243">
        <f>R91/MAX(0.001,R97)</f>
        <v/>
      </c>
      <c r="S98" s="243">
        <f>S91/MAX(0.001,S97)</f>
        <v/>
      </c>
      <c r="T98" s="243">
        <f>T91/MAX(0.001,T97)</f>
        <v/>
      </c>
      <c r="U98" s="243">
        <f>U91/MAX(0.001,U97)</f>
        <v/>
      </c>
      <c r="V98" s="243">
        <f>V91/MAX(0.001,V97)</f>
        <v/>
      </c>
    </row>
    <row r="99">
      <c r="A99" s="165" t="inlineStr">
        <is>
          <t>Gross leverage</t>
        </is>
      </c>
      <c r="B99" s="165" t="inlineStr">
        <is>
          <t>x</t>
        </is>
      </c>
      <c r="C99" s="243">
        <f>C89/MAX(0.001,C95)</f>
        <v/>
      </c>
      <c r="D99" s="243">
        <f>D89/MAX(0.001,D95)</f>
        <v/>
      </c>
      <c r="E99" s="243">
        <f>E89/MAX(0.001,E95)</f>
        <v/>
      </c>
      <c r="F99" s="243">
        <f>F89/MAX(0.001,F95)</f>
        <v/>
      </c>
      <c r="G99" s="243">
        <f>G89/MAX(0.001,G95)</f>
        <v/>
      </c>
      <c r="H99" s="243">
        <f>H89/MAX(0.001,H95)</f>
        <v/>
      </c>
      <c r="I99" s="243">
        <f>I89/MAX(0.001,I95)</f>
        <v/>
      </c>
      <c r="J99" s="243">
        <f>J89/MAX(0.001,J95)</f>
        <v/>
      </c>
      <c r="K99" s="243">
        <f>K89/MAX(0.001,K95)</f>
        <v/>
      </c>
      <c r="L99" s="243">
        <f>L89/MAX(0.001,L95)</f>
        <v/>
      </c>
      <c r="M99" s="243">
        <f>M89/MAX(0.001,M95)</f>
        <v/>
      </c>
      <c r="N99" s="243">
        <f>N89/MAX(0.001,N95)</f>
        <v/>
      </c>
      <c r="O99" s="243">
        <f>O89/MAX(0.001,O95)</f>
        <v/>
      </c>
      <c r="P99" s="243">
        <f>P89/MAX(0.001,P95)</f>
        <v/>
      </c>
      <c r="Q99" s="243">
        <f>Q89/MAX(0.001,Q95)</f>
        <v/>
      </c>
      <c r="R99" s="243">
        <f>R89/MAX(0.001,R95)</f>
        <v/>
      </c>
      <c r="S99" s="243">
        <f>S89/MAX(0.001,S95)</f>
        <v/>
      </c>
      <c r="T99" s="243">
        <f>T89/MAX(0.001,T95)</f>
        <v/>
      </c>
      <c r="U99" s="243">
        <f>U89/MAX(0.001,U95)</f>
        <v/>
      </c>
      <c r="V99" s="243">
        <f>V89/MAX(0.001,V95)</f>
        <v/>
      </c>
    </row>
    <row r="100">
      <c r="A100" s="165" t="inlineStr">
        <is>
          <t>Fixed charge coverage</t>
        </is>
      </c>
      <c r="B100" s="165" t="inlineStr">
        <is>
          <t>x</t>
        </is>
      </c>
      <c r="C100" s="243">
        <f>(C94-SUM(C27:C27)-SUM(C41:C41))/MAX(0.001,(-SUM(C22:C22)-SUM(C61:C61)-SUM(C62:C62)))</f>
        <v/>
      </c>
      <c r="D100" s="243">
        <f>(D94-SUM(C27:D27)-SUM(C41:D41))/MAX(0.001,(-SUM(C22:D22)-SUM(C61:D61)-SUM(C62:D62)))</f>
        <v/>
      </c>
      <c r="E100" s="243">
        <f>(E94-SUM(C27:E27)-SUM(C41:E41))/MAX(0.001,(-SUM(C22:E22)-SUM(C61:E61)-SUM(C62:E62)))</f>
        <v/>
      </c>
      <c r="F100" s="243">
        <f>(F94-SUM(C27:F27)-SUM(C41:F41))/MAX(0.001,(-SUM(C22:F22)-SUM(C61:F61)-SUM(C62:F62)))</f>
        <v/>
      </c>
      <c r="G100" s="243">
        <f>(G94-SUM(D27:G27)-SUM(D41:G41))/MAX(0.001,(-SUM(D22:G22)-SUM(D61:G61)-SUM(D62:G62)))</f>
        <v/>
      </c>
      <c r="H100" s="243">
        <f>(H94-SUM(E27:H27)-SUM(E41:H41))/MAX(0.001,(-SUM(E22:H22)-SUM(E61:H61)-SUM(E62:H62)))</f>
        <v/>
      </c>
      <c r="I100" s="243">
        <f>(I94-SUM(F27:I27)-SUM(F41:I41))/MAX(0.001,(-SUM(F22:I22)-SUM(F61:I61)-SUM(F62:I62)))</f>
        <v/>
      </c>
      <c r="J100" s="243">
        <f>(J94-SUM(G27:J27)-SUM(G41:J41))/MAX(0.001,(-SUM(G22:J22)-SUM(G61:J61)-SUM(G62:J62)))</f>
        <v/>
      </c>
      <c r="K100" s="243">
        <f>(K94-SUM(H27:K27)-SUM(H41:K41))/MAX(0.001,(-SUM(H22:K22)-SUM(H61:K61)-SUM(H62:K62)))</f>
        <v/>
      </c>
      <c r="L100" s="243">
        <f>(L94-SUM(I27:L27)-SUM(I41:L41))/MAX(0.001,(-SUM(I22:L22)-SUM(I61:L61)-SUM(I62:L62)))</f>
        <v/>
      </c>
      <c r="M100" s="243">
        <f>(M94-SUM(J27:M27)-SUM(J41:M41))/MAX(0.001,(-SUM(J22:M22)-SUM(J61:M61)-SUM(J62:M62)))</f>
        <v/>
      </c>
      <c r="N100" s="243">
        <f>(N94-SUM(K27:N27)-SUM(K41:N41))/MAX(0.001,(-SUM(K22:N22)-SUM(K61:N61)-SUM(K62:N62)))</f>
        <v/>
      </c>
      <c r="O100" s="243">
        <f>(O94-SUM(L27:O27)-SUM(L41:O41))/MAX(0.001,(-SUM(L22:O22)-SUM(L61:O61)-SUM(L62:O62)))</f>
        <v/>
      </c>
      <c r="P100" s="243">
        <f>(P94-SUM(M27:P27)-SUM(M41:P41))/MAX(0.001,(-SUM(M22:P22)-SUM(M61:P61)-SUM(M62:P62)))</f>
        <v/>
      </c>
      <c r="Q100" s="243">
        <f>(Q94-SUM(N27:Q27)-SUM(N41:Q41))/MAX(0.001,(-SUM(N22:Q22)-SUM(N61:Q61)-SUM(N62:Q62)))</f>
        <v/>
      </c>
      <c r="R100" s="243">
        <f>(R94-SUM(O27:R27)-SUM(O41:R41))/MAX(0.001,(-SUM(O22:R22)-SUM(O61:R61)-SUM(O62:R62)))</f>
        <v/>
      </c>
      <c r="S100" s="243">
        <f>(S94-SUM(P27:S27)-SUM(P41:S41))/MAX(0.001,(-SUM(P22:S22)-SUM(P61:S61)-SUM(P62:S62)))</f>
        <v/>
      </c>
      <c r="T100" s="243">
        <f>(T94-SUM(Q27:T27)-SUM(Q41:T41))/MAX(0.001,(-SUM(Q22:T22)-SUM(Q61:T61)-SUM(Q62:T62)))</f>
        <v/>
      </c>
      <c r="U100" s="243">
        <f>(U94-SUM(R27:U27)-SUM(R41:U41))/MAX(0.001,(-SUM(R22:U22)-SUM(R61:U61)-SUM(R62:U62)))</f>
        <v/>
      </c>
      <c r="V100" s="243">
        <f>(V94-SUM(S27:V27)-SUM(S41:V41))/MAX(0.001,(-SUM(S22:V22)-SUM(S61:V61)-SUM(S62:V62)))</f>
        <v/>
      </c>
    </row>
    <row r="101">
      <c r="A101" s="165" t="inlineStr">
        <is>
          <t>Revolver availability</t>
        </is>
      </c>
      <c r="B101" s="165" t="inlineStr">
        <is>
          <t>$mm</t>
        </is>
      </c>
      <c r="C101" s="242">
        <f>MAX(0,Inputs!$B$20-C78-'Scenario_Drivers'!C62)</f>
        <v/>
      </c>
      <c r="D101" s="242">
        <f>MAX(0,Inputs!$B$20-D78-'Scenario_Drivers'!D62)</f>
        <v/>
      </c>
      <c r="E101" s="242">
        <f>MAX(0,Inputs!$B$20-E78-'Scenario_Drivers'!E62)</f>
        <v/>
      </c>
      <c r="F101" s="242">
        <f>MAX(0,Inputs!$B$20-F78-'Scenario_Drivers'!F62)</f>
        <v/>
      </c>
      <c r="G101" s="242">
        <f>MAX(0,Inputs!$B$20-G78-'Scenario_Drivers'!G62)</f>
        <v/>
      </c>
      <c r="H101" s="242">
        <f>MAX(0,Inputs!$B$20-H78-'Scenario_Drivers'!H62)</f>
        <v/>
      </c>
      <c r="I101" s="242">
        <f>MAX(0,Inputs!$B$20-I78-'Scenario_Drivers'!I62)</f>
        <v/>
      </c>
      <c r="J101" s="242">
        <f>MAX(0,Inputs!$B$20-J78-'Scenario_Drivers'!J62)</f>
        <v/>
      </c>
      <c r="K101" s="242">
        <f>MAX(0,Inputs!$B$20-K78-'Scenario_Drivers'!K62)</f>
        <v/>
      </c>
      <c r="L101" s="242">
        <f>MAX(0,Inputs!$B$20-L78-'Scenario_Drivers'!L62)</f>
        <v/>
      </c>
      <c r="M101" s="242">
        <f>MAX(0,Inputs!$B$20-M78-'Scenario_Drivers'!M62)</f>
        <v/>
      </c>
      <c r="N101" s="242">
        <f>MAX(0,Inputs!$B$20-N78-'Scenario_Drivers'!N62)</f>
        <v/>
      </c>
      <c r="O101" s="242">
        <f>MAX(0,Inputs!$B$20-O78-'Scenario_Drivers'!O62)</f>
        <v/>
      </c>
      <c r="P101" s="242">
        <f>MAX(0,Inputs!$B$20-P78-'Scenario_Drivers'!P62)</f>
        <v/>
      </c>
      <c r="Q101" s="242">
        <f>MAX(0,Inputs!$B$20-Q78-'Scenario_Drivers'!Q62)</f>
        <v/>
      </c>
      <c r="R101" s="242">
        <f>MAX(0,Inputs!$B$20-R78-'Scenario_Drivers'!R62)</f>
        <v/>
      </c>
      <c r="S101" s="242">
        <f>MAX(0,Inputs!$B$20-S78-'Scenario_Drivers'!S62)</f>
        <v/>
      </c>
      <c r="T101" s="242">
        <f>MAX(0,Inputs!$B$20-T78-'Scenario_Drivers'!T62)</f>
        <v/>
      </c>
      <c r="U101" s="242">
        <f>MAX(0,Inputs!$B$20-U78-'Scenario_Drivers'!U62)</f>
        <v/>
      </c>
      <c r="V101" s="242">
        <f>MAX(0,Inputs!$B$20-V78-'Scenario_Drivers'!V62)</f>
        <v/>
      </c>
    </row>
    <row r="102">
      <c r="A102" s="165" t="inlineStr">
        <is>
          <t>Liquidity</t>
        </is>
      </c>
      <c r="B102" s="165" t="inlineStr">
        <is>
          <t>$mm</t>
        </is>
      </c>
      <c r="C102" s="242">
        <f>C67+C101</f>
        <v/>
      </c>
      <c r="D102" s="242">
        <f>D67+D101</f>
        <v/>
      </c>
      <c r="E102" s="242">
        <f>E67+E101</f>
        <v/>
      </c>
      <c r="F102" s="242">
        <f>F67+F101</f>
        <v/>
      </c>
      <c r="G102" s="242">
        <f>G67+G101</f>
        <v/>
      </c>
      <c r="H102" s="242">
        <f>H67+H101</f>
        <v/>
      </c>
      <c r="I102" s="242">
        <f>I67+I101</f>
        <v/>
      </c>
      <c r="J102" s="242">
        <f>J67+J101</f>
        <v/>
      </c>
      <c r="K102" s="242">
        <f>K67+K101</f>
        <v/>
      </c>
      <c r="L102" s="242">
        <f>L67+L101</f>
        <v/>
      </c>
      <c r="M102" s="242">
        <f>M67+M101</f>
        <v/>
      </c>
      <c r="N102" s="242">
        <f>N67+N101</f>
        <v/>
      </c>
      <c r="O102" s="242">
        <f>O67+O101</f>
        <v/>
      </c>
      <c r="P102" s="242">
        <f>P67+P101</f>
        <v/>
      </c>
      <c r="Q102" s="242">
        <f>Q67+Q101</f>
        <v/>
      </c>
      <c r="R102" s="242">
        <f>R67+R101</f>
        <v/>
      </c>
      <c r="S102" s="242">
        <f>S67+S101</f>
        <v/>
      </c>
      <c r="T102" s="242">
        <f>T67+T101</f>
        <v/>
      </c>
      <c r="U102" s="242">
        <f>U67+U101</f>
        <v/>
      </c>
      <c r="V102" s="242">
        <f>V67+V101</f>
        <v/>
      </c>
    </row>
    <row r="103">
      <c r="A103" s="165" t="inlineStr">
        <is>
          <t>Covenant limit</t>
        </is>
      </c>
      <c r="B103" s="165" t="inlineStr">
        <is>
          <t>x</t>
        </is>
      </c>
      <c r="C103" s="244">
        <f>'Scenario_Drivers'!C66</f>
        <v/>
      </c>
      <c r="D103" s="244">
        <f>'Scenario_Drivers'!D66</f>
        <v/>
      </c>
      <c r="E103" s="244">
        <f>'Scenario_Drivers'!E66</f>
        <v/>
      </c>
      <c r="F103" s="244">
        <f>'Scenario_Drivers'!F66</f>
        <v/>
      </c>
      <c r="G103" s="244">
        <f>'Scenario_Drivers'!G66</f>
        <v/>
      </c>
      <c r="H103" s="244">
        <f>'Scenario_Drivers'!H66</f>
        <v/>
      </c>
      <c r="I103" s="244">
        <f>'Scenario_Drivers'!I66</f>
        <v/>
      </c>
      <c r="J103" s="244">
        <f>'Scenario_Drivers'!J66</f>
        <v/>
      </c>
      <c r="K103" s="244">
        <f>'Scenario_Drivers'!K66</f>
        <v/>
      </c>
      <c r="L103" s="244">
        <f>'Scenario_Drivers'!L66</f>
        <v/>
      </c>
      <c r="M103" s="244">
        <f>'Scenario_Drivers'!M66</f>
        <v/>
      </c>
      <c r="N103" s="244">
        <f>'Scenario_Drivers'!N66</f>
        <v/>
      </c>
      <c r="O103" s="244">
        <f>'Scenario_Drivers'!O66</f>
        <v/>
      </c>
      <c r="P103" s="244">
        <f>'Scenario_Drivers'!P66</f>
        <v/>
      </c>
      <c r="Q103" s="244">
        <f>'Scenario_Drivers'!Q66</f>
        <v/>
      </c>
      <c r="R103" s="244">
        <f>'Scenario_Drivers'!R66</f>
        <v/>
      </c>
      <c r="S103" s="244">
        <f>'Scenario_Drivers'!S66</f>
        <v/>
      </c>
      <c r="T103" s="244">
        <f>'Scenario_Drivers'!T66</f>
        <v/>
      </c>
      <c r="U103" s="244">
        <f>'Scenario_Drivers'!U66</f>
        <v/>
      </c>
      <c r="V103" s="244">
        <f>'Scenario_Drivers'!V66</f>
        <v/>
      </c>
    </row>
    <row r="104">
      <c r="A104" s="165" t="inlineStr">
        <is>
          <t>Covenant headroom</t>
        </is>
      </c>
      <c r="B104" s="165" t="inlineStr">
        <is>
          <t>x</t>
        </is>
      </c>
      <c r="C104" s="243">
        <f>C103-C98</f>
        <v/>
      </c>
      <c r="D104" s="243">
        <f>D103-D98</f>
        <v/>
      </c>
      <c r="E104" s="243">
        <f>E103-E98</f>
        <v/>
      </c>
      <c r="F104" s="243">
        <f>F103-F98</f>
        <v/>
      </c>
      <c r="G104" s="243">
        <f>G103-G98</f>
        <v/>
      </c>
      <c r="H104" s="243">
        <f>H103-H98</f>
        <v/>
      </c>
      <c r="I104" s="243">
        <f>I103-I98</f>
        <v/>
      </c>
      <c r="J104" s="243">
        <f>J103-J98</f>
        <v/>
      </c>
      <c r="K104" s="243">
        <f>K103-K98</f>
        <v/>
      </c>
      <c r="L104" s="243">
        <f>L103-L98</f>
        <v/>
      </c>
      <c r="M104" s="243">
        <f>M103-M98</f>
        <v/>
      </c>
      <c r="N104" s="243">
        <f>N103-N98</f>
        <v/>
      </c>
      <c r="O104" s="243">
        <f>O103-O98</f>
        <v/>
      </c>
      <c r="P104" s="243">
        <f>P103-P98</f>
        <v/>
      </c>
      <c r="Q104" s="243">
        <f>Q103-Q98</f>
        <v/>
      </c>
      <c r="R104" s="243">
        <f>R103-R98</f>
        <v/>
      </c>
      <c r="S104" s="243">
        <f>S103-S98</f>
        <v/>
      </c>
      <c r="T104" s="243">
        <f>T103-T98</f>
        <v/>
      </c>
      <c r="U104" s="243">
        <f>U103-U98</f>
        <v/>
      </c>
      <c r="V104" s="243">
        <f>V103-V98</f>
        <v/>
      </c>
    </row>
    <row r="105">
      <c r="A105" s="165" t="inlineStr">
        <is>
          <t>20% add-back cap</t>
        </is>
      </c>
      <c r="B105" s="165" t="inlineStr">
        <is>
          <t>$mm</t>
        </is>
      </c>
      <c r="C105" s="242">
        <f>20%*C94</f>
        <v/>
      </c>
      <c r="D105" s="242">
        <f>20%*D94</f>
        <v/>
      </c>
      <c r="E105" s="242">
        <f>20%*E94</f>
        <v/>
      </c>
      <c r="F105" s="242">
        <f>20%*F94</f>
        <v/>
      </c>
      <c r="G105" s="242">
        <f>20%*G94</f>
        <v/>
      </c>
      <c r="H105" s="242">
        <f>20%*H94</f>
        <v/>
      </c>
      <c r="I105" s="242">
        <f>20%*I94</f>
        <v/>
      </c>
      <c r="J105" s="242">
        <f>20%*J94</f>
        <v/>
      </c>
      <c r="K105" s="242">
        <f>20%*K94</f>
        <v/>
      </c>
      <c r="L105" s="242">
        <f>20%*L94</f>
        <v/>
      </c>
      <c r="M105" s="242">
        <f>20%*M94</f>
        <v/>
      </c>
      <c r="N105" s="242">
        <f>20%*N94</f>
        <v/>
      </c>
      <c r="O105" s="242">
        <f>20%*O94</f>
        <v/>
      </c>
      <c r="P105" s="242">
        <f>20%*P94</f>
        <v/>
      </c>
      <c r="Q105" s="242">
        <f>20%*Q94</f>
        <v/>
      </c>
      <c r="R105" s="242">
        <f>20%*R94</f>
        <v/>
      </c>
      <c r="S105" s="242">
        <f>20%*S94</f>
        <v/>
      </c>
      <c r="T105" s="242">
        <f>20%*T94</f>
        <v/>
      </c>
      <c r="U105" s="242">
        <f>20%*U94</f>
        <v/>
      </c>
      <c r="V105" s="242">
        <f>20%*V94</f>
        <v/>
      </c>
    </row>
    <row r="106">
      <c r="A106" s="165" t="inlineStr">
        <is>
          <t>15% add-back cap</t>
        </is>
      </c>
      <c r="B106" s="165" t="inlineStr">
        <is>
          <t>$mm</t>
        </is>
      </c>
      <c r="C106" s="242">
        <f>15%*C94</f>
        <v/>
      </c>
      <c r="D106" s="242">
        <f>15%*D94</f>
        <v/>
      </c>
      <c r="E106" s="242">
        <f>15%*E94</f>
        <v/>
      </c>
      <c r="F106" s="242">
        <f>15%*F94</f>
        <v/>
      </c>
      <c r="G106" s="242">
        <f>15%*G94</f>
        <v/>
      </c>
      <c r="H106" s="242">
        <f>15%*H94</f>
        <v/>
      </c>
      <c r="I106" s="242">
        <f>15%*I94</f>
        <v/>
      </c>
      <c r="J106" s="242">
        <f>15%*J94</f>
        <v/>
      </c>
      <c r="K106" s="242">
        <f>15%*K94</f>
        <v/>
      </c>
      <c r="L106" s="242">
        <f>15%*L94</f>
        <v/>
      </c>
      <c r="M106" s="242">
        <f>15%*M94</f>
        <v/>
      </c>
      <c r="N106" s="242">
        <f>15%*N94</f>
        <v/>
      </c>
      <c r="O106" s="242">
        <f>15%*O94</f>
        <v/>
      </c>
      <c r="P106" s="242">
        <f>15%*P94</f>
        <v/>
      </c>
      <c r="Q106" s="242">
        <f>15%*Q94</f>
        <v/>
      </c>
      <c r="R106" s="242">
        <f>15%*R94</f>
        <v/>
      </c>
      <c r="S106" s="242">
        <f>15%*S94</f>
        <v/>
      </c>
      <c r="T106" s="242">
        <f>15%*T94</f>
        <v/>
      </c>
      <c r="U106" s="242">
        <f>15%*U94</f>
        <v/>
      </c>
      <c r="V106" s="242">
        <f>15%*V94</f>
        <v/>
      </c>
    </row>
    <row r="107">
      <c r="A107" s="165" t="inlineStr">
        <is>
          <t>Applicable add-back headroom</t>
        </is>
      </c>
      <c r="B107" s="165" t="inlineStr">
        <is>
          <t>$mm</t>
        </is>
      </c>
      <c r="C107" s="242">
        <f>C105-C96</f>
        <v/>
      </c>
      <c r="D107" s="242">
        <f>D105-D96</f>
        <v/>
      </c>
      <c r="E107" s="242">
        <f>E105-E96</f>
        <v/>
      </c>
      <c r="F107" s="242">
        <f>F105-F96</f>
        <v/>
      </c>
      <c r="G107" s="242">
        <f>G105-G96</f>
        <v/>
      </c>
      <c r="H107" s="242">
        <f>H105-H96</f>
        <v/>
      </c>
      <c r="I107" s="242">
        <f>I105-I96</f>
        <v/>
      </c>
      <c r="J107" s="242">
        <f>J105-J96</f>
        <v/>
      </c>
      <c r="K107" s="242">
        <f>K105-K96</f>
        <v/>
      </c>
      <c r="L107" s="242">
        <f>L105-L96</f>
        <v/>
      </c>
      <c r="M107" s="242">
        <f>M105-M96</f>
        <v/>
      </c>
      <c r="N107" s="242">
        <f>N105-N96</f>
        <v/>
      </c>
      <c r="O107" s="242">
        <f>O105-O96</f>
        <v/>
      </c>
      <c r="P107" s="242">
        <f>P105-P96</f>
        <v/>
      </c>
      <c r="Q107" s="242">
        <f>Q105-Q96</f>
        <v/>
      </c>
      <c r="R107" s="242">
        <f>R105-R96</f>
        <v/>
      </c>
      <c r="S107" s="242">
        <f>S105-S96</f>
        <v/>
      </c>
      <c r="T107" s="242">
        <f>T105-T96</f>
        <v/>
      </c>
      <c r="U107" s="242">
        <f>U105-U96</f>
        <v/>
      </c>
      <c r="V107" s="242">
        <f>V105-V96</f>
        <v/>
      </c>
    </row>
    <row r="108">
      <c r="A108" s="165" t="inlineStr">
        <is>
          <t>Minimum liquidity</t>
        </is>
      </c>
      <c r="B108" s="165" t="inlineStr">
        <is>
          <t>$mm</t>
        </is>
      </c>
      <c r="C108" s="242">
        <f>3.0</f>
        <v/>
      </c>
      <c r="D108" s="242">
        <f>3.0</f>
        <v/>
      </c>
      <c r="E108" s="242">
        <f>3.0</f>
        <v/>
      </c>
      <c r="F108" s="242">
        <f>3.0</f>
        <v/>
      </c>
      <c r="G108" s="242">
        <f>3.0</f>
        <v/>
      </c>
      <c r="H108" s="242">
        <f>3.0</f>
        <v/>
      </c>
      <c r="I108" s="242">
        <f>3.0</f>
        <v/>
      </c>
      <c r="J108" s="242">
        <f>3.0</f>
        <v/>
      </c>
      <c r="K108" s="242">
        <f>3.0</f>
        <v/>
      </c>
      <c r="L108" s="242">
        <f>3.0</f>
        <v/>
      </c>
      <c r="M108" s="242">
        <f>3.0</f>
        <v/>
      </c>
      <c r="N108" s="242">
        <f>3.0</f>
        <v/>
      </c>
      <c r="O108" s="242">
        <f>3.0</f>
        <v/>
      </c>
      <c r="P108" s="242">
        <f>3.0</f>
        <v/>
      </c>
      <c r="Q108" s="242">
        <f>3.0</f>
        <v/>
      </c>
      <c r="R108" s="242">
        <f>3.0</f>
        <v/>
      </c>
      <c r="S108" s="242">
        <f>3.0</f>
        <v/>
      </c>
      <c r="T108" s="242">
        <f>3.0</f>
        <v/>
      </c>
      <c r="U108" s="242">
        <f>3.0</f>
        <v/>
      </c>
      <c r="V108" s="242">
        <f>3.0</f>
        <v/>
      </c>
    </row>
    <row r="109">
      <c r="A109" s="165" t="inlineStr">
        <is>
          <t>Liquidity headroom</t>
        </is>
      </c>
      <c r="B109" s="165" t="inlineStr">
        <is>
          <t>$mm</t>
        </is>
      </c>
      <c r="C109" s="242">
        <f>C102-C108</f>
        <v/>
      </c>
      <c r="D109" s="242">
        <f>D102-D108</f>
        <v/>
      </c>
      <c r="E109" s="242">
        <f>E102-E108</f>
        <v/>
      </c>
      <c r="F109" s="242">
        <f>F102-F108</f>
        <v/>
      </c>
      <c r="G109" s="242">
        <f>G102-G108</f>
        <v/>
      </c>
      <c r="H109" s="242">
        <f>H102-H108</f>
        <v/>
      </c>
      <c r="I109" s="242">
        <f>I102-I108</f>
        <v/>
      </c>
      <c r="J109" s="242">
        <f>J102-J108</f>
        <v/>
      </c>
      <c r="K109" s="242">
        <f>K102-K108</f>
        <v/>
      </c>
      <c r="L109" s="242">
        <f>L102-L108</f>
        <v/>
      </c>
      <c r="M109" s="242">
        <f>M102-M108</f>
        <v/>
      </c>
      <c r="N109" s="242">
        <f>N102-N108</f>
        <v/>
      </c>
      <c r="O109" s="242">
        <f>O102-O108</f>
        <v/>
      </c>
      <c r="P109" s="242">
        <f>P102-P108</f>
        <v/>
      </c>
      <c r="Q109" s="242">
        <f>Q102-Q108</f>
        <v/>
      </c>
      <c r="R109" s="242">
        <f>R102-R108</f>
        <v/>
      </c>
      <c r="S109" s="242">
        <f>S102-S108</f>
        <v/>
      </c>
      <c r="T109" s="242">
        <f>T102-T108</f>
        <v/>
      </c>
      <c r="U109" s="242">
        <f>U102-U108</f>
        <v/>
      </c>
      <c r="V109" s="242">
        <f>V102-V108</f>
        <v/>
      </c>
    </row>
    <row r="110">
      <c r="A110" s="165" t="inlineStr">
        <is>
          <t>SOFR</t>
        </is>
      </c>
      <c r="B110" s="165" t="inlineStr">
        <is>
          <t>%</t>
        </is>
      </c>
      <c r="C110" s="241">
        <f>'Scenario_Drivers'!C67</f>
        <v/>
      </c>
      <c r="D110" s="241">
        <f>'Scenario_Drivers'!D67</f>
        <v/>
      </c>
      <c r="E110" s="241">
        <f>'Scenario_Drivers'!E67</f>
        <v/>
      </c>
      <c r="F110" s="241">
        <f>'Scenario_Drivers'!F67</f>
        <v/>
      </c>
      <c r="G110" s="241">
        <f>'Scenario_Drivers'!G67</f>
        <v/>
      </c>
      <c r="H110" s="241">
        <f>'Scenario_Drivers'!H67</f>
        <v/>
      </c>
      <c r="I110" s="241">
        <f>'Scenario_Drivers'!I67</f>
        <v/>
      </c>
      <c r="J110" s="241">
        <f>'Scenario_Drivers'!J67</f>
        <v/>
      </c>
      <c r="K110" s="241">
        <f>'Scenario_Drivers'!K67</f>
        <v/>
      </c>
      <c r="L110" s="241">
        <f>'Scenario_Drivers'!L67</f>
        <v/>
      </c>
      <c r="M110" s="241">
        <f>'Scenario_Drivers'!M67</f>
        <v/>
      </c>
      <c r="N110" s="241">
        <f>'Scenario_Drivers'!N67</f>
        <v/>
      </c>
      <c r="O110" s="241">
        <f>'Scenario_Drivers'!O67</f>
        <v/>
      </c>
      <c r="P110" s="241">
        <f>'Scenario_Drivers'!P67</f>
        <v/>
      </c>
      <c r="Q110" s="241">
        <f>'Scenario_Drivers'!Q67</f>
        <v/>
      </c>
      <c r="R110" s="241">
        <f>'Scenario_Drivers'!R67</f>
        <v/>
      </c>
      <c r="S110" s="241">
        <f>'Scenario_Drivers'!S67</f>
        <v/>
      </c>
      <c r="T110" s="241">
        <f>'Scenario_Drivers'!T67</f>
        <v/>
      </c>
      <c r="U110" s="241">
        <f>'Scenario_Drivers'!U67</f>
        <v/>
      </c>
      <c r="V110" s="241">
        <f>'Scenario_Drivers'!V67</f>
        <v/>
      </c>
    </row>
    <row r="111">
      <c r="A111" s="165" t="inlineStr">
        <is>
          <t>Term rate</t>
        </is>
      </c>
      <c r="B111" s="165" t="inlineStr">
        <is>
          <t>%</t>
        </is>
      </c>
      <c r="C111" s="240">
        <f>MAX('Scenario_Drivers'!C67,Inputs!$B$26)+Inputs!$B$23+'Scenario_Drivers'!C68</f>
        <v/>
      </c>
      <c r="D111" s="240">
        <f>MAX('Scenario_Drivers'!D67,Inputs!$B$26)+Inputs!$B$23+'Scenario_Drivers'!D68</f>
        <v/>
      </c>
      <c r="E111" s="240">
        <f>MAX('Scenario_Drivers'!E67,Inputs!$B$26)+Inputs!$B$23+'Scenario_Drivers'!E68</f>
        <v/>
      </c>
      <c r="F111" s="240">
        <f>MAX('Scenario_Drivers'!F67,Inputs!$B$26)+Inputs!$B$23+'Scenario_Drivers'!F68</f>
        <v/>
      </c>
      <c r="G111" s="240">
        <f>MAX('Scenario_Drivers'!G67,Inputs!$B$26)+Inputs!$B$23+'Scenario_Drivers'!G68</f>
        <v/>
      </c>
      <c r="H111" s="240">
        <f>MAX('Scenario_Drivers'!H67,Inputs!$B$26)+Inputs!$B$23+'Scenario_Drivers'!H68</f>
        <v/>
      </c>
      <c r="I111" s="240">
        <f>MAX('Scenario_Drivers'!I67,Inputs!$B$26)+Inputs!$B$23+'Scenario_Drivers'!I68</f>
        <v/>
      </c>
      <c r="J111" s="240">
        <f>MAX('Scenario_Drivers'!J67,Inputs!$B$26)+Inputs!$B$23+'Scenario_Drivers'!J68</f>
        <v/>
      </c>
      <c r="K111" s="240">
        <f>MAX('Scenario_Drivers'!K67,Inputs!$B$26)+Inputs!$B$23+'Scenario_Drivers'!K68</f>
        <v/>
      </c>
      <c r="L111" s="240">
        <f>MAX('Scenario_Drivers'!L67,Inputs!$B$26)+Inputs!$B$23+'Scenario_Drivers'!L68</f>
        <v/>
      </c>
      <c r="M111" s="240">
        <f>MAX('Scenario_Drivers'!M67,Inputs!$B$26)+Inputs!$B$23+'Scenario_Drivers'!M68</f>
        <v/>
      </c>
      <c r="N111" s="240">
        <f>MAX('Scenario_Drivers'!N67,Inputs!$B$26)+Inputs!$B$23+'Scenario_Drivers'!N68</f>
        <v/>
      </c>
      <c r="O111" s="240">
        <f>MAX('Scenario_Drivers'!O67,Inputs!$B$26)+Inputs!$B$23+'Scenario_Drivers'!O68</f>
        <v/>
      </c>
      <c r="P111" s="240">
        <f>MAX('Scenario_Drivers'!P67,Inputs!$B$26)+Inputs!$B$23+'Scenario_Drivers'!P68</f>
        <v/>
      </c>
      <c r="Q111" s="240">
        <f>MAX('Scenario_Drivers'!Q67,Inputs!$B$26)+Inputs!$B$23+'Scenario_Drivers'!Q68</f>
        <v/>
      </c>
      <c r="R111" s="240">
        <f>MAX('Scenario_Drivers'!R67,Inputs!$B$26)+Inputs!$B$23+'Scenario_Drivers'!R68</f>
        <v/>
      </c>
      <c r="S111" s="240">
        <f>MAX('Scenario_Drivers'!S67,Inputs!$B$26)+Inputs!$B$23+'Scenario_Drivers'!S68</f>
        <v/>
      </c>
      <c r="T111" s="240">
        <f>MAX('Scenario_Drivers'!T67,Inputs!$B$26)+Inputs!$B$23+'Scenario_Drivers'!T68</f>
        <v/>
      </c>
      <c r="U111" s="240">
        <f>MAX('Scenario_Drivers'!U67,Inputs!$B$26)+Inputs!$B$23+'Scenario_Drivers'!U68</f>
        <v/>
      </c>
      <c r="V111" s="240">
        <f>MAX('Scenario_Drivers'!V67,Inputs!$B$26)+Inputs!$B$23+'Scenario_Drivers'!V68</f>
        <v/>
      </c>
    </row>
    <row r="112">
      <c r="A112" s="165" t="inlineStr">
        <is>
          <t>DDTL rate</t>
        </is>
      </c>
      <c r="B112" s="165" t="inlineStr">
        <is>
          <t>%</t>
        </is>
      </c>
      <c r="C112" s="240">
        <f>MAX('Scenario_Drivers'!C67,Inputs!$B$26)+Inputs!$B$25+'Scenario_Drivers'!C68</f>
        <v/>
      </c>
      <c r="D112" s="240">
        <f>MAX('Scenario_Drivers'!D67,Inputs!$B$26)+Inputs!$B$25+'Scenario_Drivers'!D68</f>
        <v/>
      </c>
      <c r="E112" s="240">
        <f>MAX('Scenario_Drivers'!E67,Inputs!$B$26)+Inputs!$B$25+'Scenario_Drivers'!E68</f>
        <v/>
      </c>
      <c r="F112" s="240">
        <f>MAX('Scenario_Drivers'!F67,Inputs!$B$26)+Inputs!$B$25+'Scenario_Drivers'!F68</f>
        <v/>
      </c>
      <c r="G112" s="240">
        <f>MAX('Scenario_Drivers'!G67,Inputs!$B$26)+Inputs!$B$25+'Scenario_Drivers'!G68</f>
        <v/>
      </c>
      <c r="H112" s="240">
        <f>MAX('Scenario_Drivers'!H67,Inputs!$B$26)+Inputs!$B$25+'Scenario_Drivers'!H68</f>
        <v/>
      </c>
      <c r="I112" s="240">
        <f>MAX('Scenario_Drivers'!I67,Inputs!$B$26)+Inputs!$B$25+'Scenario_Drivers'!I68</f>
        <v/>
      </c>
      <c r="J112" s="240">
        <f>MAX('Scenario_Drivers'!J67,Inputs!$B$26)+Inputs!$B$25+'Scenario_Drivers'!J68</f>
        <v/>
      </c>
      <c r="K112" s="240">
        <f>MAX('Scenario_Drivers'!K67,Inputs!$B$26)+Inputs!$B$25+'Scenario_Drivers'!K68</f>
        <v/>
      </c>
      <c r="L112" s="240">
        <f>MAX('Scenario_Drivers'!L67,Inputs!$B$26)+Inputs!$B$25+'Scenario_Drivers'!L68</f>
        <v/>
      </c>
      <c r="M112" s="240">
        <f>MAX('Scenario_Drivers'!M67,Inputs!$B$26)+Inputs!$B$25+'Scenario_Drivers'!M68</f>
        <v/>
      </c>
      <c r="N112" s="240">
        <f>MAX('Scenario_Drivers'!N67,Inputs!$B$26)+Inputs!$B$25+'Scenario_Drivers'!N68</f>
        <v/>
      </c>
      <c r="O112" s="240">
        <f>MAX('Scenario_Drivers'!O67,Inputs!$B$26)+Inputs!$B$25+'Scenario_Drivers'!O68</f>
        <v/>
      </c>
      <c r="P112" s="240">
        <f>MAX('Scenario_Drivers'!P67,Inputs!$B$26)+Inputs!$B$25+'Scenario_Drivers'!P68</f>
        <v/>
      </c>
      <c r="Q112" s="240">
        <f>MAX('Scenario_Drivers'!Q67,Inputs!$B$26)+Inputs!$B$25+'Scenario_Drivers'!Q68</f>
        <v/>
      </c>
      <c r="R112" s="240">
        <f>MAX('Scenario_Drivers'!R67,Inputs!$B$26)+Inputs!$B$25+'Scenario_Drivers'!R68</f>
        <v/>
      </c>
      <c r="S112" s="240">
        <f>MAX('Scenario_Drivers'!S67,Inputs!$B$26)+Inputs!$B$25+'Scenario_Drivers'!S68</f>
        <v/>
      </c>
      <c r="T112" s="240">
        <f>MAX('Scenario_Drivers'!T67,Inputs!$B$26)+Inputs!$B$25+'Scenario_Drivers'!T68</f>
        <v/>
      </c>
      <c r="U112" s="240">
        <f>MAX('Scenario_Drivers'!U67,Inputs!$B$26)+Inputs!$B$25+'Scenario_Drivers'!U68</f>
        <v/>
      </c>
      <c r="V112" s="240">
        <f>MAX('Scenario_Drivers'!V67,Inputs!$B$26)+Inputs!$B$25+'Scenario_Drivers'!V68</f>
        <v/>
      </c>
    </row>
    <row r="113">
      <c r="A113" s="165" t="inlineStr">
        <is>
          <t>Revolver rate</t>
        </is>
      </c>
      <c r="B113" s="165" t="inlineStr">
        <is>
          <t>%</t>
        </is>
      </c>
      <c r="C113" s="240">
        <f>MAX('Scenario_Drivers'!C67,Inputs!$B$26)+Inputs!$B$24+'Scenario_Drivers'!C68</f>
        <v/>
      </c>
      <c r="D113" s="240">
        <f>MAX('Scenario_Drivers'!D67,Inputs!$B$26)+Inputs!$B$24+'Scenario_Drivers'!D68</f>
        <v/>
      </c>
      <c r="E113" s="240">
        <f>MAX('Scenario_Drivers'!E67,Inputs!$B$26)+Inputs!$B$24+'Scenario_Drivers'!E68</f>
        <v/>
      </c>
      <c r="F113" s="240">
        <f>MAX('Scenario_Drivers'!F67,Inputs!$B$26)+Inputs!$B$24+'Scenario_Drivers'!F68</f>
        <v/>
      </c>
      <c r="G113" s="240">
        <f>MAX('Scenario_Drivers'!G67,Inputs!$B$26)+Inputs!$B$24+'Scenario_Drivers'!G68</f>
        <v/>
      </c>
      <c r="H113" s="240">
        <f>MAX('Scenario_Drivers'!H67,Inputs!$B$26)+Inputs!$B$24+'Scenario_Drivers'!H68</f>
        <v/>
      </c>
      <c r="I113" s="240">
        <f>MAX('Scenario_Drivers'!I67,Inputs!$B$26)+Inputs!$B$24+'Scenario_Drivers'!I68</f>
        <v/>
      </c>
      <c r="J113" s="240">
        <f>MAX('Scenario_Drivers'!J67,Inputs!$B$26)+Inputs!$B$24+'Scenario_Drivers'!J68</f>
        <v/>
      </c>
      <c r="K113" s="240">
        <f>MAX('Scenario_Drivers'!K67,Inputs!$B$26)+Inputs!$B$24+'Scenario_Drivers'!K68</f>
        <v/>
      </c>
      <c r="L113" s="240">
        <f>MAX('Scenario_Drivers'!L67,Inputs!$B$26)+Inputs!$B$24+'Scenario_Drivers'!L68</f>
        <v/>
      </c>
      <c r="M113" s="240">
        <f>MAX('Scenario_Drivers'!M67,Inputs!$B$26)+Inputs!$B$24+'Scenario_Drivers'!M68</f>
        <v/>
      </c>
      <c r="N113" s="240">
        <f>MAX('Scenario_Drivers'!N67,Inputs!$B$26)+Inputs!$B$24+'Scenario_Drivers'!N68</f>
        <v/>
      </c>
      <c r="O113" s="240">
        <f>MAX('Scenario_Drivers'!O67,Inputs!$B$26)+Inputs!$B$24+'Scenario_Drivers'!O68</f>
        <v/>
      </c>
      <c r="P113" s="240">
        <f>MAX('Scenario_Drivers'!P67,Inputs!$B$26)+Inputs!$B$24+'Scenario_Drivers'!P68</f>
        <v/>
      </c>
      <c r="Q113" s="240">
        <f>MAX('Scenario_Drivers'!Q67,Inputs!$B$26)+Inputs!$B$24+'Scenario_Drivers'!Q68</f>
        <v/>
      </c>
      <c r="R113" s="240">
        <f>MAX('Scenario_Drivers'!R67,Inputs!$B$26)+Inputs!$B$24+'Scenario_Drivers'!R68</f>
        <v/>
      </c>
      <c r="S113" s="240">
        <f>MAX('Scenario_Drivers'!S67,Inputs!$B$26)+Inputs!$B$24+'Scenario_Drivers'!S68</f>
        <v/>
      </c>
      <c r="T113" s="240">
        <f>MAX('Scenario_Drivers'!T67,Inputs!$B$26)+Inputs!$B$24+'Scenario_Drivers'!T68</f>
        <v/>
      </c>
      <c r="U113" s="240">
        <f>MAX('Scenario_Drivers'!U67,Inputs!$B$26)+Inputs!$B$24+'Scenario_Drivers'!U68</f>
        <v/>
      </c>
      <c r="V113" s="240">
        <f>MAX('Scenario_Drivers'!V67,Inputs!$B$26)+Inputs!$B$24+'Scenario_Drivers'!V68</f>
        <v/>
      </c>
    </row>
    <row r="114">
      <c r="A114" s="165" t="inlineStr">
        <is>
          <t>Interest carryforward</t>
        </is>
      </c>
      <c r="B114" s="165" t="inlineStr">
        <is>
          <t>$mm</t>
        </is>
      </c>
      <c r="C114" s="242">
        <f>MAX(0,0-C22-(MIN(-C22+0,MAX(0,Inputs!$B$16*C12))))</f>
        <v/>
      </c>
      <c r="D114" s="242">
        <f>MAX(0,C114-D22-(MIN(-D22+C114,MAX(0,Inputs!$B$16*D12))))</f>
        <v/>
      </c>
      <c r="E114" s="242">
        <f>MAX(0,D114-E22-(MIN(-E22+D114,MAX(0,Inputs!$B$16*E12))))</f>
        <v/>
      </c>
      <c r="F114" s="242">
        <f>MAX(0,E114-F22-(MIN(-F22+E114,MAX(0,Inputs!$B$16*F12))))</f>
        <v/>
      </c>
      <c r="G114" s="242">
        <f>MAX(0,F114-G22-(MIN(-G22+F114,MAX(0,Inputs!$B$16*G12))))</f>
        <v/>
      </c>
      <c r="H114" s="242">
        <f>MAX(0,G114-H22-(MIN(-H22+G114,MAX(0,Inputs!$B$16*H12))))</f>
        <v/>
      </c>
      <c r="I114" s="242">
        <f>MAX(0,H114-I22-(MIN(-I22+H114,MAX(0,Inputs!$B$16*I12))))</f>
        <v/>
      </c>
      <c r="J114" s="242">
        <f>MAX(0,I114-J22-(MIN(-J22+I114,MAX(0,Inputs!$B$16*J12))))</f>
        <v/>
      </c>
      <c r="K114" s="242">
        <f>MAX(0,J114-K22-(MIN(-K22+J114,MAX(0,Inputs!$B$16*K12))))</f>
        <v/>
      </c>
      <c r="L114" s="242">
        <f>MAX(0,K114-L22-(MIN(-L22+K114,MAX(0,Inputs!$B$16*L12))))</f>
        <v/>
      </c>
      <c r="M114" s="242">
        <f>MAX(0,L114-M22-(MIN(-M22+L114,MAX(0,Inputs!$B$16*M12))))</f>
        <v/>
      </c>
      <c r="N114" s="242">
        <f>MAX(0,M114-N22-(MIN(-N22+M114,MAX(0,Inputs!$B$16*N12))))</f>
        <v/>
      </c>
      <c r="O114" s="242">
        <f>MAX(0,N114-O22-(MIN(-O22+N114,MAX(0,Inputs!$B$16*O12))))</f>
        <v/>
      </c>
      <c r="P114" s="242">
        <f>MAX(0,O114-P22-(MIN(-P22+O114,MAX(0,Inputs!$B$16*P12))))</f>
        <v/>
      </c>
      <c r="Q114" s="242">
        <f>MAX(0,P114-Q22-(MIN(-Q22+P114,MAX(0,Inputs!$B$16*Q12))))</f>
        <v/>
      </c>
      <c r="R114" s="242">
        <f>MAX(0,Q114-R22-(MIN(-R22+Q114,MAX(0,Inputs!$B$16*R12))))</f>
        <v/>
      </c>
      <c r="S114" s="242">
        <f>MAX(0,R114-S22-(MIN(-S22+R114,MAX(0,Inputs!$B$16*S12))))</f>
        <v/>
      </c>
      <c r="T114" s="242">
        <f>MAX(0,S114-T22-(MIN(-T22+S114,MAX(0,Inputs!$B$16*T12))))</f>
        <v/>
      </c>
      <c r="U114" s="242">
        <f>MAX(0,T114-U22-(MIN(-U22+T114,MAX(0,Inputs!$B$16*U12))))</f>
        <v/>
      </c>
      <c r="V114" s="242">
        <f>MAX(0,U114-V22-(MIN(-V22+U114,MAX(0,Inputs!$B$16*V12))))</f>
        <v/>
      </c>
    </row>
    <row r="115">
      <c r="A115" s="165" t="inlineStr">
        <is>
          <t>NOL carryforward</t>
        </is>
      </c>
      <c r="B115" s="165" t="inlineStr">
        <is>
          <t>$mm</t>
        </is>
      </c>
      <c r="C115" s="242">
        <f>MAX(0,0-C116)</f>
        <v/>
      </c>
      <c r="D115" s="242">
        <f>MAX(0,C115-D116)</f>
        <v/>
      </c>
      <c r="E115" s="242">
        <f>MAX(0,D115-E116)</f>
        <v/>
      </c>
      <c r="F115" s="242">
        <f>MAX(0,E115-F116)</f>
        <v/>
      </c>
      <c r="G115" s="242">
        <f>MAX(0,F115-G116)</f>
        <v/>
      </c>
      <c r="H115" s="242">
        <f>MAX(0,G115-H116)</f>
        <v/>
      </c>
      <c r="I115" s="242">
        <f>MAX(0,H115-I116)</f>
        <v/>
      </c>
      <c r="J115" s="242">
        <f>MAX(0,I115-J116)</f>
        <v/>
      </c>
      <c r="K115" s="242">
        <f>MAX(0,J115-K116)</f>
        <v/>
      </c>
      <c r="L115" s="242">
        <f>MAX(0,K115-L116)</f>
        <v/>
      </c>
      <c r="M115" s="242">
        <f>MAX(0,L115-M116)</f>
        <v/>
      </c>
      <c r="N115" s="242">
        <f>MAX(0,M115-N116)</f>
        <v/>
      </c>
      <c r="O115" s="242">
        <f>MAX(0,N115-O116)</f>
        <v/>
      </c>
      <c r="P115" s="242">
        <f>MAX(0,O115-P116)</f>
        <v/>
      </c>
      <c r="Q115" s="242">
        <f>MAX(0,P115-Q116)</f>
        <v/>
      </c>
      <c r="R115" s="242">
        <f>MAX(0,Q115-R116)</f>
        <v/>
      </c>
      <c r="S115" s="242">
        <f>MAX(0,R115-S116)</f>
        <v/>
      </c>
      <c r="T115" s="242">
        <f>MAX(0,S115-T116)</f>
        <v/>
      </c>
      <c r="U115" s="242">
        <f>MAX(0,T115-U116)</f>
        <v/>
      </c>
      <c r="V115" s="242">
        <f>MAX(0,U115-V116)</f>
        <v/>
      </c>
    </row>
    <row r="116">
      <c r="A116" s="165" t="inlineStr">
        <is>
          <t>Taxable income</t>
        </is>
      </c>
      <c r="B116" s="165" t="inlineStr">
        <is>
          <t>$mm</t>
        </is>
      </c>
      <c r="C116" s="242">
        <f>MAX(0,C12-C17-(MIN(-C22+0,MAX(0,Inputs!$B$16*C12))))</f>
        <v/>
      </c>
      <c r="D116" s="242">
        <f>MAX(0,D12-D17-(MIN(-D22+C114,MAX(0,Inputs!$B$16*D12))))</f>
        <v/>
      </c>
      <c r="E116" s="242">
        <f>MAX(0,E12-E17-(MIN(-E22+D114,MAX(0,Inputs!$B$16*E12))))</f>
        <v/>
      </c>
      <c r="F116" s="242">
        <f>MAX(0,F12-F17-(MIN(-F22+E114,MAX(0,Inputs!$B$16*F12))))</f>
        <v/>
      </c>
      <c r="G116" s="242">
        <f>MAX(0,G12-G17-(MIN(-G22+F114,MAX(0,Inputs!$B$16*G12))))</f>
        <v/>
      </c>
      <c r="H116" s="242">
        <f>MAX(0,H12-H17-(MIN(-H22+G114,MAX(0,Inputs!$B$16*H12))))</f>
        <v/>
      </c>
      <c r="I116" s="242">
        <f>MAX(0,I12-I17-(MIN(-I22+H114,MAX(0,Inputs!$B$16*I12))))</f>
        <v/>
      </c>
      <c r="J116" s="242">
        <f>MAX(0,J12-J17-(MIN(-J22+I114,MAX(0,Inputs!$B$16*J12))))</f>
        <v/>
      </c>
      <c r="K116" s="242">
        <f>MAX(0,K12-K17-(MIN(-K22+J114,MAX(0,Inputs!$B$16*K12))))</f>
        <v/>
      </c>
      <c r="L116" s="242">
        <f>MAX(0,L12-L17-(MIN(-L22+K114,MAX(0,Inputs!$B$16*L12))))</f>
        <v/>
      </c>
      <c r="M116" s="242">
        <f>MAX(0,M12-M17-(MIN(-M22+L114,MAX(0,Inputs!$B$16*M12))))</f>
        <v/>
      </c>
      <c r="N116" s="242">
        <f>MAX(0,N12-N17-(MIN(-N22+M114,MAX(0,Inputs!$B$16*N12))))</f>
        <v/>
      </c>
      <c r="O116" s="242">
        <f>MAX(0,O12-O17-(MIN(-O22+N114,MAX(0,Inputs!$B$16*O12))))</f>
        <v/>
      </c>
      <c r="P116" s="242">
        <f>MAX(0,P12-P17-(MIN(-P22+O114,MAX(0,Inputs!$B$16*P12))))</f>
        <v/>
      </c>
      <c r="Q116" s="242">
        <f>MAX(0,Q12-Q17-(MIN(-Q22+P114,MAX(0,Inputs!$B$16*Q12))))</f>
        <v/>
      </c>
      <c r="R116" s="242">
        <f>MAX(0,R12-R17-(MIN(-R22+Q114,MAX(0,Inputs!$B$16*R12))))</f>
        <v/>
      </c>
      <c r="S116" s="242">
        <f>MAX(0,S12-S17-(MIN(-S22+R114,MAX(0,Inputs!$B$16*S12))))</f>
        <v/>
      </c>
      <c r="T116" s="242">
        <f>MAX(0,T12-T17-(MIN(-T22+S114,MAX(0,Inputs!$B$16*T12))))</f>
        <v/>
      </c>
      <c r="U116" s="242">
        <f>MAX(0,U12-U17-(MIN(-U22+T114,MAX(0,Inputs!$B$16*U12))))</f>
        <v/>
      </c>
      <c r="V116" s="242">
        <f>MAX(0,V12-V17-(MIN(-V22+U114,MAX(0,Inputs!$B$16*V12))))</f>
        <v/>
      </c>
    </row>
    <row r="117">
      <c r="A117" s="165" t="n"/>
      <c r="B117" s="165" t="n"/>
      <c r="C117" s="154" t="n"/>
      <c r="D117" s="154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</row>
    <row r="118">
      <c r="A118" s="165" t="n"/>
      <c r="B118" s="165" t="n"/>
      <c r="C118" s="154" t="n"/>
      <c r="D118" s="154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</row>
    <row r="119">
      <c r="A119" s="165" t="n"/>
      <c r="B119" s="165" t="n"/>
      <c r="C119" s="154" t="n"/>
      <c r="D119" s="154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</row>
    <row r="120">
      <c r="A120" s="165" t="n"/>
      <c r="B120" s="165" t="n"/>
      <c r="C120" s="154" t="n"/>
      <c r="D120" s="154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</row>
    <row r="121">
      <c r="A121" s="165" t="n"/>
      <c r="B121" s="165" t="n"/>
      <c r="C121" s="154" t="n"/>
      <c r="D121" s="154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</row>
    <row r="122">
      <c r="A122" s="165" t="n"/>
      <c r="B122" s="165" t="n"/>
      <c r="C122" s="154" t="n"/>
      <c r="D122" s="154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</row>
    <row r="123">
      <c r="A123" s="165" t="n"/>
      <c r="B123" s="165" t="n"/>
      <c r="C123" s="154" t="n"/>
      <c r="D123" s="154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</row>
    <row r="124">
      <c r="A124" s="165" t="n"/>
      <c r="B124" s="165" t="n"/>
      <c r="C124" s="154" t="n"/>
      <c r="D124" s="154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</row>
    <row r="125">
      <c r="A125" s="165" t="n"/>
      <c r="B125" s="165" t="n"/>
      <c r="C125" s="154" t="n"/>
      <c r="D125" s="154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</row>
    <row r="126">
      <c r="A126" s="165" t="n"/>
      <c r="B126" s="165" t="n"/>
      <c r="C126" s="154" t="n"/>
      <c r="D126" s="154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</row>
    <row r="127">
      <c r="A127" s="165" t="n"/>
      <c r="B127" s="165" t="n"/>
      <c r="C127" s="154" t="n"/>
      <c r="D127" s="154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</row>
    <row r="128">
      <c r="A128" s="165" t="n"/>
      <c r="B128" s="165" t="n"/>
      <c r="C128" s="154" t="n"/>
      <c r="D128" s="154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</row>
    <row r="129">
      <c r="A129" s="165" t="n"/>
      <c r="B129" s="165" t="n"/>
      <c r="C129" s="154" t="n"/>
      <c r="D129" s="154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</row>
    <row r="130">
      <c r="A130" s="165" t="n"/>
      <c r="B130" s="165" t="n"/>
      <c r="C130" s="154" t="n"/>
      <c r="D130" s="154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</row>
    <row r="131">
      <c r="A131" s="165" t="n"/>
      <c r="B131" s="165" t="n"/>
      <c r="C131" s="154" t="n"/>
      <c r="D131" s="154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</row>
    <row r="132">
      <c r="A132" s="165" t="n"/>
      <c r="B132" s="165" t="n"/>
      <c r="C132" s="154" t="n"/>
      <c r="D132" s="154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</row>
    <row r="133">
      <c r="A133" s="165" t="n"/>
      <c r="B133" s="165" t="n"/>
      <c r="C133" s="154" t="n"/>
      <c r="D133" s="154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</row>
    <row r="134">
      <c r="A134" s="165" t="n"/>
      <c r="B134" s="165" t="n"/>
      <c r="C134" s="154" t="n"/>
      <c r="D134" s="154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</row>
    <row r="135">
      <c r="A135" s="165" t="n"/>
      <c r="B135" s="165" t="n"/>
      <c r="C135" s="154" t="n"/>
      <c r="D135" s="154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</row>
    <row r="136">
      <c r="A136" s="165" t="n"/>
      <c r="B136" s="165" t="n"/>
      <c r="C136" s="154" t="n"/>
      <c r="D136" s="154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</row>
    <row r="137">
      <c r="A137" s="165" t="n"/>
      <c r="B137" s="165" t="n"/>
      <c r="C137" s="154" t="n"/>
      <c r="D137" s="154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</row>
    <row r="138">
      <c r="A138" s="165" t="n"/>
      <c r="B138" s="165" t="n"/>
      <c r="C138" s="154" t="n"/>
      <c r="D138" s="154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</row>
    <row r="139">
      <c r="A139" s="165" t="n"/>
      <c r="B139" s="165" t="n"/>
      <c r="C139" s="154" t="n"/>
      <c r="D139" s="154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</row>
    <row r="140">
      <c r="A140" s="165" t="n"/>
      <c r="B140" s="165" t="n"/>
      <c r="C140" s="154" t="n"/>
      <c r="D140" s="154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</row>
  </sheetData>
  <mergeCells count="7">
    <mergeCell ref="A16:V16"/>
    <mergeCell ref="A68:V68"/>
    <mergeCell ref="A1:V1"/>
    <mergeCell ref="A46:V46"/>
    <mergeCell ref="A88:V88"/>
    <mergeCell ref="A29:V29"/>
    <mergeCell ref="A4:V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26" customHeight="1">
      <c r="A1" s="9" t="inlineStr">
        <is>
          <t>Project Keystone - Standalone Upside Quarterly LBO ($mm)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30" t="n"/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</row>
    <row r="3">
      <c r="A3" s="164" t="inlineStr">
        <is>
          <t>Line Item</t>
        </is>
      </c>
      <c r="B3" s="164" t="inlineStr">
        <is>
          <t>Unit</t>
        </is>
      </c>
      <c r="C3" s="238" t="n">
        <v>46203</v>
      </c>
      <c r="D3" s="238" t="n">
        <v>46295</v>
      </c>
      <c r="E3" s="238" t="n">
        <v>46387</v>
      </c>
      <c r="F3" s="238" t="n">
        <v>46477</v>
      </c>
      <c r="G3" s="238" t="n">
        <v>46568</v>
      </c>
      <c r="H3" s="238" t="n">
        <v>46660</v>
      </c>
      <c r="I3" s="238" t="n">
        <v>46752</v>
      </c>
      <c r="J3" s="238" t="n">
        <v>46843</v>
      </c>
      <c r="K3" s="238" t="n">
        <v>46934</v>
      </c>
      <c r="L3" s="238" t="n">
        <v>47026</v>
      </c>
      <c r="M3" s="238" t="n">
        <v>47118</v>
      </c>
      <c r="N3" s="238" t="n">
        <v>47208</v>
      </c>
      <c r="O3" s="238" t="n">
        <v>47299</v>
      </c>
      <c r="P3" s="238" t="n">
        <v>47391</v>
      </c>
      <c r="Q3" s="238" t="n">
        <v>47483</v>
      </c>
      <c r="R3" s="238" t="n">
        <v>47573</v>
      </c>
      <c r="S3" s="238" t="n">
        <v>47664</v>
      </c>
      <c r="T3" s="238" t="n">
        <v>47756</v>
      </c>
      <c r="U3" s="238" t="n">
        <v>47848</v>
      </c>
      <c r="V3" s="238" t="n">
        <v>47938</v>
      </c>
    </row>
    <row r="4">
      <c r="A4" s="39" t="inlineStr">
        <is>
          <t>Operating Model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s="165" t="inlineStr">
        <is>
          <t>Revenue</t>
        </is>
      </c>
      <c r="B5" s="165" t="inlineStr">
        <is>
          <t>$mm</t>
        </is>
      </c>
      <c r="C5" s="239">
        <f>'Scenario_Drivers'!C73</f>
        <v/>
      </c>
      <c r="D5" s="239">
        <f>'Scenario_Drivers'!D73</f>
        <v/>
      </c>
      <c r="E5" s="239">
        <f>'Scenario_Drivers'!E73</f>
        <v/>
      </c>
      <c r="F5" s="239">
        <f>'Scenario_Drivers'!F73</f>
        <v/>
      </c>
      <c r="G5" s="239">
        <f>'Scenario_Drivers'!G73</f>
        <v/>
      </c>
      <c r="H5" s="239">
        <f>'Scenario_Drivers'!H73</f>
        <v/>
      </c>
      <c r="I5" s="239">
        <f>'Scenario_Drivers'!I73</f>
        <v/>
      </c>
      <c r="J5" s="239">
        <f>'Scenario_Drivers'!J73</f>
        <v/>
      </c>
      <c r="K5" s="239">
        <f>'Scenario_Drivers'!K73</f>
        <v/>
      </c>
      <c r="L5" s="239">
        <f>'Scenario_Drivers'!L73</f>
        <v/>
      </c>
      <c r="M5" s="239">
        <f>'Scenario_Drivers'!M73</f>
        <v/>
      </c>
      <c r="N5" s="239">
        <f>'Scenario_Drivers'!N73</f>
        <v/>
      </c>
      <c r="O5" s="239">
        <f>'Scenario_Drivers'!O73</f>
        <v/>
      </c>
      <c r="P5" s="239">
        <f>'Scenario_Drivers'!P73</f>
        <v/>
      </c>
      <c r="Q5" s="239">
        <f>'Scenario_Drivers'!Q73</f>
        <v/>
      </c>
      <c r="R5" s="239">
        <f>'Scenario_Drivers'!R73</f>
        <v/>
      </c>
      <c r="S5" s="239">
        <f>'Scenario_Drivers'!S73</f>
        <v/>
      </c>
      <c r="T5" s="239">
        <f>'Scenario_Drivers'!T73</f>
        <v/>
      </c>
      <c r="U5" s="239">
        <f>'Scenario_Drivers'!U73</f>
        <v/>
      </c>
      <c r="V5" s="239">
        <f>'Scenario_Drivers'!V73</f>
        <v/>
      </c>
    </row>
    <row r="6">
      <c r="A6" s="165" t="inlineStr">
        <is>
          <t>Growth</t>
        </is>
      </c>
      <c r="B6" s="165" t="inlineStr">
        <is>
          <t>%</t>
        </is>
      </c>
      <c r="C6" s="240">
        <f>C5/(74.0*'Scenario_Drivers'!C104)-1</f>
        <v/>
      </c>
      <c r="D6" s="240">
        <f>D5/C5-1</f>
        <v/>
      </c>
      <c r="E6" s="240">
        <f>E5/D5-1</f>
        <v/>
      </c>
      <c r="F6" s="240">
        <f>F5/V5-1</f>
        <v/>
      </c>
      <c r="G6" s="240">
        <f>G5/F5-1</f>
        <v/>
      </c>
      <c r="H6" s="240">
        <f>H5/G5-1</f>
        <v/>
      </c>
      <c r="I6" s="240">
        <f>I5/H5-1</f>
        <v/>
      </c>
      <c r="J6" s="240">
        <f>J5/F5-1</f>
        <v/>
      </c>
      <c r="K6" s="240">
        <f>K5/J5-1</f>
        <v/>
      </c>
      <c r="L6" s="240">
        <f>L5/K5-1</f>
        <v/>
      </c>
      <c r="M6" s="240">
        <f>M5/L5-1</f>
        <v/>
      </c>
      <c r="N6" s="240">
        <f>N5/J5-1</f>
        <v/>
      </c>
      <c r="O6" s="240">
        <f>O5/N5-1</f>
        <v/>
      </c>
      <c r="P6" s="240">
        <f>P5/O5-1</f>
        <v/>
      </c>
      <c r="Q6" s="240">
        <f>Q5/P5-1</f>
        <v/>
      </c>
      <c r="R6" s="240">
        <f>R5/N5-1</f>
        <v/>
      </c>
      <c r="S6" s="240">
        <f>S5/R5-1</f>
        <v/>
      </c>
      <c r="T6" s="240">
        <f>T5/S5-1</f>
        <v/>
      </c>
      <c r="U6" s="240">
        <f>U5/T5-1</f>
        <v/>
      </c>
      <c r="V6" s="240">
        <f>V5/R5-1</f>
        <v/>
      </c>
    </row>
    <row r="7">
      <c r="A7" s="165" t="inlineStr">
        <is>
          <t>Gross margin</t>
        </is>
      </c>
      <c r="B7" s="165" t="inlineStr">
        <is>
          <t>%</t>
        </is>
      </c>
      <c r="C7" s="241">
        <f>'Scenario_Drivers'!C74</f>
        <v/>
      </c>
      <c r="D7" s="241">
        <f>'Scenario_Drivers'!D74</f>
        <v/>
      </c>
      <c r="E7" s="241">
        <f>'Scenario_Drivers'!E74</f>
        <v/>
      </c>
      <c r="F7" s="241">
        <f>'Scenario_Drivers'!F74</f>
        <v/>
      </c>
      <c r="G7" s="241">
        <f>'Scenario_Drivers'!G74</f>
        <v/>
      </c>
      <c r="H7" s="241">
        <f>'Scenario_Drivers'!H74</f>
        <v/>
      </c>
      <c r="I7" s="241">
        <f>'Scenario_Drivers'!I74</f>
        <v/>
      </c>
      <c r="J7" s="241">
        <f>'Scenario_Drivers'!J74</f>
        <v/>
      </c>
      <c r="K7" s="241">
        <f>'Scenario_Drivers'!K74</f>
        <v/>
      </c>
      <c r="L7" s="241">
        <f>'Scenario_Drivers'!L74</f>
        <v/>
      </c>
      <c r="M7" s="241">
        <f>'Scenario_Drivers'!M74</f>
        <v/>
      </c>
      <c r="N7" s="241">
        <f>'Scenario_Drivers'!N74</f>
        <v/>
      </c>
      <c r="O7" s="241">
        <f>'Scenario_Drivers'!O74</f>
        <v/>
      </c>
      <c r="P7" s="241">
        <f>'Scenario_Drivers'!P74</f>
        <v/>
      </c>
      <c r="Q7" s="241">
        <f>'Scenario_Drivers'!Q74</f>
        <v/>
      </c>
      <c r="R7" s="241">
        <f>'Scenario_Drivers'!R74</f>
        <v/>
      </c>
      <c r="S7" s="241">
        <f>'Scenario_Drivers'!S74</f>
        <v/>
      </c>
      <c r="T7" s="241">
        <f>'Scenario_Drivers'!T74</f>
        <v/>
      </c>
      <c r="U7" s="241">
        <f>'Scenario_Drivers'!U74</f>
        <v/>
      </c>
      <c r="V7" s="241">
        <f>'Scenario_Drivers'!V74</f>
        <v/>
      </c>
    </row>
    <row r="8">
      <c r="A8" s="165" t="inlineStr">
        <is>
          <t>Gross profit</t>
        </is>
      </c>
      <c r="B8" s="165" t="inlineStr">
        <is>
          <t>$mm</t>
        </is>
      </c>
      <c r="C8" s="242">
        <f>C5*C7</f>
        <v/>
      </c>
      <c r="D8" s="242">
        <f>D5*D7</f>
        <v/>
      </c>
      <c r="E8" s="242">
        <f>E5*E7</f>
        <v/>
      </c>
      <c r="F8" s="242">
        <f>F5*F7</f>
        <v/>
      </c>
      <c r="G8" s="242">
        <f>G5*G7</f>
        <v/>
      </c>
      <c r="H8" s="242">
        <f>H5*H7</f>
        <v/>
      </c>
      <c r="I8" s="242">
        <f>I5*I7</f>
        <v/>
      </c>
      <c r="J8" s="242">
        <f>J5*J7</f>
        <v/>
      </c>
      <c r="K8" s="242">
        <f>K5*K7</f>
        <v/>
      </c>
      <c r="L8" s="242">
        <f>L5*L7</f>
        <v/>
      </c>
      <c r="M8" s="242">
        <f>M5*M7</f>
        <v/>
      </c>
      <c r="N8" s="242">
        <f>N5*N7</f>
        <v/>
      </c>
      <c r="O8" s="242">
        <f>O5*O7</f>
        <v/>
      </c>
      <c r="P8" s="242">
        <f>P5*P7</f>
        <v/>
      </c>
      <c r="Q8" s="242">
        <f>Q5*Q7</f>
        <v/>
      </c>
      <c r="R8" s="242">
        <f>R5*R7</f>
        <v/>
      </c>
      <c r="S8" s="242">
        <f>S5*S7</f>
        <v/>
      </c>
      <c r="T8" s="242">
        <f>T5*T7</f>
        <v/>
      </c>
      <c r="U8" s="242">
        <f>U5*U7</f>
        <v/>
      </c>
      <c r="V8" s="242">
        <f>V5*V7</f>
        <v/>
      </c>
    </row>
    <row r="9">
      <c r="A9" s="165" t="inlineStr">
        <is>
          <t>COGS</t>
        </is>
      </c>
      <c r="B9" s="165" t="inlineStr">
        <is>
          <t>$mm</t>
        </is>
      </c>
      <c r="C9" s="242">
        <f>-(C5-C8)</f>
        <v/>
      </c>
      <c r="D9" s="242">
        <f>-(D5-D8)</f>
        <v/>
      </c>
      <c r="E9" s="242">
        <f>-(E5-E8)</f>
        <v/>
      </c>
      <c r="F9" s="242">
        <f>-(F5-F8)</f>
        <v/>
      </c>
      <c r="G9" s="242">
        <f>-(G5-G8)</f>
        <v/>
      </c>
      <c r="H9" s="242">
        <f>-(H5-H8)</f>
        <v/>
      </c>
      <c r="I9" s="242">
        <f>-(I5-I8)</f>
        <v/>
      </c>
      <c r="J9" s="242">
        <f>-(J5-J8)</f>
        <v/>
      </c>
      <c r="K9" s="242">
        <f>-(K5-K8)</f>
        <v/>
      </c>
      <c r="L9" s="242">
        <f>-(L5-L8)</f>
        <v/>
      </c>
      <c r="M9" s="242">
        <f>-(M5-M8)</f>
        <v/>
      </c>
      <c r="N9" s="242">
        <f>-(N5-N8)</f>
        <v/>
      </c>
      <c r="O9" s="242">
        <f>-(O5-O8)</f>
        <v/>
      </c>
      <c r="P9" s="242">
        <f>-(P5-P8)</f>
        <v/>
      </c>
      <c r="Q9" s="242">
        <f>-(Q5-Q8)</f>
        <v/>
      </c>
      <c r="R9" s="242">
        <f>-(R5-R8)</f>
        <v/>
      </c>
      <c r="S9" s="242">
        <f>-(S5-S8)</f>
        <v/>
      </c>
      <c r="T9" s="242">
        <f>-(T5-T8)</f>
        <v/>
      </c>
      <c r="U9" s="242">
        <f>-(U5-U8)</f>
        <v/>
      </c>
      <c r="V9" s="242">
        <f>-(V5-V8)</f>
        <v/>
      </c>
    </row>
    <row r="10">
      <c r="A10" s="165" t="inlineStr">
        <is>
          <t>Firm EBITDA</t>
        </is>
      </c>
      <c r="B10" s="165" t="inlineStr">
        <is>
          <t>$mm</t>
        </is>
      </c>
      <c r="C10" s="239">
        <f>'Scenario_Drivers'!C75</f>
        <v/>
      </c>
      <c r="D10" s="239">
        <f>'Scenario_Drivers'!D75</f>
        <v/>
      </c>
      <c r="E10" s="239">
        <f>'Scenario_Drivers'!E75</f>
        <v/>
      </c>
      <c r="F10" s="239">
        <f>'Scenario_Drivers'!F75</f>
        <v/>
      </c>
      <c r="G10" s="239">
        <f>'Scenario_Drivers'!G75</f>
        <v/>
      </c>
      <c r="H10" s="239">
        <f>'Scenario_Drivers'!H75</f>
        <v/>
      </c>
      <c r="I10" s="239">
        <f>'Scenario_Drivers'!I75</f>
        <v/>
      </c>
      <c r="J10" s="239">
        <f>'Scenario_Drivers'!J75</f>
        <v/>
      </c>
      <c r="K10" s="239">
        <f>'Scenario_Drivers'!K75</f>
        <v/>
      </c>
      <c r="L10" s="239">
        <f>'Scenario_Drivers'!L75</f>
        <v/>
      </c>
      <c r="M10" s="239">
        <f>'Scenario_Drivers'!M75</f>
        <v/>
      </c>
      <c r="N10" s="239">
        <f>'Scenario_Drivers'!N75</f>
        <v/>
      </c>
      <c r="O10" s="239">
        <f>'Scenario_Drivers'!O75</f>
        <v/>
      </c>
      <c r="P10" s="239">
        <f>'Scenario_Drivers'!P75</f>
        <v/>
      </c>
      <c r="Q10" s="239">
        <f>'Scenario_Drivers'!Q75</f>
        <v/>
      </c>
      <c r="R10" s="239">
        <f>'Scenario_Drivers'!R75</f>
        <v/>
      </c>
      <c r="S10" s="239">
        <f>'Scenario_Drivers'!S75</f>
        <v/>
      </c>
      <c r="T10" s="239">
        <f>'Scenario_Drivers'!T75</f>
        <v/>
      </c>
      <c r="U10" s="239">
        <f>'Scenario_Drivers'!U75</f>
        <v/>
      </c>
      <c r="V10" s="239">
        <f>'Scenario_Drivers'!V75</f>
        <v/>
      </c>
    </row>
    <row r="11">
      <c r="A11" s="165" t="inlineStr">
        <is>
          <t>One-time charges</t>
        </is>
      </c>
      <c r="B11" s="165" t="inlineStr">
        <is>
          <t>$mm</t>
        </is>
      </c>
      <c r="C11" s="242">
        <f>-'Scenario_Drivers'!C76</f>
        <v/>
      </c>
      <c r="D11" s="242">
        <f>-'Scenario_Drivers'!D76</f>
        <v/>
      </c>
      <c r="E11" s="242">
        <f>-'Scenario_Drivers'!E76</f>
        <v/>
      </c>
      <c r="F11" s="242">
        <f>-'Scenario_Drivers'!F76</f>
        <v/>
      </c>
      <c r="G11" s="242">
        <f>-'Scenario_Drivers'!G76</f>
        <v/>
      </c>
      <c r="H11" s="242">
        <f>-'Scenario_Drivers'!H76</f>
        <v/>
      </c>
      <c r="I11" s="242">
        <f>-'Scenario_Drivers'!I76</f>
        <v/>
      </c>
      <c r="J11" s="242">
        <f>-'Scenario_Drivers'!J76</f>
        <v/>
      </c>
      <c r="K11" s="242">
        <f>-'Scenario_Drivers'!K76</f>
        <v/>
      </c>
      <c r="L11" s="242">
        <f>-'Scenario_Drivers'!L76</f>
        <v/>
      </c>
      <c r="M11" s="242">
        <f>-'Scenario_Drivers'!M76</f>
        <v/>
      </c>
      <c r="N11" s="242">
        <f>-'Scenario_Drivers'!N76</f>
        <v/>
      </c>
      <c r="O11" s="242">
        <f>-'Scenario_Drivers'!O76</f>
        <v/>
      </c>
      <c r="P11" s="242">
        <f>-'Scenario_Drivers'!P76</f>
        <v/>
      </c>
      <c r="Q11" s="242">
        <f>-'Scenario_Drivers'!Q76</f>
        <v/>
      </c>
      <c r="R11" s="242">
        <f>-'Scenario_Drivers'!R76</f>
        <v/>
      </c>
      <c r="S11" s="242">
        <f>-'Scenario_Drivers'!S76</f>
        <v/>
      </c>
      <c r="T11" s="242">
        <f>-'Scenario_Drivers'!T76</f>
        <v/>
      </c>
      <c r="U11" s="242">
        <f>-'Scenario_Drivers'!U76</f>
        <v/>
      </c>
      <c r="V11" s="242">
        <f>-'Scenario_Drivers'!V76</f>
        <v/>
      </c>
    </row>
    <row r="12">
      <c r="A12" s="165" t="inlineStr">
        <is>
          <t>Reported EBITDA</t>
        </is>
      </c>
      <c r="B12" s="165" t="inlineStr">
        <is>
          <t>$mm</t>
        </is>
      </c>
      <c r="C12" s="242">
        <f>C10+C11</f>
        <v/>
      </c>
      <c r="D12" s="242">
        <f>D10+D11</f>
        <v/>
      </c>
      <c r="E12" s="242">
        <f>E10+E11</f>
        <v/>
      </c>
      <c r="F12" s="242">
        <f>F10+F11</f>
        <v/>
      </c>
      <c r="G12" s="242">
        <f>G10+G11</f>
        <v/>
      </c>
      <c r="H12" s="242">
        <f>H10+H11</f>
        <v/>
      </c>
      <c r="I12" s="242">
        <f>I10+I11</f>
        <v/>
      </c>
      <c r="J12" s="242">
        <f>J10+J11</f>
        <v/>
      </c>
      <c r="K12" s="242">
        <f>K10+K11</f>
        <v/>
      </c>
      <c r="L12" s="242">
        <f>L10+L11</f>
        <v/>
      </c>
      <c r="M12" s="242">
        <f>M10+M11</f>
        <v/>
      </c>
      <c r="N12" s="242">
        <f>N10+N11</f>
        <v/>
      </c>
      <c r="O12" s="242">
        <f>O10+O11</f>
        <v/>
      </c>
      <c r="P12" s="242">
        <f>P10+P11</f>
        <v/>
      </c>
      <c r="Q12" s="242">
        <f>Q10+Q11</f>
        <v/>
      </c>
      <c r="R12" s="242">
        <f>R10+R11</f>
        <v/>
      </c>
      <c r="S12" s="242">
        <f>S10+S11</f>
        <v/>
      </c>
      <c r="T12" s="242">
        <f>T10+T11</f>
        <v/>
      </c>
      <c r="U12" s="242">
        <f>U10+U11</f>
        <v/>
      </c>
      <c r="V12" s="242">
        <f>V10+V11</f>
        <v/>
      </c>
    </row>
    <row r="13">
      <c r="A13" s="165" t="inlineStr">
        <is>
          <t>Covenant add-backs</t>
        </is>
      </c>
      <c r="B13" s="165" t="inlineStr">
        <is>
          <t>$mm</t>
        </is>
      </c>
      <c r="C13" s="239">
        <f>'Scenario_Drivers'!C77</f>
        <v/>
      </c>
      <c r="D13" s="239">
        <f>'Scenario_Drivers'!D77</f>
        <v/>
      </c>
      <c r="E13" s="239">
        <f>'Scenario_Drivers'!E77</f>
        <v/>
      </c>
      <c r="F13" s="239">
        <f>'Scenario_Drivers'!F77</f>
        <v/>
      </c>
      <c r="G13" s="239">
        <f>'Scenario_Drivers'!G77</f>
        <v/>
      </c>
      <c r="H13" s="239">
        <f>'Scenario_Drivers'!H77</f>
        <v/>
      </c>
      <c r="I13" s="239">
        <f>'Scenario_Drivers'!I77</f>
        <v/>
      </c>
      <c r="J13" s="239">
        <f>'Scenario_Drivers'!J77</f>
        <v/>
      </c>
      <c r="K13" s="239">
        <f>'Scenario_Drivers'!K77</f>
        <v/>
      </c>
      <c r="L13" s="239">
        <f>'Scenario_Drivers'!L77</f>
        <v/>
      </c>
      <c r="M13" s="239">
        <f>'Scenario_Drivers'!M77</f>
        <v/>
      </c>
      <c r="N13" s="239">
        <f>'Scenario_Drivers'!N77</f>
        <v/>
      </c>
      <c r="O13" s="239">
        <f>'Scenario_Drivers'!O77</f>
        <v/>
      </c>
      <c r="P13" s="239">
        <f>'Scenario_Drivers'!P77</f>
        <v/>
      </c>
      <c r="Q13" s="239">
        <f>'Scenario_Drivers'!Q77</f>
        <v/>
      </c>
      <c r="R13" s="239">
        <f>'Scenario_Drivers'!R77</f>
        <v/>
      </c>
      <c r="S13" s="239">
        <f>'Scenario_Drivers'!S77</f>
        <v/>
      </c>
      <c r="T13" s="239">
        <f>'Scenario_Drivers'!T77</f>
        <v/>
      </c>
      <c r="U13" s="239">
        <f>'Scenario_Drivers'!U77</f>
        <v/>
      </c>
      <c r="V13" s="239">
        <f>'Scenario_Drivers'!V77</f>
        <v/>
      </c>
    </row>
    <row r="14">
      <c r="A14" s="165" t="inlineStr">
        <is>
          <t>Covenant EBITDA</t>
        </is>
      </c>
      <c r="B14" s="165" t="inlineStr">
        <is>
          <t>$mm</t>
        </is>
      </c>
      <c r="C14" s="242">
        <f>C12+C13</f>
        <v/>
      </c>
      <c r="D14" s="242">
        <f>D12+D13</f>
        <v/>
      </c>
      <c r="E14" s="242">
        <f>E12+E13</f>
        <v/>
      </c>
      <c r="F14" s="242">
        <f>F12+F13</f>
        <v/>
      </c>
      <c r="G14" s="242">
        <f>G12+G13</f>
        <v/>
      </c>
      <c r="H14" s="242">
        <f>H12+H13</f>
        <v/>
      </c>
      <c r="I14" s="242">
        <f>I12+I13</f>
        <v/>
      </c>
      <c r="J14" s="242">
        <f>J12+J13</f>
        <v/>
      </c>
      <c r="K14" s="242">
        <f>K12+K13</f>
        <v/>
      </c>
      <c r="L14" s="242">
        <f>L12+L13</f>
        <v/>
      </c>
      <c r="M14" s="242">
        <f>M12+M13</f>
        <v/>
      </c>
      <c r="N14" s="242">
        <f>N12+N13</f>
        <v/>
      </c>
      <c r="O14" s="242">
        <f>O12+O13</f>
        <v/>
      </c>
      <c r="P14" s="242">
        <f>P12+P13</f>
        <v/>
      </c>
      <c r="Q14" s="242">
        <f>Q12+Q13</f>
        <v/>
      </c>
      <c r="R14" s="242">
        <f>R12+R13</f>
        <v/>
      </c>
      <c r="S14" s="242">
        <f>S12+S13</f>
        <v/>
      </c>
      <c r="T14" s="242">
        <f>T12+T13</f>
        <v/>
      </c>
      <c r="U14" s="242">
        <f>U12+U13</f>
        <v/>
      </c>
      <c r="V14" s="242">
        <f>V12+V13</f>
        <v/>
      </c>
    </row>
    <row r="15">
      <c r="A15" s="165" t="inlineStr">
        <is>
          <t>Firm EBITDA margin</t>
        </is>
      </c>
      <c r="B15" s="165" t="inlineStr">
        <is>
          <t>%</t>
        </is>
      </c>
      <c r="C15" s="240">
        <f>C10/C5</f>
        <v/>
      </c>
      <c r="D15" s="240">
        <f>D10/D5</f>
        <v/>
      </c>
      <c r="E15" s="240">
        <f>E10/E5</f>
        <v/>
      </c>
      <c r="F15" s="240">
        <f>F10/F5</f>
        <v/>
      </c>
      <c r="G15" s="240">
        <f>G10/G5</f>
        <v/>
      </c>
      <c r="H15" s="240">
        <f>H10/H5</f>
        <v/>
      </c>
      <c r="I15" s="240">
        <f>I10/I5</f>
        <v/>
      </c>
      <c r="J15" s="240">
        <f>J10/J5</f>
        <v/>
      </c>
      <c r="K15" s="240">
        <f>K10/K5</f>
        <v/>
      </c>
      <c r="L15" s="240">
        <f>L10/L5</f>
        <v/>
      </c>
      <c r="M15" s="240">
        <f>M10/M5</f>
        <v/>
      </c>
      <c r="N15" s="240">
        <f>N10/N5</f>
        <v/>
      </c>
      <c r="O15" s="240">
        <f>O10/O5</f>
        <v/>
      </c>
      <c r="P15" s="240">
        <f>P10/P5</f>
        <v/>
      </c>
      <c r="Q15" s="240">
        <f>Q10/Q5</f>
        <v/>
      </c>
      <c r="R15" s="240">
        <f>R10/R5</f>
        <v/>
      </c>
      <c r="S15" s="240">
        <f>S10/S5</f>
        <v/>
      </c>
      <c r="T15" s="240">
        <f>T10/T5</f>
        <v/>
      </c>
      <c r="U15" s="240">
        <f>U10/U5</f>
        <v/>
      </c>
      <c r="V15" s="240">
        <f>V10/V5</f>
        <v/>
      </c>
    </row>
    <row r="16">
      <c r="A16" s="39" t="inlineStr">
        <is>
          <t>Income Statement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>
      <c r="A17" s="165" t="inlineStr">
        <is>
          <t>Depreciation</t>
        </is>
      </c>
      <c r="B17" s="165" t="inlineStr">
        <is>
          <t>$mm</t>
        </is>
      </c>
      <c r="C17" s="242">
        <f>C5*Inputs!$B$17</f>
        <v/>
      </c>
      <c r="D17" s="242">
        <f>D5*Inputs!$B$17</f>
        <v/>
      </c>
      <c r="E17" s="242">
        <f>E5*Inputs!$B$17</f>
        <v/>
      </c>
      <c r="F17" s="242">
        <f>F5*Inputs!$B$17</f>
        <v/>
      </c>
      <c r="G17" s="242">
        <f>G5*Inputs!$B$17</f>
        <v/>
      </c>
      <c r="H17" s="242">
        <f>H5*Inputs!$B$17</f>
        <v/>
      </c>
      <c r="I17" s="242">
        <f>I5*Inputs!$B$17</f>
        <v/>
      </c>
      <c r="J17" s="242">
        <f>J5*Inputs!$B$17</f>
        <v/>
      </c>
      <c r="K17" s="242">
        <f>K5*Inputs!$B$17</f>
        <v/>
      </c>
      <c r="L17" s="242">
        <f>L5*Inputs!$B$17</f>
        <v/>
      </c>
      <c r="M17" s="242">
        <f>M5*Inputs!$B$17</f>
        <v/>
      </c>
      <c r="N17" s="242">
        <f>N5*Inputs!$B$17</f>
        <v/>
      </c>
      <c r="O17" s="242">
        <f>O5*Inputs!$B$17</f>
        <v/>
      </c>
      <c r="P17" s="242">
        <f>P5*Inputs!$B$17</f>
        <v/>
      </c>
      <c r="Q17" s="242">
        <f>Q5*Inputs!$B$17</f>
        <v/>
      </c>
      <c r="R17" s="242">
        <f>R5*Inputs!$B$17</f>
        <v/>
      </c>
      <c r="S17" s="242">
        <f>S5*Inputs!$B$17</f>
        <v/>
      </c>
      <c r="T17" s="242">
        <f>T5*Inputs!$B$17</f>
        <v/>
      </c>
      <c r="U17" s="242">
        <f>U5*Inputs!$B$17</f>
        <v/>
      </c>
      <c r="V17" s="242">
        <f>V5*Inputs!$B$17</f>
        <v/>
      </c>
    </row>
    <row r="18">
      <c r="A18" s="165" t="inlineStr">
        <is>
          <t>Core PPA amortization</t>
        </is>
      </c>
      <c r="B18" s="165" t="inlineStr">
        <is>
          <t>$mm</t>
        </is>
      </c>
      <c r="C18" s="242">
        <f>'Scenario_Drivers'!C103</f>
        <v/>
      </c>
      <c r="D18" s="242">
        <f>'Scenario_Drivers'!D103</f>
        <v/>
      </c>
      <c r="E18" s="242">
        <f>'Scenario_Drivers'!E103</f>
        <v/>
      </c>
      <c r="F18" s="242">
        <f>'Scenario_Drivers'!F103</f>
        <v/>
      </c>
      <c r="G18" s="242">
        <f>'Scenario_Drivers'!G103</f>
        <v/>
      </c>
      <c r="H18" s="242">
        <f>'Scenario_Drivers'!H103</f>
        <v/>
      </c>
      <c r="I18" s="242">
        <f>'Scenario_Drivers'!I103</f>
        <v/>
      </c>
      <c r="J18" s="242">
        <f>'Scenario_Drivers'!J103</f>
        <v/>
      </c>
      <c r="K18" s="242">
        <f>'Scenario_Drivers'!K103</f>
        <v/>
      </c>
      <c r="L18" s="242">
        <f>'Scenario_Drivers'!L103</f>
        <v/>
      </c>
      <c r="M18" s="242">
        <f>'Scenario_Drivers'!M103</f>
        <v/>
      </c>
      <c r="N18" s="242">
        <f>'Scenario_Drivers'!N103</f>
        <v/>
      </c>
      <c r="O18" s="242">
        <f>'Scenario_Drivers'!O103</f>
        <v/>
      </c>
      <c r="P18" s="242">
        <f>'Scenario_Drivers'!P103</f>
        <v/>
      </c>
      <c r="Q18" s="242">
        <f>'Scenario_Drivers'!Q103</f>
        <v/>
      </c>
      <c r="R18" s="242">
        <f>'Scenario_Drivers'!R103</f>
        <v/>
      </c>
      <c r="S18" s="242">
        <f>'Scenario_Drivers'!S103</f>
        <v/>
      </c>
      <c r="T18" s="242">
        <f>'Scenario_Drivers'!T103</f>
        <v/>
      </c>
      <c r="U18" s="242">
        <f>'Scenario_Drivers'!U103</f>
        <v/>
      </c>
      <c r="V18" s="242">
        <f>'Scenario_Drivers'!V103</f>
        <v/>
      </c>
    </row>
    <row r="19">
      <c r="A19" s="165" t="inlineStr">
        <is>
          <t>Integration asset amortization</t>
        </is>
      </c>
      <c r="B19" s="165" t="inlineStr">
        <is>
          <t>$mm</t>
        </is>
      </c>
      <c r="C19" s="242">
        <f>0</f>
        <v/>
      </c>
      <c r="D19" s="242">
        <f>0</f>
        <v/>
      </c>
      <c r="E19" s="242">
        <f>0</f>
        <v/>
      </c>
      <c r="F19" s="242">
        <f>0</f>
        <v/>
      </c>
      <c r="G19" s="242">
        <f>0</f>
        <v/>
      </c>
      <c r="H19" s="242">
        <f>0</f>
        <v/>
      </c>
      <c r="I19" s="242">
        <f>0</f>
        <v/>
      </c>
      <c r="J19" s="242">
        <f>0</f>
        <v/>
      </c>
      <c r="K19" s="242">
        <f>0</f>
        <v/>
      </c>
      <c r="L19" s="242">
        <f>0</f>
        <v/>
      </c>
      <c r="M19" s="242">
        <f>0</f>
        <v/>
      </c>
      <c r="N19" s="242">
        <f>0</f>
        <v/>
      </c>
      <c r="O19" s="242">
        <f>0</f>
        <v/>
      </c>
      <c r="P19" s="242">
        <f>0</f>
        <v/>
      </c>
      <c r="Q19" s="242">
        <f>0</f>
        <v/>
      </c>
      <c r="R19" s="242">
        <f>0</f>
        <v/>
      </c>
      <c r="S19" s="242">
        <f>0</f>
        <v/>
      </c>
      <c r="T19" s="242">
        <f>0</f>
        <v/>
      </c>
      <c r="U19" s="242">
        <f>0</f>
        <v/>
      </c>
      <c r="V19" s="242">
        <f>0</f>
        <v/>
      </c>
    </row>
    <row r="20">
      <c r="A20" s="165" t="inlineStr">
        <is>
          <t>Total D&amp;A</t>
        </is>
      </c>
      <c r="B20" s="165" t="inlineStr">
        <is>
          <t>$mm</t>
        </is>
      </c>
      <c r="C20" s="242">
        <f>SUM(C17:C19)</f>
        <v/>
      </c>
      <c r="D20" s="242">
        <f>SUM(D17:D19)</f>
        <v/>
      </c>
      <c r="E20" s="242">
        <f>SUM(E17:E19)</f>
        <v/>
      </c>
      <c r="F20" s="242">
        <f>SUM(F17:F19)</f>
        <v/>
      </c>
      <c r="G20" s="242">
        <f>SUM(G17:G19)</f>
        <v/>
      </c>
      <c r="H20" s="242">
        <f>SUM(H17:H19)</f>
        <v/>
      </c>
      <c r="I20" s="242">
        <f>SUM(I17:I19)</f>
        <v/>
      </c>
      <c r="J20" s="242">
        <f>SUM(J17:J19)</f>
        <v/>
      </c>
      <c r="K20" s="242">
        <f>SUM(K17:K19)</f>
        <v/>
      </c>
      <c r="L20" s="242">
        <f>SUM(L17:L19)</f>
        <v/>
      </c>
      <c r="M20" s="242">
        <f>SUM(M17:M19)</f>
        <v/>
      </c>
      <c r="N20" s="242">
        <f>SUM(N17:N19)</f>
        <v/>
      </c>
      <c r="O20" s="242">
        <f>SUM(O17:O19)</f>
        <v/>
      </c>
      <c r="P20" s="242">
        <f>SUM(P17:P19)</f>
        <v/>
      </c>
      <c r="Q20" s="242">
        <f>SUM(Q17:Q19)</f>
        <v/>
      </c>
      <c r="R20" s="242">
        <f>SUM(R17:R19)</f>
        <v/>
      </c>
      <c r="S20" s="242">
        <f>SUM(S17:S19)</f>
        <v/>
      </c>
      <c r="T20" s="242">
        <f>SUM(T17:T19)</f>
        <v/>
      </c>
      <c r="U20" s="242">
        <f>SUM(U17:U19)</f>
        <v/>
      </c>
      <c r="V20" s="242">
        <f>SUM(V17:V19)</f>
        <v/>
      </c>
    </row>
    <row r="21">
      <c r="A21" s="165" t="inlineStr">
        <is>
          <t>EBIT</t>
        </is>
      </c>
      <c r="B21" s="165" t="inlineStr">
        <is>
          <t>$mm</t>
        </is>
      </c>
      <c r="C21" s="242">
        <f>C12-C20</f>
        <v/>
      </c>
      <c r="D21" s="242">
        <f>D12-D20</f>
        <v/>
      </c>
      <c r="E21" s="242">
        <f>E12-E20</f>
        <v/>
      </c>
      <c r="F21" s="242">
        <f>F12-F20</f>
        <v/>
      </c>
      <c r="G21" s="242">
        <f>G12-G20</f>
        <v/>
      </c>
      <c r="H21" s="242">
        <f>H12-H20</f>
        <v/>
      </c>
      <c r="I21" s="242">
        <f>I12-I20</f>
        <v/>
      </c>
      <c r="J21" s="242">
        <f>J12-J20</f>
        <v/>
      </c>
      <c r="K21" s="242">
        <f>K12-K20</f>
        <v/>
      </c>
      <c r="L21" s="242">
        <f>L12-L20</f>
        <v/>
      </c>
      <c r="M21" s="242">
        <f>M12-M20</f>
        <v/>
      </c>
      <c r="N21" s="242">
        <f>N12-N20</f>
        <v/>
      </c>
      <c r="O21" s="242">
        <f>O12-O20</f>
        <v/>
      </c>
      <c r="P21" s="242">
        <f>P12-P20</f>
        <v/>
      </c>
      <c r="Q21" s="242">
        <f>Q12-Q20</f>
        <v/>
      </c>
      <c r="R21" s="242">
        <f>R12-R20</f>
        <v/>
      </c>
      <c r="S21" s="242">
        <f>S12-S20</f>
        <v/>
      </c>
      <c r="T21" s="242">
        <f>T12-T20</f>
        <v/>
      </c>
      <c r="U21" s="242">
        <f>U12-U20</f>
        <v/>
      </c>
      <c r="V21" s="242">
        <f>V12-V20</f>
        <v/>
      </c>
    </row>
    <row r="22">
      <c r="A22" s="165" t="inlineStr">
        <is>
          <t>Cash interest</t>
        </is>
      </c>
      <c r="B22" s="165" t="inlineStr">
        <is>
          <t>$mm</t>
        </is>
      </c>
      <c r="C22" s="242">
        <f>-((('S&amp;U_Opening'!$E$18+MAX(0,'S&amp;U_Opening'!$E$18-(MIN(0.107,'S&amp;U_Opening'!$E$18))))/2)*(MAX('Scenario_Drivers'!C101,Inputs!$B$26)+Inputs!$B$23+'Scenario_Drivers'!C102)/4+((0+0+'Scenario_Drivers'!C93-(IF(0&gt;0,MIN(0.015,0),0)))/2)*(MAX('Scenario_Drivers'!C101,Inputs!$B$26)+Inputs!$B$25+'Scenario_Drivers'!C102)/4+0*(MAX('Scenario_Drivers'!C101,Inputs!$B$26)+Inputs!$B$24+'Scenario_Drivers'!C102)/4+MAX(0,Inputs!$B$20-0-'Scenario_Drivers'!C96)*Inputs!$B$29/4+0)</f>
        <v/>
      </c>
      <c r="D22" s="242">
        <f>-(((C76+MAX(0,C76-(MIN(0.107,C76))))/2)*(MAX('Scenario_Drivers'!D101,Inputs!$B$26)+Inputs!$B$23+'Scenario_Drivers'!D102)/4+((C77+C77+'Scenario_Drivers'!D93-(IF(C77&gt;0,MIN(0.015,C77),0)))/2)*(MAX('Scenario_Drivers'!D101,Inputs!$B$26)+Inputs!$B$25+'Scenario_Drivers'!D102)/4+C78*(MAX('Scenario_Drivers'!D101,Inputs!$B$26)+Inputs!$B$24+'Scenario_Drivers'!D102)/4+MAX(0,Inputs!$B$20-C78-'Scenario_Drivers'!D96)*Inputs!$B$29/4+MAX(0,Inputs!$B$21-C77-'Scenario_Drivers'!D93)*Inputs!$B$30/4)</f>
        <v/>
      </c>
      <c r="E22" s="242">
        <f>-(((D76+MAX(0,D76-(MIN(0.107,D76))))/2)*(MAX('Scenario_Drivers'!E101,Inputs!$B$26)+Inputs!$B$23+'Scenario_Drivers'!E102)/4+((D77+D77+'Scenario_Drivers'!E93-(IF(D77&gt;0,MIN(0.015,D77),0)))/2)*(MAX('Scenario_Drivers'!E101,Inputs!$B$26)+Inputs!$B$25+'Scenario_Drivers'!E102)/4+D78*(MAX('Scenario_Drivers'!E101,Inputs!$B$26)+Inputs!$B$24+'Scenario_Drivers'!E102)/4+MAX(0,Inputs!$B$20-D78-'Scenario_Drivers'!E96)*Inputs!$B$29/4+MAX(0,Inputs!$B$21-D77-'Scenario_Drivers'!E93)*Inputs!$B$30/4)</f>
        <v/>
      </c>
      <c r="F22" s="242">
        <f>-(((E76+MAX(0,E76-(MIN(0.107,E76))))/2)*(MAX('Scenario_Drivers'!F101,Inputs!$B$26)+Inputs!$B$23+'Scenario_Drivers'!F102)/4+((E77+E77+'Scenario_Drivers'!F93-(IF(E77&gt;0,MIN(0.015,E77),0)))/2)*(MAX('Scenario_Drivers'!F101,Inputs!$B$26)+Inputs!$B$25+'Scenario_Drivers'!F102)/4+E78*(MAX('Scenario_Drivers'!F101,Inputs!$B$26)+Inputs!$B$24+'Scenario_Drivers'!F102)/4+MAX(0,Inputs!$B$20-E78-'Scenario_Drivers'!F96)*Inputs!$B$29/4+MAX(0,Inputs!$B$21-E77-'Scenario_Drivers'!F93)*Inputs!$B$30/4)</f>
        <v/>
      </c>
      <c r="G22" s="242">
        <f>-(((F76+MAX(0,F76-(MIN(0.107,F76))))/2)*(MAX('Scenario_Drivers'!G101,Inputs!$B$26)+Inputs!$B$23+'Scenario_Drivers'!G102)/4+((F77+F77+'Scenario_Drivers'!G93-(IF(F77&gt;0,MIN(0.015,F77),0)))/2)*(MAX('Scenario_Drivers'!G101,Inputs!$B$26)+Inputs!$B$25+'Scenario_Drivers'!G102)/4+F78*(MAX('Scenario_Drivers'!G101,Inputs!$B$26)+Inputs!$B$24+'Scenario_Drivers'!G102)/4+MAX(0,Inputs!$B$20-F78-'Scenario_Drivers'!G96)*Inputs!$B$29/4+MAX(0,Inputs!$B$21-F77-'Scenario_Drivers'!G93)*Inputs!$B$30/4)</f>
        <v/>
      </c>
      <c r="H22" s="242">
        <f>-(((G76+MAX(0,G76-(MIN(0.107,G76))))/2)*(MAX('Scenario_Drivers'!H101,Inputs!$B$26)+Inputs!$B$23+'Scenario_Drivers'!H102)/4+((G77+G77+'Scenario_Drivers'!H93-(IF(G77&gt;0,MIN(0.015,G77),0)))/2)*(MAX('Scenario_Drivers'!H101,Inputs!$B$26)+Inputs!$B$25+'Scenario_Drivers'!H102)/4+G78*(MAX('Scenario_Drivers'!H101,Inputs!$B$26)+Inputs!$B$24+'Scenario_Drivers'!H102)/4+MAX(0,Inputs!$B$20-G78-'Scenario_Drivers'!H96)*Inputs!$B$29/4+MAX(0,Inputs!$B$21-G77-'Scenario_Drivers'!H93)*Inputs!$B$30/4)</f>
        <v/>
      </c>
      <c r="I22" s="242">
        <f>-(((H76+MAX(0,H76-(MIN(0.107,H76))))/2)*(MAX('Scenario_Drivers'!I101,Inputs!$B$26)+Inputs!$B$23+'Scenario_Drivers'!I102)/4+((H77+H77+'Scenario_Drivers'!I93-(IF(H77&gt;0,MIN(0.015,H77),0)))/2)*(MAX('Scenario_Drivers'!I101,Inputs!$B$26)+Inputs!$B$25+'Scenario_Drivers'!I102)/4+H78*(MAX('Scenario_Drivers'!I101,Inputs!$B$26)+Inputs!$B$24+'Scenario_Drivers'!I102)/4+MAX(0,Inputs!$B$20-H78-'Scenario_Drivers'!I96)*Inputs!$B$29/4+0)</f>
        <v/>
      </c>
      <c r="J22" s="242">
        <f>-(((I76+MAX(0,I76-(MIN(0.107,I76))))/2)*(MAX('Scenario_Drivers'!J101,Inputs!$B$26)+Inputs!$B$23+'Scenario_Drivers'!J102)/4+((I77+I77+'Scenario_Drivers'!J93-(IF(I77&gt;0,MIN(0.015,I77),0)))/2)*(MAX('Scenario_Drivers'!J101,Inputs!$B$26)+Inputs!$B$25+'Scenario_Drivers'!J102)/4+I78*(MAX('Scenario_Drivers'!J101,Inputs!$B$26)+Inputs!$B$24+'Scenario_Drivers'!J102)/4+MAX(0,Inputs!$B$20-I78-'Scenario_Drivers'!J96)*Inputs!$B$29/4+0)</f>
        <v/>
      </c>
      <c r="K22" s="242">
        <f>-(((J76+MAX(0,J76-(MIN(0.107,J76))))/2)*(MAX('Scenario_Drivers'!K101,Inputs!$B$26)+Inputs!$B$23+'Scenario_Drivers'!K102)/4+((J77+J77+'Scenario_Drivers'!K93-(IF(J77&gt;0,MIN(0.015,J77),0)))/2)*(MAX('Scenario_Drivers'!K101,Inputs!$B$26)+Inputs!$B$25+'Scenario_Drivers'!K102)/4+J78*(MAX('Scenario_Drivers'!K101,Inputs!$B$26)+Inputs!$B$24+'Scenario_Drivers'!K102)/4+MAX(0,Inputs!$B$20-J78-'Scenario_Drivers'!K96)*Inputs!$B$29/4+0)</f>
        <v/>
      </c>
      <c r="L22" s="242">
        <f>-(((K76+MAX(0,K76-(MIN(0.107,K76))))/2)*(MAX('Scenario_Drivers'!L101,Inputs!$B$26)+Inputs!$B$23+'Scenario_Drivers'!L102)/4+((K77+K77+'Scenario_Drivers'!L93-(IF(K77&gt;0,MIN(0.015,K77),0)))/2)*(MAX('Scenario_Drivers'!L101,Inputs!$B$26)+Inputs!$B$25+'Scenario_Drivers'!L102)/4+K78*(MAX('Scenario_Drivers'!L101,Inputs!$B$26)+Inputs!$B$24+'Scenario_Drivers'!L102)/4+MAX(0,Inputs!$B$20-K78-'Scenario_Drivers'!L96)*Inputs!$B$29/4+0)</f>
        <v/>
      </c>
      <c r="M22" s="242">
        <f>-(((L76+MAX(0,L76-(MIN(0.107,L76))))/2)*(MAX('Scenario_Drivers'!M101,Inputs!$B$26)+Inputs!$B$23+'Scenario_Drivers'!M102)/4+((L77+L77+'Scenario_Drivers'!M93-(IF(L77&gt;0,MIN(0.015,L77),0)))/2)*(MAX('Scenario_Drivers'!M101,Inputs!$B$26)+Inputs!$B$25+'Scenario_Drivers'!M102)/4+L78*(MAX('Scenario_Drivers'!M101,Inputs!$B$26)+Inputs!$B$24+'Scenario_Drivers'!M102)/4+MAX(0,Inputs!$B$20-L78-'Scenario_Drivers'!M96)*Inputs!$B$29/4+0)</f>
        <v/>
      </c>
      <c r="N22" s="242">
        <f>-(((M76+MAX(0,M76-(MIN(0.107,M76))))/2)*(MAX('Scenario_Drivers'!N101,Inputs!$B$26)+Inputs!$B$23+'Scenario_Drivers'!N102)/4+((M77+M77+'Scenario_Drivers'!N93-(IF(M77&gt;0,MIN(0.015,M77),0)))/2)*(MAX('Scenario_Drivers'!N101,Inputs!$B$26)+Inputs!$B$25+'Scenario_Drivers'!N102)/4+M78*(MAX('Scenario_Drivers'!N101,Inputs!$B$26)+Inputs!$B$24+'Scenario_Drivers'!N102)/4+MAX(0,Inputs!$B$20-M78-'Scenario_Drivers'!N96)*Inputs!$B$29/4+0)</f>
        <v/>
      </c>
      <c r="O22" s="242">
        <f>-(((N76+MAX(0,N76-(MIN(0.107,N76))))/2)*(MAX('Scenario_Drivers'!O101,Inputs!$B$26)+Inputs!$B$23+'Scenario_Drivers'!O102)/4+((N77+N77+'Scenario_Drivers'!O93-(IF(N77&gt;0,MIN(0.015,N77),0)))/2)*(MAX('Scenario_Drivers'!O101,Inputs!$B$26)+Inputs!$B$25+'Scenario_Drivers'!O102)/4+N78*(MAX('Scenario_Drivers'!O101,Inputs!$B$26)+Inputs!$B$24+'Scenario_Drivers'!O102)/4+MAX(0,Inputs!$B$20-N78-'Scenario_Drivers'!O96)*Inputs!$B$29/4+0)</f>
        <v/>
      </c>
      <c r="P22" s="242">
        <f>-(((O76+MAX(0,O76-(MIN(0.107,O76))))/2)*(MAX('Scenario_Drivers'!P101,Inputs!$B$26)+Inputs!$B$23+'Scenario_Drivers'!P102)/4+((O77+O77+'Scenario_Drivers'!P93-(IF(O77&gt;0,MIN(0.015,O77),0)))/2)*(MAX('Scenario_Drivers'!P101,Inputs!$B$26)+Inputs!$B$25+'Scenario_Drivers'!P102)/4+O78*(MAX('Scenario_Drivers'!P101,Inputs!$B$26)+Inputs!$B$24+'Scenario_Drivers'!P102)/4+MAX(0,Inputs!$B$20-O78-'Scenario_Drivers'!P96)*Inputs!$B$29/4+0)</f>
        <v/>
      </c>
      <c r="Q22" s="242">
        <f>-(((P76+MAX(0,P76-(MIN(0.107,P76))))/2)*(MAX('Scenario_Drivers'!Q101,Inputs!$B$26)+Inputs!$B$23+'Scenario_Drivers'!Q102)/4+((P77+P77+'Scenario_Drivers'!Q93-(IF(P77&gt;0,MIN(0.015,P77),0)))/2)*(MAX('Scenario_Drivers'!Q101,Inputs!$B$26)+Inputs!$B$25+'Scenario_Drivers'!Q102)/4+P78*(MAX('Scenario_Drivers'!Q101,Inputs!$B$26)+Inputs!$B$24+'Scenario_Drivers'!Q102)/4+MAX(0,Inputs!$B$20-P78-'Scenario_Drivers'!Q96)*Inputs!$B$29/4+0)</f>
        <v/>
      </c>
      <c r="R22" s="242">
        <f>-(((Q76+MAX(0,Q76-(MIN(0.107,Q76))))/2)*(MAX('Scenario_Drivers'!R101,Inputs!$B$26)+Inputs!$B$23+'Scenario_Drivers'!R102)/4+((Q77+Q77+'Scenario_Drivers'!R93-(IF(Q77&gt;0,MIN(0.015,Q77),0)))/2)*(MAX('Scenario_Drivers'!R101,Inputs!$B$26)+Inputs!$B$25+'Scenario_Drivers'!R102)/4+Q78*(MAX('Scenario_Drivers'!R101,Inputs!$B$26)+Inputs!$B$24+'Scenario_Drivers'!R102)/4+MAX(0,Inputs!$B$20-Q78-'Scenario_Drivers'!R96)*Inputs!$B$29/4+0)</f>
        <v/>
      </c>
      <c r="S22" s="242">
        <f>-(((R76+MAX(0,R76-(MIN(0.107,R76))))/2)*(MAX('Scenario_Drivers'!S101,Inputs!$B$26)+Inputs!$B$23+'Scenario_Drivers'!S102)/4+((R77+R77+'Scenario_Drivers'!S93-(IF(R77&gt;0,MIN(0.015,R77),0)))/2)*(MAX('Scenario_Drivers'!S101,Inputs!$B$26)+Inputs!$B$25+'Scenario_Drivers'!S102)/4+R78*(MAX('Scenario_Drivers'!S101,Inputs!$B$26)+Inputs!$B$24+'Scenario_Drivers'!S102)/4+MAX(0,Inputs!$B$20-R78-'Scenario_Drivers'!S96)*Inputs!$B$29/4+0)</f>
        <v/>
      </c>
      <c r="T22" s="242">
        <f>-(((S76+MAX(0,S76-(MIN(0.107,S76))))/2)*(MAX('Scenario_Drivers'!T101,Inputs!$B$26)+Inputs!$B$23+'Scenario_Drivers'!T102)/4+((S77+S77+'Scenario_Drivers'!T93-(IF(S77&gt;0,MIN(0.015,S77),0)))/2)*(MAX('Scenario_Drivers'!T101,Inputs!$B$26)+Inputs!$B$25+'Scenario_Drivers'!T102)/4+S78*(MAX('Scenario_Drivers'!T101,Inputs!$B$26)+Inputs!$B$24+'Scenario_Drivers'!T102)/4+MAX(0,Inputs!$B$20-S78-'Scenario_Drivers'!T96)*Inputs!$B$29/4+0)</f>
        <v/>
      </c>
      <c r="U22" s="242">
        <f>-(((T76+MAX(0,T76-(MIN(0.107,T76))))/2)*(MAX('Scenario_Drivers'!U101,Inputs!$B$26)+Inputs!$B$23+'Scenario_Drivers'!U102)/4+((T77+T77+'Scenario_Drivers'!U93-(IF(T77&gt;0,MIN(0.015,T77),0)))/2)*(MAX('Scenario_Drivers'!U101,Inputs!$B$26)+Inputs!$B$25+'Scenario_Drivers'!U102)/4+T78*(MAX('Scenario_Drivers'!U101,Inputs!$B$26)+Inputs!$B$24+'Scenario_Drivers'!U102)/4+MAX(0,Inputs!$B$20-T78-'Scenario_Drivers'!U96)*Inputs!$B$29/4+0)</f>
        <v/>
      </c>
      <c r="V22" s="242">
        <f>-(((U76+MAX(0,U76-(MIN(0.107,U76))))/2)*(MAX('Scenario_Drivers'!V101,Inputs!$B$26)+Inputs!$B$23+'Scenario_Drivers'!V102)/4+((U77+U77+'Scenario_Drivers'!V93-(IF(U77&gt;0,MIN(0.015,U77),0)))/2)*(MAX('Scenario_Drivers'!V101,Inputs!$B$26)+Inputs!$B$25+'Scenario_Drivers'!V102)/4+U78*(MAX('Scenario_Drivers'!V101,Inputs!$B$26)+Inputs!$B$24+'Scenario_Drivers'!V102)/4+MAX(0,Inputs!$B$20-U78-'Scenario_Drivers'!V96)*Inputs!$B$29/4+0)</f>
        <v/>
      </c>
    </row>
    <row r="23">
      <c r="A23" s="165" t="inlineStr">
        <is>
          <t>Financing fee amortization</t>
        </is>
      </c>
      <c r="B23" s="165" t="inlineStr">
        <is>
          <t>$mm</t>
        </is>
      </c>
      <c r="C23" s="242">
        <f>MIN('S&amp;U_Opening'!$B$24,1.4/24)</f>
        <v/>
      </c>
      <c r="D23" s="242">
        <f>MIN(C73,1.4/24)</f>
        <v/>
      </c>
      <c r="E23" s="242">
        <f>MIN(D73,1.4/24)</f>
        <v/>
      </c>
      <c r="F23" s="242">
        <f>MIN(E73,1.4/24)</f>
        <v/>
      </c>
      <c r="G23" s="242">
        <f>MIN(F73,1.4/24)</f>
        <v/>
      </c>
      <c r="H23" s="242">
        <f>MIN(G73,1.4/24)</f>
        <v/>
      </c>
      <c r="I23" s="242">
        <f>MIN(H73,1.4/24)</f>
        <v/>
      </c>
      <c r="J23" s="242">
        <f>MIN(I73,1.4/24)</f>
        <v/>
      </c>
      <c r="K23" s="242">
        <f>MIN(J73,1.4/24)</f>
        <v/>
      </c>
      <c r="L23" s="242">
        <f>MIN(K73,1.4/24)</f>
        <v/>
      </c>
      <c r="M23" s="242">
        <f>MIN(L73,1.4/24)</f>
        <v/>
      </c>
      <c r="N23" s="242">
        <f>MIN(M73,1.4/24)</f>
        <v/>
      </c>
      <c r="O23" s="242">
        <f>MIN(N73,1.4/24)</f>
        <v/>
      </c>
      <c r="P23" s="242">
        <f>MIN(O73,1.4/24)</f>
        <v/>
      </c>
      <c r="Q23" s="242">
        <f>MIN(P73,1.4/24)</f>
        <v/>
      </c>
      <c r="R23" s="242">
        <f>MIN(Q73,1.4/24)</f>
        <v/>
      </c>
      <c r="S23" s="242">
        <f>MIN(R73,1.4/24)</f>
        <v/>
      </c>
      <c r="T23" s="242">
        <f>MIN(S73,1.4/24)</f>
        <v/>
      </c>
      <c r="U23" s="242">
        <f>MIN(T73,1.4/24)</f>
        <v/>
      </c>
      <c r="V23" s="242">
        <f>MIN(U73,1.4/24)</f>
        <v/>
      </c>
    </row>
    <row r="24">
      <c r="A24" s="165" t="inlineStr">
        <is>
          <t>Interest income</t>
        </is>
      </c>
      <c r="B24" s="165" t="inlineStr">
        <is>
          <t>$mm</t>
        </is>
      </c>
      <c r="C24" s="242">
        <f>'S&amp;U_Opening'!$B$15*1.0%/4</f>
        <v/>
      </c>
      <c r="D24" s="242">
        <f>C67*1.0%/4</f>
        <v/>
      </c>
      <c r="E24" s="242">
        <f>D67*1.0%/4</f>
        <v/>
      </c>
      <c r="F24" s="242">
        <f>E67*1.0%/4</f>
        <v/>
      </c>
      <c r="G24" s="242">
        <f>F67*1.0%/4</f>
        <v/>
      </c>
      <c r="H24" s="242">
        <f>G67*1.0%/4</f>
        <v/>
      </c>
      <c r="I24" s="242">
        <f>H67*1.0%/4</f>
        <v/>
      </c>
      <c r="J24" s="242">
        <f>I67*1.0%/4</f>
        <v/>
      </c>
      <c r="K24" s="242">
        <f>J67*1.0%/4</f>
        <v/>
      </c>
      <c r="L24" s="242">
        <f>K67*1.0%/4</f>
        <v/>
      </c>
      <c r="M24" s="242">
        <f>L67*1.0%/4</f>
        <v/>
      </c>
      <c r="N24" s="242">
        <f>M67*1.0%/4</f>
        <v/>
      </c>
      <c r="O24" s="242">
        <f>N67*1.0%/4</f>
        <v/>
      </c>
      <c r="P24" s="242">
        <f>O67*1.0%/4</f>
        <v/>
      </c>
      <c r="Q24" s="242">
        <f>P67*1.0%/4</f>
        <v/>
      </c>
      <c r="R24" s="242">
        <f>Q67*1.0%/4</f>
        <v/>
      </c>
      <c r="S24" s="242">
        <f>R67*1.0%/4</f>
        <v/>
      </c>
      <c r="T24" s="242">
        <f>S67*1.0%/4</f>
        <v/>
      </c>
      <c r="U24" s="242">
        <f>T67*1.0%/4</f>
        <v/>
      </c>
      <c r="V24" s="242">
        <f>U67*1.0%/4</f>
        <v/>
      </c>
    </row>
    <row r="25">
      <c r="A25" s="165" t="inlineStr">
        <is>
          <t>Pre-tax income</t>
        </is>
      </c>
      <c r="B25" s="165" t="inlineStr">
        <is>
          <t>$mm</t>
        </is>
      </c>
      <c r="C25" s="242">
        <f>C21+C22-C23+C24</f>
        <v/>
      </c>
      <c r="D25" s="242">
        <f>D21+D22-D23+D24</f>
        <v/>
      </c>
      <c r="E25" s="242">
        <f>E21+E22-E23+E24</f>
        <v/>
      </c>
      <c r="F25" s="242">
        <f>F21+F22-F23+F24</f>
        <v/>
      </c>
      <c r="G25" s="242">
        <f>G21+G22-G23+G24</f>
        <v/>
      </c>
      <c r="H25" s="242">
        <f>H21+H22-H23+H24</f>
        <v/>
      </c>
      <c r="I25" s="242">
        <f>I21+I22-I23+I24</f>
        <v/>
      </c>
      <c r="J25" s="242">
        <f>J21+J22-J23+J24</f>
        <v/>
      </c>
      <c r="K25" s="242">
        <f>K21+K22-K23+K24</f>
        <v/>
      </c>
      <c r="L25" s="242">
        <f>L21+L22-L23+L24</f>
        <v/>
      </c>
      <c r="M25" s="242">
        <f>M21+M22-M23+M24</f>
        <v/>
      </c>
      <c r="N25" s="242">
        <f>N21+N22-N23+N24</f>
        <v/>
      </c>
      <c r="O25" s="242">
        <f>O21+O22-O23+O24</f>
        <v/>
      </c>
      <c r="P25" s="242">
        <f>P21+P22-P23+P24</f>
        <v/>
      </c>
      <c r="Q25" s="242">
        <f>Q21+Q22-Q23+Q24</f>
        <v/>
      </c>
      <c r="R25" s="242">
        <f>R21+R22-R23+R24</f>
        <v/>
      </c>
      <c r="S25" s="242">
        <f>S21+S22-S23+S24</f>
        <v/>
      </c>
      <c r="T25" s="242">
        <f>T21+T22-T23+T24</f>
        <v/>
      </c>
      <c r="U25" s="242">
        <f>U21+U22-U23+U24</f>
        <v/>
      </c>
      <c r="V25" s="242">
        <f>V21+V22-V23+V24</f>
        <v/>
      </c>
    </row>
    <row r="26">
      <c r="A26" s="165" t="inlineStr">
        <is>
          <t>Book tax expense</t>
        </is>
      </c>
      <c r="B26" s="165" t="inlineStr">
        <is>
          <t>$mm</t>
        </is>
      </c>
      <c r="C26" s="242">
        <f>-MAX(0,C25*Inputs!$B$15)</f>
        <v/>
      </c>
      <c r="D26" s="242">
        <f>-MAX(0,D25*Inputs!$B$15)</f>
        <v/>
      </c>
      <c r="E26" s="242">
        <f>-MAX(0,E25*Inputs!$B$15)</f>
        <v/>
      </c>
      <c r="F26" s="242">
        <f>-MAX(0,F25*Inputs!$B$15)</f>
        <v/>
      </c>
      <c r="G26" s="242">
        <f>-MAX(0,G25*Inputs!$B$15)</f>
        <v/>
      </c>
      <c r="H26" s="242">
        <f>-MAX(0,H25*Inputs!$B$15)</f>
        <v/>
      </c>
      <c r="I26" s="242">
        <f>-MAX(0,I25*Inputs!$B$15)</f>
        <v/>
      </c>
      <c r="J26" s="242">
        <f>-MAX(0,J25*Inputs!$B$15)</f>
        <v/>
      </c>
      <c r="K26" s="242">
        <f>-MAX(0,K25*Inputs!$B$15)</f>
        <v/>
      </c>
      <c r="L26" s="242">
        <f>-MAX(0,L25*Inputs!$B$15)</f>
        <v/>
      </c>
      <c r="M26" s="242">
        <f>-MAX(0,M25*Inputs!$B$15)</f>
        <v/>
      </c>
      <c r="N26" s="242">
        <f>-MAX(0,N25*Inputs!$B$15)</f>
        <v/>
      </c>
      <c r="O26" s="242">
        <f>-MAX(0,O25*Inputs!$B$15)</f>
        <v/>
      </c>
      <c r="P26" s="242">
        <f>-MAX(0,P25*Inputs!$B$15)</f>
        <v/>
      </c>
      <c r="Q26" s="242">
        <f>-MAX(0,Q25*Inputs!$B$15)</f>
        <v/>
      </c>
      <c r="R26" s="242">
        <f>-MAX(0,R25*Inputs!$B$15)</f>
        <v/>
      </c>
      <c r="S26" s="242">
        <f>-MAX(0,S25*Inputs!$B$15)</f>
        <v/>
      </c>
      <c r="T26" s="242">
        <f>-MAX(0,T25*Inputs!$B$15)</f>
        <v/>
      </c>
      <c r="U26" s="242">
        <f>-MAX(0,U25*Inputs!$B$15)</f>
        <v/>
      </c>
      <c r="V26" s="242">
        <f>-MAX(0,V25*Inputs!$B$15)</f>
        <v/>
      </c>
    </row>
    <row r="27">
      <c r="A27" s="165" t="inlineStr">
        <is>
          <t>Cash taxes</t>
        </is>
      </c>
      <c r="B27" s="165" t="inlineStr">
        <is>
          <t>$mm</t>
        </is>
      </c>
      <c r="C27" s="242">
        <f>-MAX(0,(C116-0)*Inputs!$B$15)</f>
        <v/>
      </c>
      <c r="D27" s="242">
        <f>-MAX(0,(D116-C115)*Inputs!$B$15)</f>
        <v/>
      </c>
      <c r="E27" s="242">
        <f>-MAX(0,(E116-D115)*Inputs!$B$15)</f>
        <v/>
      </c>
      <c r="F27" s="242">
        <f>-MAX(0,(F116-E115)*Inputs!$B$15)</f>
        <v/>
      </c>
      <c r="G27" s="242">
        <f>-MAX(0,(G116-F115)*Inputs!$B$15)</f>
        <v/>
      </c>
      <c r="H27" s="242">
        <f>-MAX(0,(H116-G115)*Inputs!$B$15)</f>
        <v/>
      </c>
      <c r="I27" s="242">
        <f>-MAX(0,(I116-H115)*Inputs!$B$15)</f>
        <v/>
      </c>
      <c r="J27" s="242">
        <f>-MAX(0,(J116-I115)*Inputs!$B$15)</f>
        <v/>
      </c>
      <c r="K27" s="242">
        <f>-MAX(0,(K116-J115)*Inputs!$B$15)</f>
        <v/>
      </c>
      <c r="L27" s="242">
        <f>-MAX(0,(L116-K115)*Inputs!$B$15)</f>
        <v/>
      </c>
      <c r="M27" s="242">
        <f>-MAX(0,(M116-L115)*Inputs!$B$15)</f>
        <v/>
      </c>
      <c r="N27" s="242">
        <f>-MAX(0,(N116-M115)*Inputs!$B$15)</f>
        <v/>
      </c>
      <c r="O27" s="242">
        <f>-MAX(0,(O116-N115)*Inputs!$B$15)</f>
        <v/>
      </c>
      <c r="P27" s="242">
        <f>-MAX(0,(P116-O115)*Inputs!$B$15)</f>
        <v/>
      </c>
      <c r="Q27" s="242">
        <f>-MAX(0,(Q116-P115)*Inputs!$B$15)</f>
        <v/>
      </c>
      <c r="R27" s="242">
        <f>-MAX(0,(R116-Q115)*Inputs!$B$15)</f>
        <v/>
      </c>
      <c r="S27" s="242">
        <f>-MAX(0,(S116-R115)*Inputs!$B$15)</f>
        <v/>
      </c>
      <c r="T27" s="242">
        <f>-MAX(0,(T116-S115)*Inputs!$B$15)</f>
        <v/>
      </c>
      <c r="U27" s="242">
        <f>-MAX(0,(U116-T115)*Inputs!$B$15)</f>
        <v/>
      </c>
      <c r="V27" s="242">
        <f>-MAX(0,(V116-U115)*Inputs!$B$15)</f>
        <v/>
      </c>
    </row>
    <row r="28">
      <c r="A28" s="165" t="inlineStr">
        <is>
          <t>Net income</t>
        </is>
      </c>
      <c r="B28" s="165" t="inlineStr">
        <is>
          <t>$mm</t>
        </is>
      </c>
      <c r="C28" s="242">
        <f>C25+C26</f>
        <v/>
      </c>
      <c r="D28" s="242">
        <f>D25+D26</f>
        <v/>
      </c>
      <c r="E28" s="242">
        <f>E25+E26</f>
        <v/>
      </c>
      <c r="F28" s="242">
        <f>F25+F26</f>
        <v/>
      </c>
      <c r="G28" s="242">
        <f>G25+G26</f>
        <v/>
      </c>
      <c r="H28" s="242">
        <f>H25+H26</f>
        <v/>
      </c>
      <c r="I28" s="242">
        <f>I25+I26</f>
        <v/>
      </c>
      <c r="J28" s="242">
        <f>J25+J26</f>
        <v/>
      </c>
      <c r="K28" s="242">
        <f>K25+K26</f>
        <v/>
      </c>
      <c r="L28" s="242">
        <f>L25+L26</f>
        <v/>
      </c>
      <c r="M28" s="242">
        <f>M25+M26</f>
        <v/>
      </c>
      <c r="N28" s="242">
        <f>N25+N26</f>
        <v/>
      </c>
      <c r="O28" s="242">
        <f>O25+O26</f>
        <v/>
      </c>
      <c r="P28" s="242">
        <f>P25+P26</f>
        <v/>
      </c>
      <c r="Q28" s="242">
        <f>Q25+Q26</f>
        <v/>
      </c>
      <c r="R28" s="242">
        <f>R25+R26</f>
        <v/>
      </c>
      <c r="S28" s="242">
        <f>S25+S26</f>
        <v/>
      </c>
      <c r="T28" s="242">
        <f>T25+T26</f>
        <v/>
      </c>
      <c r="U28" s="242">
        <f>U25+U26</f>
        <v/>
      </c>
      <c r="V28" s="242">
        <f>V25+V26</f>
        <v/>
      </c>
    </row>
    <row r="29">
      <c r="A29" s="39" t="inlineStr">
        <is>
          <t>Working Capital and Capital Expenditure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>
      <c r="A30" s="165" t="inlineStr">
        <is>
          <t>Accounts receivable</t>
        </is>
      </c>
      <c r="B30" s="165" t="inlineStr">
        <is>
          <t>$mm</t>
        </is>
      </c>
      <c r="C30" s="242">
        <f>(C5/'Scenario_Drivers'!C104)*'Scenario_Drivers'!C78/365</f>
        <v/>
      </c>
      <c r="D30" s="242">
        <f>(D5/'Scenario_Drivers'!D104)*'Scenario_Drivers'!D78/365</f>
        <v/>
      </c>
      <c r="E30" s="242">
        <f>(E5/'Scenario_Drivers'!E104)*'Scenario_Drivers'!E78/365</f>
        <v/>
      </c>
      <c r="F30" s="242">
        <f>(F5/'Scenario_Drivers'!F104)*'Scenario_Drivers'!F78/365</f>
        <v/>
      </c>
      <c r="G30" s="242">
        <f>(G5/'Scenario_Drivers'!G104)*'Scenario_Drivers'!G78/365</f>
        <v/>
      </c>
      <c r="H30" s="242">
        <f>(H5/'Scenario_Drivers'!H104)*'Scenario_Drivers'!H78/365</f>
        <v/>
      </c>
      <c r="I30" s="242">
        <f>(I5/'Scenario_Drivers'!I104)*'Scenario_Drivers'!I78/365</f>
        <v/>
      </c>
      <c r="J30" s="242">
        <f>(J5/'Scenario_Drivers'!J104)*'Scenario_Drivers'!J78/365</f>
        <v/>
      </c>
      <c r="K30" s="242">
        <f>(K5/'Scenario_Drivers'!K104)*'Scenario_Drivers'!K78/365</f>
        <v/>
      </c>
      <c r="L30" s="242">
        <f>(L5/'Scenario_Drivers'!L104)*'Scenario_Drivers'!L78/365</f>
        <v/>
      </c>
      <c r="M30" s="242">
        <f>(M5/'Scenario_Drivers'!M104)*'Scenario_Drivers'!M78/365</f>
        <v/>
      </c>
      <c r="N30" s="242">
        <f>(N5/'Scenario_Drivers'!N104)*'Scenario_Drivers'!N78/365</f>
        <v/>
      </c>
      <c r="O30" s="242">
        <f>(O5/'Scenario_Drivers'!O104)*'Scenario_Drivers'!O78/365</f>
        <v/>
      </c>
      <c r="P30" s="242">
        <f>(P5/'Scenario_Drivers'!P104)*'Scenario_Drivers'!P78/365</f>
        <v/>
      </c>
      <c r="Q30" s="242">
        <f>(Q5/'Scenario_Drivers'!Q104)*'Scenario_Drivers'!Q78/365</f>
        <v/>
      </c>
      <c r="R30" s="242">
        <f>(R5/'Scenario_Drivers'!R104)*'Scenario_Drivers'!R78/365</f>
        <v/>
      </c>
      <c r="S30" s="242">
        <f>(S5/'Scenario_Drivers'!S104)*'Scenario_Drivers'!S78/365</f>
        <v/>
      </c>
      <c r="T30" s="242">
        <f>(T5/'Scenario_Drivers'!T104)*'Scenario_Drivers'!T78/365</f>
        <v/>
      </c>
      <c r="U30" s="242">
        <f>(U5/'Scenario_Drivers'!U104)*'Scenario_Drivers'!U78/365</f>
        <v/>
      </c>
      <c r="V30" s="242">
        <f>(V5/'Scenario_Drivers'!V104)*'Scenario_Drivers'!V78/365</f>
        <v/>
      </c>
    </row>
    <row r="31">
      <c r="A31" s="165" t="inlineStr">
        <is>
          <t>Unbilled WIP</t>
        </is>
      </c>
      <c r="B31" s="165" t="inlineStr">
        <is>
          <t>$mm</t>
        </is>
      </c>
      <c r="C31" s="242">
        <f>(C5/'Scenario_Drivers'!C104)*'Scenario_Drivers'!C79</f>
        <v/>
      </c>
      <c r="D31" s="242">
        <f>(D5/'Scenario_Drivers'!D104)*'Scenario_Drivers'!D79</f>
        <v/>
      </c>
      <c r="E31" s="242">
        <f>(E5/'Scenario_Drivers'!E104)*'Scenario_Drivers'!E79</f>
        <v/>
      </c>
      <c r="F31" s="242">
        <f>(F5/'Scenario_Drivers'!F104)*'Scenario_Drivers'!F79</f>
        <v/>
      </c>
      <c r="G31" s="242">
        <f>(G5/'Scenario_Drivers'!G104)*'Scenario_Drivers'!G79</f>
        <v/>
      </c>
      <c r="H31" s="242">
        <f>(H5/'Scenario_Drivers'!H104)*'Scenario_Drivers'!H79</f>
        <v/>
      </c>
      <c r="I31" s="242">
        <f>(I5/'Scenario_Drivers'!I104)*'Scenario_Drivers'!I79</f>
        <v/>
      </c>
      <c r="J31" s="242">
        <f>(J5/'Scenario_Drivers'!J104)*'Scenario_Drivers'!J79</f>
        <v/>
      </c>
      <c r="K31" s="242">
        <f>(K5/'Scenario_Drivers'!K104)*'Scenario_Drivers'!K79</f>
        <v/>
      </c>
      <c r="L31" s="242">
        <f>(L5/'Scenario_Drivers'!L104)*'Scenario_Drivers'!L79</f>
        <v/>
      </c>
      <c r="M31" s="242">
        <f>(M5/'Scenario_Drivers'!M104)*'Scenario_Drivers'!M79</f>
        <v/>
      </c>
      <c r="N31" s="242">
        <f>(N5/'Scenario_Drivers'!N104)*'Scenario_Drivers'!N79</f>
        <v/>
      </c>
      <c r="O31" s="242">
        <f>(O5/'Scenario_Drivers'!O104)*'Scenario_Drivers'!O79</f>
        <v/>
      </c>
      <c r="P31" s="242">
        <f>(P5/'Scenario_Drivers'!P104)*'Scenario_Drivers'!P79</f>
        <v/>
      </c>
      <c r="Q31" s="242">
        <f>(Q5/'Scenario_Drivers'!Q104)*'Scenario_Drivers'!Q79</f>
        <v/>
      </c>
      <c r="R31" s="242">
        <f>(R5/'Scenario_Drivers'!R104)*'Scenario_Drivers'!R79</f>
        <v/>
      </c>
      <c r="S31" s="242">
        <f>(S5/'Scenario_Drivers'!S104)*'Scenario_Drivers'!S79</f>
        <v/>
      </c>
      <c r="T31" s="242">
        <f>(T5/'Scenario_Drivers'!T104)*'Scenario_Drivers'!T79</f>
        <v/>
      </c>
      <c r="U31" s="242">
        <f>(U5/'Scenario_Drivers'!U104)*'Scenario_Drivers'!U79</f>
        <v/>
      </c>
      <c r="V31" s="242">
        <f>(V5/'Scenario_Drivers'!V104)*'Scenario_Drivers'!V79</f>
        <v/>
      </c>
    </row>
    <row r="32">
      <c r="A32" s="165" t="inlineStr">
        <is>
          <t>Prepaids</t>
        </is>
      </c>
      <c r="B32" s="165" t="inlineStr">
        <is>
          <t>$mm</t>
        </is>
      </c>
      <c r="C32" s="242">
        <f>(C5/'Scenario_Drivers'!C104)*'Scenario_Drivers'!C80</f>
        <v/>
      </c>
      <c r="D32" s="242">
        <f>(D5/'Scenario_Drivers'!D104)*'Scenario_Drivers'!D80</f>
        <v/>
      </c>
      <c r="E32" s="242">
        <f>(E5/'Scenario_Drivers'!E104)*'Scenario_Drivers'!E80</f>
        <v/>
      </c>
      <c r="F32" s="242">
        <f>(F5/'Scenario_Drivers'!F104)*'Scenario_Drivers'!F80</f>
        <v/>
      </c>
      <c r="G32" s="242">
        <f>(G5/'Scenario_Drivers'!G104)*'Scenario_Drivers'!G80</f>
        <v/>
      </c>
      <c r="H32" s="242">
        <f>(H5/'Scenario_Drivers'!H104)*'Scenario_Drivers'!H80</f>
        <v/>
      </c>
      <c r="I32" s="242">
        <f>(I5/'Scenario_Drivers'!I104)*'Scenario_Drivers'!I80</f>
        <v/>
      </c>
      <c r="J32" s="242">
        <f>(J5/'Scenario_Drivers'!J104)*'Scenario_Drivers'!J80</f>
        <v/>
      </c>
      <c r="K32" s="242">
        <f>(K5/'Scenario_Drivers'!K104)*'Scenario_Drivers'!K80</f>
        <v/>
      </c>
      <c r="L32" s="242">
        <f>(L5/'Scenario_Drivers'!L104)*'Scenario_Drivers'!L80</f>
        <v/>
      </c>
      <c r="M32" s="242">
        <f>(M5/'Scenario_Drivers'!M104)*'Scenario_Drivers'!M80</f>
        <v/>
      </c>
      <c r="N32" s="242">
        <f>(N5/'Scenario_Drivers'!N104)*'Scenario_Drivers'!N80</f>
        <v/>
      </c>
      <c r="O32" s="242">
        <f>(O5/'Scenario_Drivers'!O104)*'Scenario_Drivers'!O80</f>
        <v/>
      </c>
      <c r="P32" s="242">
        <f>(P5/'Scenario_Drivers'!P104)*'Scenario_Drivers'!P80</f>
        <v/>
      </c>
      <c r="Q32" s="242">
        <f>(Q5/'Scenario_Drivers'!Q104)*'Scenario_Drivers'!Q80</f>
        <v/>
      </c>
      <c r="R32" s="242">
        <f>(R5/'Scenario_Drivers'!R104)*'Scenario_Drivers'!R80</f>
        <v/>
      </c>
      <c r="S32" s="242">
        <f>(S5/'Scenario_Drivers'!S104)*'Scenario_Drivers'!S80</f>
        <v/>
      </c>
      <c r="T32" s="242">
        <f>(T5/'Scenario_Drivers'!T104)*'Scenario_Drivers'!T80</f>
        <v/>
      </c>
      <c r="U32" s="242">
        <f>(U5/'Scenario_Drivers'!U104)*'Scenario_Drivers'!U80</f>
        <v/>
      </c>
      <c r="V32" s="242">
        <f>(V5/'Scenario_Drivers'!V104)*'Scenario_Drivers'!V80</f>
        <v/>
      </c>
    </row>
    <row r="33">
      <c r="A33" s="165" t="inlineStr">
        <is>
          <t>Accounts payable</t>
        </is>
      </c>
      <c r="B33" s="165" t="inlineStr">
        <is>
          <t>$mm</t>
        </is>
      </c>
      <c r="C33" s="242">
        <f>(C5/'Scenario_Drivers'!C104)*'Scenario_Drivers'!C81</f>
        <v/>
      </c>
      <c r="D33" s="242">
        <f>(D5/'Scenario_Drivers'!D104)*'Scenario_Drivers'!D81</f>
        <v/>
      </c>
      <c r="E33" s="242">
        <f>(E5/'Scenario_Drivers'!E104)*'Scenario_Drivers'!E81</f>
        <v/>
      </c>
      <c r="F33" s="242">
        <f>(F5/'Scenario_Drivers'!F104)*'Scenario_Drivers'!F81</f>
        <v/>
      </c>
      <c r="G33" s="242">
        <f>(G5/'Scenario_Drivers'!G104)*'Scenario_Drivers'!G81</f>
        <v/>
      </c>
      <c r="H33" s="242">
        <f>(H5/'Scenario_Drivers'!H104)*'Scenario_Drivers'!H81</f>
        <v/>
      </c>
      <c r="I33" s="242">
        <f>(I5/'Scenario_Drivers'!I104)*'Scenario_Drivers'!I81</f>
        <v/>
      </c>
      <c r="J33" s="242">
        <f>(J5/'Scenario_Drivers'!J104)*'Scenario_Drivers'!J81</f>
        <v/>
      </c>
      <c r="K33" s="242">
        <f>(K5/'Scenario_Drivers'!K104)*'Scenario_Drivers'!K81</f>
        <v/>
      </c>
      <c r="L33" s="242">
        <f>(L5/'Scenario_Drivers'!L104)*'Scenario_Drivers'!L81</f>
        <v/>
      </c>
      <c r="M33" s="242">
        <f>(M5/'Scenario_Drivers'!M104)*'Scenario_Drivers'!M81</f>
        <v/>
      </c>
      <c r="N33" s="242">
        <f>(N5/'Scenario_Drivers'!N104)*'Scenario_Drivers'!N81</f>
        <v/>
      </c>
      <c r="O33" s="242">
        <f>(O5/'Scenario_Drivers'!O104)*'Scenario_Drivers'!O81</f>
        <v/>
      </c>
      <c r="P33" s="242">
        <f>(P5/'Scenario_Drivers'!P104)*'Scenario_Drivers'!P81</f>
        <v/>
      </c>
      <c r="Q33" s="242">
        <f>(Q5/'Scenario_Drivers'!Q104)*'Scenario_Drivers'!Q81</f>
        <v/>
      </c>
      <c r="R33" s="242">
        <f>(R5/'Scenario_Drivers'!R104)*'Scenario_Drivers'!R81</f>
        <v/>
      </c>
      <c r="S33" s="242">
        <f>(S5/'Scenario_Drivers'!S104)*'Scenario_Drivers'!S81</f>
        <v/>
      </c>
      <c r="T33" s="242">
        <f>(T5/'Scenario_Drivers'!T104)*'Scenario_Drivers'!T81</f>
        <v/>
      </c>
      <c r="U33" s="242">
        <f>(U5/'Scenario_Drivers'!U104)*'Scenario_Drivers'!U81</f>
        <v/>
      </c>
      <c r="V33" s="242">
        <f>(V5/'Scenario_Drivers'!V104)*'Scenario_Drivers'!V81</f>
        <v/>
      </c>
    </row>
    <row r="34">
      <c r="A34" s="165" t="inlineStr">
        <is>
          <t>Accrued liabilities</t>
        </is>
      </c>
      <c r="B34" s="165" t="inlineStr">
        <is>
          <t>$mm</t>
        </is>
      </c>
      <c r="C34" s="242">
        <f>(C5/'Scenario_Drivers'!C104)*'Scenario_Drivers'!C82</f>
        <v/>
      </c>
      <c r="D34" s="242">
        <f>(D5/'Scenario_Drivers'!D104)*'Scenario_Drivers'!D82</f>
        <v/>
      </c>
      <c r="E34" s="242">
        <f>(E5/'Scenario_Drivers'!E104)*'Scenario_Drivers'!E82</f>
        <v/>
      </c>
      <c r="F34" s="242">
        <f>(F5/'Scenario_Drivers'!F104)*'Scenario_Drivers'!F82</f>
        <v/>
      </c>
      <c r="G34" s="242">
        <f>(G5/'Scenario_Drivers'!G104)*'Scenario_Drivers'!G82</f>
        <v/>
      </c>
      <c r="H34" s="242">
        <f>(H5/'Scenario_Drivers'!H104)*'Scenario_Drivers'!H82</f>
        <v/>
      </c>
      <c r="I34" s="242">
        <f>(I5/'Scenario_Drivers'!I104)*'Scenario_Drivers'!I82</f>
        <v/>
      </c>
      <c r="J34" s="242">
        <f>(J5/'Scenario_Drivers'!J104)*'Scenario_Drivers'!J82</f>
        <v/>
      </c>
      <c r="K34" s="242">
        <f>(K5/'Scenario_Drivers'!K104)*'Scenario_Drivers'!K82</f>
        <v/>
      </c>
      <c r="L34" s="242">
        <f>(L5/'Scenario_Drivers'!L104)*'Scenario_Drivers'!L82</f>
        <v/>
      </c>
      <c r="M34" s="242">
        <f>(M5/'Scenario_Drivers'!M104)*'Scenario_Drivers'!M82</f>
        <v/>
      </c>
      <c r="N34" s="242">
        <f>(N5/'Scenario_Drivers'!N104)*'Scenario_Drivers'!N82</f>
        <v/>
      </c>
      <c r="O34" s="242">
        <f>(O5/'Scenario_Drivers'!O104)*'Scenario_Drivers'!O82</f>
        <v/>
      </c>
      <c r="P34" s="242">
        <f>(P5/'Scenario_Drivers'!P104)*'Scenario_Drivers'!P82</f>
        <v/>
      </c>
      <c r="Q34" s="242">
        <f>(Q5/'Scenario_Drivers'!Q104)*'Scenario_Drivers'!Q82</f>
        <v/>
      </c>
      <c r="R34" s="242">
        <f>(R5/'Scenario_Drivers'!R104)*'Scenario_Drivers'!R82</f>
        <v/>
      </c>
      <c r="S34" s="242">
        <f>(S5/'Scenario_Drivers'!S104)*'Scenario_Drivers'!S82</f>
        <v/>
      </c>
      <c r="T34" s="242">
        <f>(T5/'Scenario_Drivers'!T104)*'Scenario_Drivers'!T82</f>
        <v/>
      </c>
      <c r="U34" s="242">
        <f>(U5/'Scenario_Drivers'!U104)*'Scenario_Drivers'!U82</f>
        <v/>
      </c>
      <c r="V34" s="242">
        <f>(V5/'Scenario_Drivers'!V104)*'Scenario_Drivers'!V82</f>
        <v/>
      </c>
    </row>
    <row r="35">
      <c r="A35" s="165" t="inlineStr">
        <is>
          <t>Deferred revenue</t>
        </is>
      </c>
      <c r="B35" s="165" t="inlineStr">
        <is>
          <t>$mm</t>
        </is>
      </c>
      <c r="C35" s="242">
        <f>(C5/'Scenario_Drivers'!C104)*'Scenario_Drivers'!C83</f>
        <v/>
      </c>
      <c r="D35" s="242">
        <f>(D5/'Scenario_Drivers'!D104)*'Scenario_Drivers'!D83</f>
        <v/>
      </c>
      <c r="E35" s="242">
        <f>(E5/'Scenario_Drivers'!E104)*'Scenario_Drivers'!E83</f>
        <v/>
      </c>
      <c r="F35" s="242">
        <f>(F5/'Scenario_Drivers'!F104)*'Scenario_Drivers'!F83</f>
        <v/>
      </c>
      <c r="G35" s="242">
        <f>(G5/'Scenario_Drivers'!G104)*'Scenario_Drivers'!G83</f>
        <v/>
      </c>
      <c r="H35" s="242">
        <f>(H5/'Scenario_Drivers'!H104)*'Scenario_Drivers'!H83</f>
        <v/>
      </c>
      <c r="I35" s="242">
        <f>(I5/'Scenario_Drivers'!I104)*'Scenario_Drivers'!I83</f>
        <v/>
      </c>
      <c r="J35" s="242">
        <f>(J5/'Scenario_Drivers'!J104)*'Scenario_Drivers'!J83</f>
        <v/>
      </c>
      <c r="K35" s="242">
        <f>(K5/'Scenario_Drivers'!K104)*'Scenario_Drivers'!K83</f>
        <v/>
      </c>
      <c r="L35" s="242">
        <f>(L5/'Scenario_Drivers'!L104)*'Scenario_Drivers'!L83</f>
        <v/>
      </c>
      <c r="M35" s="242">
        <f>(M5/'Scenario_Drivers'!M104)*'Scenario_Drivers'!M83</f>
        <v/>
      </c>
      <c r="N35" s="242">
        <f>(N5/'Scenario_Drivers'!N104)*'Scenario_Drivers'!N83</f>
        <v/>
      </c>
      <c r="O35" s="242">
        <f>(O5/'Scenario_Drivers'!O104)*'Scenario_Drivers'!O83</f>
        <v/>
      </c>
      <c r="P35" s="242">
        <f>(P5/'Scenario_Drivers'!P104)*'Scenario_Drivers'!P83</f>
        <v/>
      </c>
      <c r="Q35" s="242">
        <f>(Q5/'Scenario_Drivers'!Q104)*'Scenario_Drivers'!Q83</f>
        <v/>
      </c>
      <c r="R35" s="242">
        <f>(R5/'Scenario_Drivers'!R104)*'Scenario_Drivers'!R83</f>
        <v/>
      </c>
      <c r="S35" s="242">
        <f>(S5/'Scenario_Drivers'!S104)*'Scenario_Drivers'!S83</f>
        <v/>
      </c>
      <c r="T35" s="242">
        <f>(T5/'Scenario_Drivers'!T104)*'Scenario_Drivers'!T83</f>
        <v/>
      </c>
      <c r="U35" s="242">
        <f>(U5/'Scenario_Drivers'!U104)*'Scenario_Drivers'!U83</f>
        <v/>
      </c>
      <c r="V35" s="242">
        <f>(V5/'Scenario_Drivers'!V104)*'Scenario_Drivers'!V83</f>
        <v/>
      </c>
    </row>
    <row r="36">
      <c r="A36" s="165" t="inlineStr">
        <is>
          <t>Operating NWC</t>
        </is>
      </c>
      <c r="B36" s="165" t="inlineStr">
        <is>
          <t>$mm</t>
        </is>
      </c>
      <c r="C36" s="242">
        <f>C30+C31+C32-C33-C34-C35</f>
        <v/>
      </c>
      <c r="D36" s="242">
        <f>D30+D31+D32-D33-D34-D35</f>
        <v/>
      </c>
      <c r="E36" s="242">
        <f>E30+E31+E32-E33-E34-E35</f>
        <v/>
      </c>
      <c r="F36" s="242">
        <f>F30+F31+F32-F33-F34-F35</f>
        <v/>
      </c>
      <c r="G36" s="242">
        <f>G30+G31+G32-G33-G34-G35</f>
        <v/>
      </c>
      <c r="H36" s="242">
        <f>H30+H31+H32-H33-H34-H35</f>
        <v/>
      </c>
      <c r="I36" s="242">
        <f>I30+I31+I32-I33-I34-I35</f>
        <v/>
      </c>
      <c r="J36" s="242">
        <f>J30+J31+J32-J33-J34-J35</f>
        <v/>
      </c>
      <c r="K36" s="242">
        <f>K30+K31+K32-K33-K34-K35</f>
        <v/>
      </c>
      <c r="L36" s="242">
        <f>L30+L31+L32-L33-L34-L35</f>
        <v/>
      </c>
      <c r="M36" s="242">
        <f>M30+M31+M32-M33-M34-M35</f>
        <v/>
      </c>
      <c r="N36" s="242">
        <f>N30+N31+N32-N33-N34-N35</f>
        <v/>
      </c>
      <c r="O36" s="242">
        <f>O30+O31+O32-O33-O34-O35</f>
        <v/>
      </c>
      <c r="P36" s="242">
        <f>P30+P31+P32-P33-P34-P35</f>
        <v/>
      </c>
      <c r="Q36" s="242">
        <f>Q30+Q31+Q32-Q33-Q34-Q35</f>
        <v/>
      </c>
      <c r="R36" s="242">
        <f>R30+R31+R32-R33-R34-R35</f>
        <v/>
      </c>
      <c r="S36" s="242">
        <f>S30+S31+S32-S33-S34-S35</f>
        <v/>
      </c>
      <c r="T36" s="242">
        <f>T30+T31+T32-T33-T34-T35</f>
        <v/>
      </c>
      <c r="U36" s="242">
        <f>U30+U31+U32-U33-U34-U35</f>
        <v/>
      </c>
      <c r="V36" s="242">
        <f>V30+V31+V32-V33-V34-V35</f>
        <v/>
      </c>
    </row>
    <row r="37">
      <c r="A37" s="165" t="inlineStr">
        <is>
          <t>Acquired NWC</t>
        </is>
      </c>
      <c r="B37" s="165" t="inlineStr">
        <is>
          <t>$mm</t>
        </is>
      </c>
      <c r="C37" s="239">
        <f>'Scenario_Drivers'!C85</f>
        <v/>
      </c>
      <c r="D37" s="239">
        <f>'Scenario_Drivers'!D85</f>
        <v/>
      </c>
      <c r="E37" s="239">
        <f>'Scenario_Drivers'!E85</f>
        <v/>
      </c>
      <c r="F37" s="239">
        <f>'Scenario_Drivers'!F85</f>
        <v/>
      </c>
      <c r="G37" s="239">
        <f>'Scenario_Drivers'!G85</f>
        <v/>
      </c>
      <c r="H37" s="239">
        <f>'Scenario_Drivers'!H85</f>
        <v/>
      </c>
      <c r="I37" s="239">
        <f>'Scenario_Drivers'!I85</f>
        <v/>
      </c>
      <c r="J37" s="239">
        <f>'Scenario_Drivers'!J85</f>
        <v/>
      </c>
      <c r="K37" s="239">
        <f>'Scenario_Drivers'!K85</f>
        <v/>
      </c>
      <c r="L37" s="239">
        <f>'Scenario_Drivers'!L85</f>
        <v/>
      </c>
      <c r="M37" s="239">
        <f>'Scenario_Drivers'!M85</f>
        <v/>
      </c>
      <c r="N37" s="239">
        <f>'Scenario_Drivers'!N85</f>
        <v/>
      </c>
      <c r="O37" s="239">
        <f>'Scenario_Drivers'!O85</f>
        <v/>
      </c>
      <c r="P37" s="239">
        <f>'Scenario_Drivers'!P85</f>
        <v/>
      </c>
      <c r="Q37" s="239">
        <f>'Scenario_Drivers'!Q85</f>
        <v/>
      </c>
      <c r="R37" s="239">
        <f>'Scenario_Drivers'!R85</f>
        <v/>
      </c>
      <c r="S37" s="239">
        <f>'Scenario_Drivers'!S85</f>
        <v/>
      </c>
      <c r="T37" s="239">
        <f>'Scenario_Drivers'!T85</f>
        <v/>
      </c>
      <c r="U37" s="239">
        <f>'Scenario_Drivers'!U85</f>
        <v/>
      </c>
      <c r="V37" s="239">
        <f>'Scenario_Drivers'!V85</f>
        <v/>
      </c>
    </row>
    <row r="38">
      <c r="A38" s="165" t="inlineStr">
        <is>
          <t>Organic change in NWC</t>
        </is>
      </c>
      <c r="B38" s="165" t="inlineStr">
        <is>
          <t>$mm</t>
        </is>
      </c>
      <c r="C38" s="242">
        <f>C36-('S&amp;U_Opening'!$B$16+'S&amp;U_Opening'!$B$17+'S&amp;U_Opening'!$B$18-'S&amp;U_Opening'!$E$15-'S&amp;U_Opening'!$E$16-'S&amp;U_Opening'!$E$17)-C37</f>
        <v/>
      </c>
      <c r="D38" s="242">
        <f>D36-(C36)-D37</f>
        <v/>
      </c>
      <c r="E38" s="242">
        <f>E36-(D36)-E37</f>
        <v/>
      </c>
      <c r="F38" s="242">
        <f>F36-(E36)-F37</f>
        <v/>
      </c>
      <c r="G38" s="242">
        <f>G36-(F36)-G37</f>
        <v/>
      </c>
      <c r="H38" s="242">
        <f>H36-(G36)-H37</f>
        <v/>
      </c>
      <c r="I38" s="242">
        <f>I36-(H36)-I37</f>
        <v/>
      </c>
      <c r="J38" s="242">
        <f>J36-(I36)-J37</f>
        <v/>
      </c>
      <c r="K38" s="242">
        <f>K36-(J36)-K37</f>
        <v/>
      </c>
      <c r="L38" s="242">
        <f>L36-(K36)-L37</f>
        <v/>
      </c>
      <c r="M38" s="242">
        <f>M36-(L36)-M37</f>
        <v/>
      </c>
      <c r="N38" s="242">
        <f>N36-(M36)-N37</f>
        <v/>
      </c>
      <c r="O38" s="242">
        <f>O36-(N36)-O37</f>
        <v/>
      </c>
      <c r="P38" s="242">
        <f>P36-(O36)-P37</f>
        <v/>
      </c>
      <c r="Q38" s="242">
        <f>Q36-(P36)-Q37</f>
        <v/>
      </c>
      <c r="R38" s="242">
        <f>R36-(Q36)-R37</f>
        <v/>
      </c>
      <c r="S38" s="242">
        <f>S36-(R36)-S37</f>
        <v/>
      </c>
      <c r="T38" s="242">
        <f>T36-(S36)-T37</f>
        <v/>
      </c>
      <c r="U38" s="242">
        <f>U36-(T36)-U37</f>
        <v/>
      </c>
      <c r="V38" s="242">
        <f>V36-(U36)-V37</f>
        <v/>
      </c>
    </row>
    <row r="39">
      <c r="A39" s="165" t="inlineStr">
        <is>
          <t>Maintenance capex</t>
        </is>
      </c>
      <c r="B39" s="165" t="inlineStr">
        <is>
          <t>$mm</t>
        </is>
      </c>
      <c r="C39" s="242">
        <f>C5*'Scenario_Drivers'!C84*Inputs!$B$18</f>
        <v/>
      </c>
      <c r="D39" s="242">
        <f>D5*'Scenario_Drivers'!D84*Inputs!$B$18</f>
        <v/>
      </c>
      <c r="E39" s="242">
        <f>E5*'Scenario_Drivers'!E84*Inputs!$B$18</f>
        <v/>
      </c>
      <c r="F39" s="242">
        <f>F5*'Scenario_Drivers'!F84*Inputs!$B$18</f>
        <v/>
      </c>
      <c r="G39" s="242">
        <f>G5*'Scenario_Drivers'!G84*Inputs!$B$18</f>
        <v/>
      </c>
      <c r="H39" s="242">
        <f>H5*'Scenario_Drivers'!H84*Inputs!$B$18</f>
        <v/>
      </c>
      <c r="I39" s="242">
        <f>I5*'Scenario_Drivers'!I84*Inputs!$B$18</f>
        <v/>
      </c>
      <c r="J39" s="242">
        <f>J5*'Scenario_Drivers'!J84*Inputs!$B$18</f>
        <v/>
      </c>
      <c r="K39" s="242">
        <f>K5*'Scenario_Drivers'!K84*Inputs!$B$18</f>
        <v/>
      </c>
      <c r="L39" s="242">
        <f>L5*'Scenario_Drivers'!L84*Inputs!$B$18</f>
        <v/>
      </c>
      <c r="M39" s="242">
        <f>M5*'Scenario_Drivers'!M84*Inputs!$B$18</f>
        <v/>
      </c>
      <c r="N39" s="242">
        <f>N5*'Scenario_Drivers'!N84*Inputs!$B$18</f>
        <v/>
      </c>
      <c r="O39" s="242">
        <f>O5*'Scenario_Drivers'!O84*Inputs!$B$18</f>
        <v/>
      </c>
      <c r="P39" s="242">
        <f>P5*'Scenario_Drivers'!P84*Inputs!$B$18</f>
        <v/>
      </c>
      <c r="Q39" s="242">
        <f>Q5*'Scenario_Drivers'!Q84*Inputs!$B$18</f>
        <v/>
      </c>
      <c r="R39" s="242">
        <f>R5*'Scenario_Drivers'!R84*Inputs!$B$18</f>
        <v/>
      </c>
      <c r="S39" s="242">
        <f>S5*'Scenario_Drivers'!S84*Inputs!$B$18</f>
        <v/>
      </c>
      <c r="T39" s="242">
        <f>T5*'Scenario_Drivers'!T84*Inputs!$B$18</f>
        <v/>
      </c>
      <c r="U39" s="242">
        <f>U5*'Scenario_Drivers'!U84*Inputs!$B$18</f>
        <v/>
      </c>
      <c r="V39" s="242">
        <f>V5*'Scenario_Drivers'!V84*Inputs!$B$18</f>
        <v/>
      </c>
    </row>
    <row r="40">
      <c r="A40" s="165" t="inlineStr">
        <is>
          <t>Growth capex</t>
        </is>
      </c>
      <c r="B40" s="165" t="inlineStr">
        <is>
          <t>$mm</t>
        </is>
      </c>
      <c r="C40" s="242">
        <f>C5*'Scenario_Drivers'!C84*(1-Inputs!$B$18)</f>
        <v/>
      </c>
      <c r="D40" s="242">
        <f>D5*'Scenario_Drivers'!D84*(1-Inputs!$B$18)</f>
        <v/>
      </c>
      <c r="E40" s="242">
        <f>E5*'Scenario_Drivers'!E84*(1-Inputs!$B$18)</f>
        <v/>
      </c>
      <c r="F40" s="242">
        <f>F5*'Scenario_Drivers'!F84*(1-Inputs!$B$18)</f>
        <v/>
      </c>
      <c r="G40" s="242">
        <f>G5*'Scenario_Drivers'!G84*(1-Inputs!$B$18)</f>
        <v/>
      </c>
      <c r="H40" s="242">
        <f>H5*'Scenario_Drivers'!H84*(1-Inputs!$B$18)</f>
        <v/>
      </c>
      <c r="I40" s="242">
        <f>I5*'Scenario_Drivers'!I84*(1-Inputs!$B$18)</f>
        <v/>
      </c>
      <c r="J40" s="242">
        <f>J5*'Scenario_Drivers'!J84*(1-Inputs!$B$18)</f>
        <v/>
      </c>
      <c r="K40" s="242">
        <f>K5*'Scenario_Drivers'!K84*(1-Inputs!$B$18)</f>
        <v/>
      </c>
      <c r="L40" s="242">
        <f>L5*'Scenario_Drivers'!L84*(1-Inputs!$B$18)</f>
        <v/>
      </c>
      <c r="M40" s="242">
        <f>M5*'Scenario_Drivers'!M84*(1-Inputs!$B$18)</f>
        <v/>
      </c>
      <c r="N40" s="242">
        <f>N5*'Scenario_Drivers'!N84*(1-Inputs!$B$18)</f>
        <v/>
      </c>
      <c r="O40" s="242">
        <f>O5*'Scenario_Drivers'!O84*(1-Inputs!$B$18)</f>
        <v/>
      </c>
      <c r="P40" s="242">
        <f>P5*'Scenario_Drivers'!P84*(1-Inputs!$B$18)</f>
        <v/>
      </c>
      <c r="Q40" s="242">
        <f>Q5*'Scenario_Drivers'!Q84*(1-Inputs!$B$18)</f>
        <v/>
      </c>
      <c r="R40" s="242">
        <f>R5*'Scenario_Drivers'!R84*(1-Inputs!$B$18)</f>
        <v/>
      </c>
      <c r="S40" s="242">
        <f>S5*'Scenario_Drivers'!S84*(1-Inputs!$B$18)</f>
        <v/>
      </c>
      <c r="T40" s="242">
        <f>T5*'Scenario_Drivers'!T84*(1-Inputs!$B$18)</f>
        <v/>
      </c>
      <c r="U40" s="242">
        <f>U5*'Scenario_Drivers'!U84*(1-Inputs!$B$18)</f>
        <v/>
      </c>
      <c r="V40" s="242">
        <f>V5*'Scenario_Drivers'!V84*(1-Inputs!$B$18)</f>
        <v/>
      </c>
    </row>
    <row r="41">
      <c r="A41" s="165" t="inlineStr">
        <is>
          <t>Total capex</t>
        </is>
      </c>
      <c r="B41" s="165" t="inlineStr">
        <is>
          <t>$mm</t>
        </is>
      </c>
      <c r="C41" s="242">
        <f>SUM(C39:C40)</f>
        <v/>
      </c>
      <c r="D41" s="242">
        <f>SUM(D39:D40)</f>
        <v/>
      </c>
      <c r="E41" s="242">
        <f>SUM(E39:E40)</f>
        <v/>
      </c>
      <c r="F41" s="242">
        <f>SUM(F39:F40)</f>
        <v/>
      </c>
      <c r="G41" s="242">
        <f>SUM(G39:G40)</f>
        <v/>
      </c>
      <c r="H41" s="242">
        <f>SUM(H39:H40)</f>
        <v/>
      </c>
      <c r="I41" s="242">
        <f>SUM(I39:I40)</f>
        <v/>
      </c>
      <c r="J41" s="242">
        <f>SUM(J39:J40)</f>
        <v/>
      </c>
      <c r="K41" s="242">
        <f>SUM(K39:K40)</f>
        <v/>
      </c>
      <c r="L41" s="242">
        <f>SUM(L39:L40)</f>
        <v/>
      </c>
      <c r="M41" s="242">
        <f>SUM(M39:M40)</f>
        <v/>
      </c>
      <c r="N41" s="242">
        <f>SUM(N39:N40)</f>
        <v/>
      </c>
      <c r="O41" s="242">
        <f>SUM(O39:O40)</f>
        <v/>
      </c>
      <c r="P41" s="242">
        <f>SUM(P39:P40)</f>
        <v/>
      </c>
      <c r="Q41" s="242">
        <f>SUM(Q39:Q40)</f>
        <v/>
      </c>
      <c r="R41" s="242">
        <f>SUM(R39:R40)</f>
        <v/>
      </c>
      <c r="S41" s="242">
        <f>SUM(S39:S40)</f>
        <v/>
      </c>
      <c r="T41" s="242">
        <f>SUM(T39:T40)</f>
        <v/>
      </c>
      <c r="U41" s="242">
        <f>SUM(U39:U40)</f>
        <v/>
      </c>
      <c r="V41" s="242">
        <f>SUM(V39:V40)</f>
        <v/>
      </c>
    </row>
    <row r="42">
      <c r="A42" s="165" t="inlineStr">
        <is>
          <t>Acquired PP&amp;E</t>
        </is>
      </c>
      <c r="B42" s="165" t="inlineStr">
        <is>
          <t>$mm</t>
        </is>
      </c>
      <c r="C42" s="239">
        <f>'Scenario_Drivers'!C86</f>
        <v/>
      </c>
      <c r="D42" s="239">
        <f>'Scenario_Drivers'!D86</f>
        <v/>
      </c>
      <c r="E42" s="239">
        <f>'Scenario_Drivers'!E86</f>
        <v/>
      </c>
      <c r="F42" s="239">
        <f>'Scenario_Drivers'!F86</f>
        <v/>
      </c>
      <c r="G42" s="239">
        <f>'Scenario_Drivers'!G86</f>
        <v/>
      </c>
      <c r="H42" s="239">
        <f>'Scenario_Drivers'!H86</f>
        <v/>
      </c>
      <c r="I42" s="239">
        <f>'Scenario_Drivers'!I86</f>
        <v/>
      </c>
      <c r="J42" s="239">
        <f>'Scenario_Drivers'!J86</f>
        <v/>
      </c>
      <c r="K42" s="239">
        <f>'Scenario_Drivers'!K86</f>
        <v/>
      </c>
      <c r="L42" s="239">
        <f>'Scenario_Drivers'!L86</f>
        <v/>
      </c>
      <c r="M42" s="239">
        <f>'Scenario_Drivers'!M86</f>
        <v/>
      </c>
      <c r="N42" s="239">
        <f>'Scenario_Drivers'!N86</f>
        <v/>
      </c>
      <c r="O42" s="239">
        <f>'Scenario_Drivers'!O86</f>
        <v/>
      </c>
      <c r="P42" s="239">
        <f>'Scenario_Drivers'!P86</f>
        <v/>
      </c>
      <c r="Q42" s="239">
        <f>'Scenario_Drivers'!Q86</f>
        <v/>
      </c>
      <c r="R42" s="239">
        <f>'Scenario_Drivers'!R86</f>
        <v/>
      </c>
      <c r="S42" s="239">
        <f>'Scenario_Drivers'!S86</f>
        <v/>
      </c>
      <c r="T42" s="239">
        <f>'Scenario_Drivers'!T86</f>
        <v/>
      </c>
      <c r="U42" s="239">
        <f>'Scenario_Drivers'!U86</f>
        <v/>
      </c>
      <c r="V42" s="239">
        <f>'Scenario_Drivers'!V86</f>
        <v/>
      </c>
    </row>
    <row r="43">
      <c r="A43" s="165" t="inlineStr">
        <is>
          <t>Acquisition EV</t>
        </is>
      </c>
      <c r="B43" s="165" t="inlineStr">
        <is>
          <t>$mm</t>
        </is>
      </c>
      <c r="C43" s="239">
        <f>'Scenario_Drivers'!C87</f>
        <v/>
      </c>
      <c r="D43" s="239">
        <f>'Scenario_Drivers'!D87</f>
        <v/>
      </c>
      <c r="E43" s="239">
        <f>'Scenario_Drivers'!E87</f>
        <v/>
      </c>
      <c r="F43" s="239">
        <f>'Scenario_Drivers'!F87</f>
        <v/>
      </c>
      <c r="G43" s="239">
        <f>'Scenario_Drivers'!G87</f>
        <v/>
      </c>
      <c r="H43" s="239">
        <f>'Scenario_Drivers'!H87</f>
        <v/>
      </c>
      <c r="I43" s="239">
        <f>'Scenario_Drivers'!I87</f>
        <v/>
      </c>
      <c r="J43" s="239">
        <f>'Scenario_Drivers'!J87</f>
        <v/>
      </c>
      <c r="K43" s="239">
        <f>'Scenario_Drivers'!K87</f>
        <v/>
      </c>
      <c r="L43" s="239">
        <f>'Scenario_Drivers'!L87</f>
        <v/>
      </c>
      <c r="M43" s="239">
        <f>'Scenario_Drivers'!M87</f>
        <v/>
      </c>
      <c r="N43" s="239">
        <f>'Scenario_Drivers'!N87</f>
        <v/>
      </c>
      <c r="O43" s="239">
        <f>'Scenario_Drivers'!O87</f>
        <v/>
      </c>
      <c r="P43" s="239">
        <f>'Scenario_Drivers'!P87</f>
        <v/>
      </c>
      <c r="Q43" s="239">
        <f>'Scenario_Drivers'!Q87</f>
        <v/>
      </c>
      <c r="R43" s="239">
        <f>'Scenario_Drivers'!R87</f>
        <v/>
      </c>
      <c r="S43" s="239">
        <f>'Scenario_Drivers'!S87</f>
        <v/>
      </c>
      <c r="T43" s="239">
        <f>'Scenario_Drivers'!T87</f>
        <v/>
      </c>
      <c r="U43" s="239">
        <f>'Scenario_Drivers'!U87</f>
        <v/>
      </c>
      <c r="V43" s="239">
        <f>'Scenario_Drivers'!V87</f>
        <v/>
      </c>
    </row>
    <row r="44">
      <c r="A44" s="165" t="inlineStr">
        <is>
          <t>Acquisition fees</t>
        </is>
      </c>
      <c r="B44" s="165" t="inlineStr">
        <is>
          <t>$mm</t>
        </is>
      </c>
      <c r="C44" s="239">
        <f>'Scenario_Drivers'!C88</f>
        <v/>
      </c>
      <c r="D44" s="239">
        <f>'Scenario_Drivers'!D88</f>
        <v/>
      </c>
      <c r="E44" s="239">
        <f>'Scenario_Drivers'!E88</f>
        <v/>
      </c>
      <c r="F44" s="239">
        <f>'Scenario_Drivers'!F88</f>
        <v/>
      </c>
      <c r="G44" s="239">
        <f>'Scenario_Drivers'!G88</f>
        <v/>
      </c>
      <c r="H44" s="239">
        <f>'Scenario_Drivers'!H88</f>
        <v/>
      </c>
      <c r="I44" s="239">
        <f>'Scenario_Drivers'!I88</f>
        <v/>
      </c>
      <c r="J44" s="239">
        <f>'Scenario_Drivers'!J88</f>
        <v/>
      </c>
      <c r="K44" s="239">
        <f>'Scenario_Drivers'!K88</f>
        <v/>
      </c>
      <c r="L44" s="239">
        <f>'Scenario_Drivers'!L88</f>
        <v/>
      </c>
      <c r="M44" s="239">
        <f>'Scenario_Drivers'!M88</f>
        <v/>
      </c>
      <c r="N44" s="239">
        <f>'Scenario_Drivers'!N88</f>
        <v/>
      </c>
      <c r="O44" s="239">
        <f>'Scenario_Drivers'!O88</f>
        <v/>
      </c>
      <c r="P44" s="239">
        <f>'Scenario_Drivers'!P88</f>
        <v/>
      </c>
      <c r="Q44" s="239">
        <f>'Scenario_Drivers'!Q88</f>
        <v/>
      </c>
      <c r="R44" s="239">
        <f>'Scenario_Drivers'!R88</f>
        <v/>
      </c>
      <c r="S44" s="239">
        <f>'Scenario_Drivers'!S88</f>
        <v/>
      </c>
      <c r="T44" s="239">
        <f>'Scenario_Drivers'!T88</f>
        <v/>
      </c>
      <c r="U44" s="239">
        <f>'Scenario_Drivers'!U88</f>
        <v/>
      </c>
      <c r="V44" s="239">
        <f>'Scenario_Drivers'!V88</f>
        <v/>
      </c>
    </row>
    <row r="45">
      <c r="A45" s="165" t="inlineStr">
        <is>
          <t>Capitalized integration spend</t>
        </is>
      </c>
      <c r="B45" s="165" t="inlineStr">
        <is>
          <t>$mm</t>
        </is>
      </c>
      <c r="C45" s="239">
        <f>'Scenario_Drivers'!C95</f>
        <v/>
      </c>
      <c r="D45" s="239">
        <f>'Scenario_Drivers'!D95</f>
        <v/>
      </c>
      <c r="E45" s="239">
        <f>'Scenario_Drivers'!E95</f>
        <v/>
      </c>
      <c r="F45" s="239">
        <f>'Scenario_Drivers'!F95</f>
        <v/>
      </c>
      <c r="G45" s="239">
        <f>'Scenario_Drivers'!G95</f>
        <v/>
      </c>
      <c r="H45" s="239">
        <f>'Scenario_Drivers'!H95</f>
        <v/>
      </c>
      <c r="I45" s="239">
        <f>'Scenario_Drivers'!I95</f>
        <v/>
      </c>
      <c r="J45" s="239">
        <f>'Scenario_Drivers'!J95</f>
        <v/>
      </c>
      <c r="K45" s="239">
        <f>'Scenario_Drivers'!K95</f>
        <v/>
      </c>
      <c r="L45" s="239">
        <f>'Scenario_Drivers'!L95</f>
        <v/>
      </c>
      <c r="M45" s="239">
        <f>'Scenario_Drivers'!M95</f>
        <v/>
      </c>
      <c r="N45" s="239">
        <f>'Scenario_Drivers'!N95</f>
        <v/>
      </c>
      <c r="O45" s="239">
        <f>'Scenario_Drivers'!O95</f>
        <v/>
      </c>
      <c r="P45" s="239">
        <f>'Scenario_Drivers'!P95</f>
        <v/>
      </c>
      <c r="Q45" s="239">
        <f>'Scenario_Drivers'!Q95</f>
        <v/>
      </c>
      <c r="R45" s="239">
        <f>'Scenario_Drivers'!R95</f>
        <v/>
      </c>
      <c r="S45" s="239">
        <f>'Scenario_Drivers'!S95</f>
        <v/>
      </c>
      <c r="T45" s="239">
        <f>'Scenario_Drivers'!T95</f>
        <v/>
      </c>
      <c r="U45" s="239">
        <f>'Scenario_Drivers'!U95</f>
        <v/>
      </c>
      <c r="V45" s="239">
        <f>'Scenario_Drivers'!V95</f>
        <v/>
      </c>
    </row>
    <row r="46">
      <c r="A46" s="39" t="inlineStr">
        <is>
          <t>Cash Flow Statement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</row>
    <row r="47">
      <c r="A47" s="165" t="inlineStr">
        <is>
          <t>Net income - CF</t>
        </is>
      </c>
      <c r="B47" s="165" t="inlineStr">
        <is>
          <t>$mm</t>
        </is>
      </c>
      <c r="C47" s="242">
        <f>C28</f>
        <v/>
      </c>
      <c r="D47" s="242">
        <f>D28</f>
        <v/>
      </c>
      <c r="E47" s="242">
        <f>E28</f>
        <v/>
      </c>
      <c r="F47" s="242">
        <f>F28</f>
        <v/>
      </c>
      <c r="G47" s="242">
        <f>G28</f>
        <v/>
      </c>
      <c r="H47" s="242">
        <f>H28</f>
        <v/>
      </c>
      <c r="I47" s="242">
        <f>I28</f>
        <v/>
      </c>
      <c r="J47" s="242">
        <f>J28</f>
        <v/>
      </c>
      <c r="K47" s="242">
        <f>K28</f>
        <v/>
      </c>
      <c r="L47" s="242">
        <f>L28</f>
        <v/>
      </c>
      <c r="M47" s="242">
        <f>M28</f>
        <v/>
      </c>
      <c r="N47" s="242">
        <f>N28</f>
        <v/>
      </c>
      <c r="O47" s="242">
        <f>O28</f>
        <v/>
      </c>
      <c r="P47" s="242">
        <f>P28</f>
        <v/>
      </c>
      <c r="Q47" s="242">
        <f>Q28</f>
        <v/>
      </c>
      <c r="R47" s="242">
        <f>R28</f>
        <v/>
      </c>
      <c r="S47" s="242">
        <f>S28</f>
        <v/>
      </c>
      <c r="T47" s="242">
        <f>T28</f>
        <v/>
      </c>
      <c r="U47" s="242">
        <f>U28</f>
        <v/>
      </c>
      <c r="V47" s="242">
        <f>V28</f>
        <v/>
      </c>
    </row>
    <row r="48">
      <c r="A48" s="165" t="inlineStr">
        <is>
          <t>Total D&amp;A - CF</t>
        </is>
      </c>
      <c r="B48" s="165" t="inlineStr">
        <is>
          <t>$mm</t>
        </is>
      </c>
      <c r="C48" s="242">
        <f>C20</f>
        <v/>
      </c>
      <c r="D48" s="242">
        <f>D20</f>
        <v/>
      </c>
      <c r="E48" s="242">
        <f>E20</f>
        <v/>
      </c>
      <c r="F48" s="242">
        <f>F20</f>
        <v/>
      </c>
      <c r="G48" s="242">
        <f>G20</f>
        <v/>
      </c>
      <c r="H48" s="242">
        <f>H20</f>
        <v/>
      </c>
      <c r="I48" s="242">
        <f>I20</f>
        <v/>
      </c>
      <c r="J48" s="242">
        <f>J20</f>
        <v/>
      </c>
      <c r="K48" s="242">
        <f>K20</f>
        <v/>
      </c>
      <c r="L48" s="242">
        <f>L20</f>
        <v/>
      </c>
      <c r="M48" s="242">
        <f>M20</f>
        <v/>
      </c>
      <c r="N48" s="242">
        <f>N20</f>
        <v/>
      </c>
      <c r="O48" s="242">
        <f>O20</f>
        <v/>
      </c>
      <c r="P48" s="242">
        <f>P20</f>
        <v/>
      </c>
      <c r="Q48" s="242">
        <f>Q20</f>
        <v/>
      </c>
      <c r="R48" s="242">
        <f>R20</f>
        <v/>
      </c>
      <c r="S48" s="242">
        <f>S20</f>
        <v/>
      </c>
      <c r="T48" s="242">
        <f>T20</f>
        <v/>
      </c>
      <c r="U48" s="242">
        <f>U20</f>
        <v/>
      </c>
      <c r="V48" s="242">
        <f>V20</f>
        <v/>
      </c>
    </row>
    <row r="49">
      <c r="A49" s="165" t="inlineStr">
        <is>
          <t>Financing fee amortization - CF</t>
        </is>
      </c>
      <c r="B49" s="165" t="inlineStr">
        <is>
          <t>$mm</t>
        </is>
      </c>
      <c r="C49" s="242">
        <f>C23</f>
        <v/>
      </c>
      <c r="D49" s="242">
        <f>D23</f>
        <v/>
      </c>
      <c r="E49" s="242">
        <f>E23</f>
        <v/>
      </c>
      <c r="F49" s="242">
        <f>F23</f>
        <v/>
      </c>
      <c r="G49" s="242">
        <f>G23</f>
        <v/>
      </c>
      <c r="H49" s="242">
        <f>H23</f>
        <v/>
      </c>
      <c r="I49" s="242">
        <f>I23</f>
        <v/>
      </c>
      <c r="J49" s="242">
        <f>J23</f>
        <v/>
      </c>
      <c r="K49" s="242">
        <f>K23</f>
        <v/>
      </c>
      <c r="L49" s="242">
        <f>L23</f>
        <v/>
      </c>
      <c r="M49" s="242">
        <f>M23</f>
        <v/>
      </c>
      <c r="N49" s="242">
        <f>N23</f>
        <v/>
      </c>
      <c r="O49" s="242">
        <f>O23</f>
        <v/>
      </c>
      <c r="P49" s="242">
        <f>P23</f>
        <v/>
      </c>
      <c r="Q49" s="242">
        <f>Q23</f>
        <v/>
      </c>
      <c r="R49" s="242">
        <f>R23</f>
        <v/>
      </c>
      <c r="S49" s="242">
        <f>S23</f>
        <v/>
      </c>
      <c r="T49" s="242">
        <f>T23</f>
        <v/>
      </c>
      <c r="U49" s="242">
        <f>U23</f>
        <v/>
      </c>
      <c r="V49" s="242">
        <f>V23</f>
        <v/>
      </c>
    </row>
    <row r="50">
      <c r="A50" s="165" t="inlineStr">
        <is>
          <t>Deferred tax / non-cash tax</t>
        </is>
      </c>
      <c r="B50" s="165" t="inlineStr">
        <is>
          <t>$mm</t>
        </is>
      </c>
      <c r="C50" s="242">
        <f>-C26+C27</f>
        <v/>
      </c>
      <c r="D50" s="242">
        <f>-D26+D27</f>
        <v/>
      </c>
      <c r="E50" s="242">
        <f>-E26+E27</f>
        <v/>
      </c>
      <c r="F50" s="242">
        <f>-F26+F27</f>
        <v/>
      </c>
      <c r="G50" s="242">
        <f>-G26+G27</f>
        <v/>
      </c>
      <c r="H50" s="242">
        <f>-H26+H27</f>
        <v/>
      </c>
      <c r="I50" s="242">
        <f>-I26+I27</f>
        <v/>
      </c>
      <c r="J50" s="242">
        <f>-J26+J27</f>
        <v/>
      </c>
      <c r="K50" s="242">
        <f>-K26+K27</f>
        <v/>
      </c>
      <c r="L50" s="242">
        <f>-L26+L27</f>
        <v/>
      </c>
      <c r="M50" s="242">
        <f>-M26+M27</f>
        <v/>
      </c>
      <c r="N50" s="242">
        <f>-N26+N27</f>
        <v/>
      </c>
      <c r="O50" s="242">
        <f>-O26+O27</f>
        <v/>
      </c>
      <c r="P50" s="242">
        <f>-P26+P27</f>
        <v/>
      </c>
      <c r="Q50" s="242">
        <f>-Q26+Q27</f>
        <v/>
      </c>
      <c r="R50" s="242">
        <f>-R26+R27</f>
        <v/>
      </c>
      <c r="S50" s="242">
        <f>-S26+S27</f>
        <v/>
      </c>
      <c r="T50" s="242">
        <f>-T26+T27</f>
        <v/>
      </c>
      <c r="U50" s="242">
        <f>-U26+U27</f>
        <v/>
      </c>
      <c r="V50" s="242">
        <f>-V26+V27</f>
        <v/>
      </c>
    </row>
    <row r="51">
      <c r="A51" s="165" t="inlineStr">
        <is>
          <t>Change in NWC - CF</t>
        </is>
      </c>
      <c r="B51" s="165" t="inlineStr">
        <is>
          <t>$mm</t>
        </is>
      </c>
      <c r="C51" s="242">
        <f>-C38</f>
        <v/>
      </c>
      <c r="D51" s="242">
        <f>-D38</f>
        <v/>
      </c>
      <c r="E51" s="242">
        <f>-E38</f>
        <v/>
      </c>
      <c r="F51" s="242">
        <f>-F38</f>
        <v/>
      </c>
      <c r="G51" s="242">
        <f>-G38</f>
        <v/>
      </c>
      <c r="H51" s="242">
        <f>-H38</f>
        <v/>
      </c>
      <c r="I51" s="242">
        <f>-I38</f>
        <v/>
      </c>
      <c r="J51" s="242">
        <f>-J38</f>
        <v/>
      </c>
      <c r="K51" s="242">
        <f>-K38</f>
        <v/>
      </c>
      <c r="L51" s="242">
        <f>-L38</f>
        <v/>
      </c>
      <c r="M51" s="242">
        <f>-M38</f>
        <v/>
      </c>
      <c r="N51" s="242">
        <f>-N38</f>
        <v/>
      </c>
      <c r="O51" s="242">
        <f>-O38</f>
        <v/>
      </c>
      <c r="P51" s="242">
        <f>-P38</f>
        <v/>
      </c>
      <c r="Q51" s="242">
        <f>-Q38</f>
        <v/>
      </c>
      <c r="R51" s="242">
        <f>-R38</f>
        <v/>
      </c>
      <c r="S51" s="242">
        <f>-S38</f>
        <v/>
      </c>
      <c r="T51" s="242">
        <f>-T38</f>
        <v/>
      </c>
      <c r="U51" s="242">
        <f>-U38</f>
        <v/>
      </c>
      <c r="V51" s="242">
        <f>-V38</f>
        <v/>
      </c>
    </row>
    <row r="52">
      <c r="A52" s="165" t="inlineStr">
        <is>
          <t>Cash from operations</t>
        </is>
      </c>
      <c r="B52" s="165" t="inlineStr">
        <is>
          <t>$mm</t>
        </is>
      </c>
      <c r="C52" s="242">
        <f>SUM(C47:C51)</f>
        <v/>
      </c>
      <c r="D52" s="242">
        <f>SUM(D47:D51)</f>
        <v/>
      </c>
      <c r="E52" s="242">
        <f>SUM(E47:E51)</f>
        <v/>
      </c>
      <c r="F52" s="242">
        <f>SUM(F47:F51)</f>
        <v/>
      </c>
      <c r="G52" s="242">
        <f>SUM(G47:G51)</f>
        <v/>
      </c>
      <c r="H52" s="242">
        <f>SUM(H47:H51)</f>
        <v/>
      </c>
      <c r="I52" s="242">
        <f>SUM(I47:I51)</f>
        <v/>
      </c>
      <c r="J52" s="242">
        <f>SUM(J47:J51)</f>
        <v/>
      </c>
      <c r="K52" s="242">
        <f>SUM(K47:K51)</f>
        <v/>
      </c>
      <c r="L52" s="242">
        <f>SUM(L47:L51)</f>
        <v/>
      </c>
      <c r="M52" s="242">
        <f>SUM(M47:M51)</f>
        <v/>
      </c>
      <c r="N52" s="242">
        <f>SUM(N47:N51)</f>
        <v/>
      </c>
      <c r="O52" s="242">
        <f>SUM(O47:O51)</f>
        <v/>
      </c>
      <c r="P52" s="242">
        <f>SUM(P47:P51)</f>
        <v/>
      </c>
      <c r="Q52" s="242">
        <f>SUM(Q47:Q51)</f>
        <v/>
      </c>
      <c r="R52" s="242">
        <f>SUM(R47:R51)</f>
        <v/>
      </c>
      <c r="S52" s="242">
        <f>SUM(S47:S51)</f>
        <v/>
      </c>
      <c r="T52" s="242">
        <f>SUM(T47:T51)</f>
        <v/>
      </c>
      <c r="U52" s="242">
        <f>SUM(U47:U51)</f>
        <v/>
      </c>
      <c r="V52" s="242">
        <f>SUM(V47:V51)</f>
        <v/>
      </c>
    </row>
    <row r="53">
      <c r="A53" s="165" t="inlineStr">
        <is>
          <t>Capital expenditure - CF</t>
        </is>
      </c>
      <c r="B53" s="165" t="inlineStr">
        <is>
          <t>$mm</t>
        </is>
      </c>
      <c r="C53" s="242">
        <f>-C41</f>
        <v/>
      </c>
      <c r="D53" s="242">
        <f>-D41</f>
        <v/>
      </c>
      <c r="E53" s="242">
        <f>-E41</f>
        <v/>
      </c>
      <c r="F53" s="242">
        <f>-F41</f>
        <v/>
      </c>
      <c r="G53" s="242">
        <f>-G41</f>
        <v/>
      </c>
      <c r="H53" s="242">
        <f>-H41</f>
        <v/>
      </c>
      <c r="I53" s="242">
        <f>-I41</f>
        <v/>
      </c>
      <c r="J53" s="242">
        <f>-J41</f>
        <v/>
      </c>
      <c r="K53" s="242">
        <f>-K41</f>
        <v/>
      </c>
      <c r="L53" s="242">
        <f>-L41</f>
        <v/>
      </c>
      <c r="M53" s="242">
        <f>-M41</f>
        <v/>
      </c>
      <c r="N53" s="242">
        <f>-N41</f>
        <v/>
      </c>
      <c r="O53" s="242">
        <f>-O41</f>
        <v/>
      </c>
      <c r="P53" s="242">
        <f>-P41</f>
        <v/>
      </c>
      <c r="Q53" s="242">
        <f>-Q41</f>
        <v/>
      </c>
      <c r="R53" s="242">
        <f>-R41</f>
        <v/>
      </c>
      <c r="S53" s="242">
        <f>-S41</f>
        <v/>
      </c>
      <c r="T53" s="242">
        <f>-T41</f>
        <v/>
      </c>
      <c r="U53" s="242">
        <f>-U41</f>
        <v/>
      </c>
      <c r="V53" s="242">
        <f>-V41</f>
        <v/>
      </c>
    </row>
    <row r="54">
      <c r="A54" s="165" t="inlineStr">
        <is>
          <t>Acquisition EV - CF</t>
        </is>
      </c>
      <c r="B54" s="165" t="inlineStr">
        <is>
          <t>$mm</t>
        </is>
      </c>
      <c r="C54" s="242">
        <f>-C43</f>
        <v/>
      </c>
      <c r="D54" s="242">
        <f>-D43</f>
        <v/>
      </c>
      <c r="E54" s="242">
        <f>-E43</f>
        <v/>
      </c>
      <c r="F54" s="242">
        <f>-F43</f>
        <v/>
      </c>
      <c r="G54" s="242">
        <f>-G43</f>
        <v/>
      </c>
      <c r="H54" s="242">
        <f>-H43</f>
        <v/>
      </c>
      <c r="I54" s="242">
        <f>-I43</f>
        <v/>
      </c>
      <c r="J54" s="242">
        <f>-J43</f>
        <v/>
      </c>
      <c r="K54" s="242">
        <f>-K43</f>
        <v/>
      </c>
      <c r="L54" s="242">
        <f>-L43</f>
        <v/>
      </c>
      <c r="M54" s="242">
        <f>-M43</f>
        <v/>
      </c>
      <c r="N54" s="242">
        <f>-N43</f>
        <v/>
      </c>
      <c r="O54" s="242">
        <f>-O43</f>
        <v/>
      </c>
      <c r="P54" s="242">
        <f>-P43</f>
        <v/>
      </c>
      <c r="Q54" s="242">
        <f>-Q43</f>
        <v/>
      </c>
      <c r="R54" s="242">
        <f>-R43</f>
        <v/>
      </c>
      <c r="S54" s="242">
        <f>-S43</f>
        <v/>
      </c>
      <c r="T54" s="242">
        <f>-T43</f>
        <v/>
      </c>
      <c r="U54" s="242">
        <f>-U43</f>
        <v/>
      </c>
      <c r="V54" s="242">
        <f>-V43</f>
        <v/>
      </c>
    </row>
    <row r="55">
      <c r="A55" s="165" t="inlineStr">
        <is>
          <t>Capitalized integration spend - CF</t>
        </is>
      </c>
      <c r="B55" s="165" t="inlineStr">
        <is>
          <t>$mm</t>
        </is>
      </c>
      <c r="C55" s="242">
        <f>-C45</f>
        <v/>
      </c>
      <c r="D55" s="242">
        <f>-D45</f>
        <v/>
      </c>
      <c r="E55" s="242">
        <f>-E45</f>
        <v/>
      </c>
      <c r="F55" s="242">
        <f>-F45</f>
        <v/>
      </c>
      <c r="G55" s="242">
        <f>-G45</f>
        <v/>
      </c>
      <c r="H55" s="242">
        <f>-H45</f>
        <v/>
      </c>
      <c r="I55" s="242">
        <f>-I45</f>
        <v/>
      </c>
      <c r="J55" s="242">
        <f>-J45</f>
        <v/>
      </c>
      <c r="K55" s="242">
        <f>-K45</f>
        <v/>
      </c>
      <c r="L55" s="242">
        <f>-L45</f>
        <v/>
      </c>
      <c r="M55" s="242">
        <f>-M45</f>
        <v/>
      </c>
      <c r="N55" s="242">
        <f>-N45</f>
        <v/>
      </c>
      <c r="O55" s="242">
        <f>-O45</f>
        <v/>
      </c>
      <c r="P55" s="242">
        <f>-P45</f>
        <v/>
      </c>
      <c r="Q55" s="242">
        <f>-Q45</f>
        <v/>
      </c>
      <c r="R55" s="242">
        <f>-R45</f>
        <v/>
      </c>
      <c r="S55" s="242">
        <f>-S45</f>
        <v/>
      </c>
      <c r="T55" s="242">
        <f>-T45</f>
        <v/>
      </c>
      <c r="U55" s="242">
        <f>-U45</f>
        <v/>
      </c>
      <c r="V55" s="242">
        <f>-V45</f>
        <v/>
      </c>
    </row>
    <row r="56">
      <c r="A56" s="165" t="inlineStr">
        <is>
          <t>Cash from investing</t>
        </is>
      </c>
      <c r="B56" s="165" t="inlineStr">
        <is>
          <t>$mm</t>
        </is>
      </c>
      <c r="C56" s="242">
        <f>SUM(C53:C55)</f>
        <v/>
      </c>
      <c r="D56" s="242">
        <f>SUM(D53:D55)</f>
        <v/>
      </c>
      <c r="E56" s="242">
        <f>SUM(E53:E55)</f>
        <v/>
      </c>
      <c r="F56" s="242">
        <f>SUM(F53:F55)</f>
        <v/>
      </c>
      <c r="G56" s="242">
        <f>SUM(G53:G55)</f>
        <v/>
      </c>
      <c r="H56" s="242">
        <f>SUM(H53:H55)</f>
        <v/>
      </c>
      <c r="I56" s="242">
        <f>SUM(I53:I55)</f>
        <v/>
      </c>
      <c r="J56" s="242">
        <f>SUM(J53:J55)</f>
        <v/>
      </c>
      <c r="K56" s="242">
        <f>SUM(K53:K55)</f>
        <v/>
      </c>
      <c r="L56" s="242">
        <f>SUM(L53:L55)</f>
        <v/>
      </c>
      <c r="M56" s="242">
        <f>SUM(M53:M55)</f>
        <v/>
      </c>
      <c r="N56" s="242">
        <f>SUM(N53:N55)</f>
        <v/>
      </c>
      <c r="O56" s="242">
        <f>SUM(O53:O55)</f>
        <v/>
      </c>
      <c r="P56" s="242">
        <f>SUM(P53:P55)</f>
        <v/>
      </c>
      <c r="Q56" s="242">
        <f>SUM(Q53:Q55)</f>
        <v/>
      </c>
      <c r="R56" s="242">
        <f>SUM(R53:R55)</f>
        <v/>
      </c>
      <c r="S56" s="242">
        <f>SUM(S53:S55)</f>
        <v/>
      </c>
      <c r="T56" s="242">
        <f>SUM(T53:T55)</f>
        <v/>
      </c>
      <c r="U56" s="242">
        <f>SUM(U53:U55)</f>
        <v/>
      </c>
      <c r="V56" s="242">
        <f>SUM(V53:V55)</f>
        <v/>
      </c>
    </row>
    <row r="57">
      <c r="A57" s="165" t="inlineStr">
        <is>
          <t>Sponsor equity contribution</t>
        </is>
      </c>
      <c r="B57" s="165" t="inlineStr">
        <is>
          <t>$mm</t>
        </is>
      </c>
      <c r="C57" s="239">
        <f>'Scenario_Drivers'!C94</f>
        <v/>
      </c>
      <c r="D57" s="239">
        <f>'Scenario_Drivers'!D94</f>
        <v/>
      </c>
      <c r="E57" s="239">
        <f>'Scenario_Drivers'!E94</f>
        <v/>
      </c>
      <c r="F57" s="239">
        <f>'Scenario_Drivers'!F94</f>
        <v/>
      </c>
      <c r="G57" s="239">
        <f>'Scenario_Drivers'!G94</f>
        <v/>
      </c>
      <c r="H57" s="239">
        <f>'Scenario_Drivers'!H94</f>
        <v/>
      </c>
      <c r="I57" s="239">
        <f>'Scenario_Drivers'!I94</f>
        <v/>
      </c>
      <c r="J57" s="239">
        <f>'Scenario_Drivers'!J94</f>
        <v/>
      </c>
      <c r="K57" s="239">
        <f>'Scenario_Drivers'!K94</f>
        <v/>
      </c>
      <c r="L57" s="239">
        <f>'Scenario_Drivers'!L94</f>
        <v/>
      </c>
      <c r="M57" s="239">
        <f>'Scenario_Drivers'!M94</f>
        <v/>
      </c>
      <c r="N57" s="239">
        <f>'Scenario_Drivers'!N94</f>
        <v/>
      </c>
      <c r="O57" s="239">
        <f>'Scenario_Drivers'!O94</f>
        <v/>
      </c>
      <c r="P57" s="239">
        <f>'Scenario_Drivers'!P94</f>
        <v/>
      </c>
      <c r="Q57" s="239">
        <f>'Scenario_Drivers'!Q94</f>
        <v/>
      </c>
      <c r="R57" s="239">
        <f>'Scenario_Drivers'!R94</f>
        <v/>
      </c>
      <c r="S57" s="239">
        <f>'Scenario_Drivers'!S94</f>
        <v/>
      </c>
      <c r="T57" s="239">
        <f>'Scenario_Drivers'!T94</f>
        <v/>
      </c>
      <c r="U57" s="239">
        <f>'Scenario_Drivers'!U94</f>
        <v/>
      </c>
      <c r="V57" s="239">
        <f>'Scenario_Drivers'!V94</f>
        <v/>
      </c>
    </row>
    <row r="58">
      <c r="A58" s="165" t="inlineStr">
        <is>
          <t>DDTL draw</t>
        </is>
      </c>
      <c r="B58" s="165" t="inlineStr">
        <is>
          <t>$mm</t>
        </is>
      </c>
      <c r="C58" s="239">
        <f>'Scenario_Drivers'!C93</f>
        <v/>
      </c>
      <c r="D58" s="239">
        <f>'Scenario_Drivers'!D93</f>
        <v/>
      </c>
      <c r="E58" s="239">
        <f>'Scenario_Drivers'!E93</f>
        <v/>
      </c>
      <c r="F58" s="239">
        <f>'Scenario_Drivers'!F93</f>
        <v/>
      </c>
      <c r="G58" s="239">
        <f>'Scenario_Drivers'!G93</f>
        <v/>
      </c>
      <c r="H58" s="239">
        <f>'Scenario_Drivers'!H93</f>
        <v/>
      </c>
      <c r="I58" s="239">
        <f>'Scenario_Drivers'!I93</f>
        <v/>
      </c>
      <c r="J58" s="239">
        <f>'Scenario_Drivers'!J93</f>
        <v/>
      </c>
      <c r="K58" s="239">
        <f>'Scenario_Drivers'!K93</f>
        <v/>
      </c>
      <c r="L58" s="239">
        <f>'Scenario_Drivers'!L93</f>
        <v/>
      </c>
      <c r="M58" s="239">
        <f>'Scenario_Drivers'!M93</f>
        <v/>
      </c>
      <c r="N58" s="239">
        <f>'Scenario_Drivers'!N93</f>
        <v/>
      </c>
      <c r="O58" s="239">
        <f>'Scenario_Drivers'!O93</f>
        <v/>
      </c>
      <c r="P58" s="239">
        <f>'Scenario_Drivers'!P93</f>
        <v/>
      </c>
      <c r="Q58" s="239">
        <f>'Scenario_Drivers'!Q93</f>
        <v/>
      </c>
      <c r="R58" s="239">
        <f>'Scenario_Drivers'!R93</f>
        <v/>
      </c>
      <c r="S58" s="239">
        <f>'Scenario_Drivers'!S93</f>
        <v/>
      </c>
      <c r="T58" s="239">
        <f>'Scenario_Drivers'!T93</f>
        <v/>
      </c>
      <c r="U58" s="239">
        <f>'Scenario_Drivers'!U93</f>
        <v/>
      </c>
      <c r="V58" s="239">
        <f>'Scenario_Drivers'!V93</f>
        <v/>
      </c>
    </row>
    <row r="59">
      <c r="A59" s="165" t="inlineStr">
        <is>
          <t>Revolver draw</t>
        </is>
      </c>
      <c r="B59" s="165" t="inlineStr">
        <is>
          <t>$mm</t>
        </is>
      </c>
      <c r="C59" s="242">
        <f>IF('Scenario_Drivers'!C98&gt;=0,MAX(0,'Scenario_Drivers'!C98-0),IF('S&amp;U_Opening'!$B$15+C52+C56+C57+C58+C61+C62&lt;'Scenario_Drivers'!C97,MIN((MAX(0,Inputs!$B$20-'Scenario_Drivers'!C96))-0,'Scenario_Drivers'!C97-('S&amp;U_Opening'!$B$15+C52+C56+C57+C58+C61+C62)),0))</f>
        <v/>
      </c>
      <c r="D59" s="242">
        <f>IF('Scenario_Drivers'!D98&gt;=0,MAX(0,'Scenario_Drivers'!D98-C78),IF(C67+D52+D56+D57+D58+D61+D62&lt;'Scenario_Drivers'!D97,MIN((MAX(0,Inputs!$B$20-'Scenario_Drivers'!D96))-C78,'Scenario_Drivers'!D97-(C67+D52+D56+D57+D58+D61+D62)),0))</f>
        <v/>
      </c>
      <c r="E59" s="242">
        <f>IF('Scenario_Drivers'!E98&gt;=0,MAX(0,'Scenario_Drivers'!E98-D78),IF(D67+E52+E56+E57+E58+E61+E62&lt;'Scenario_Drivers'!E97,MIN((MAX(0,Inputs!$B$20-'Scenario_Drivers'!E96))-D78,'Scenario_Drivers'!E97-(D67+E52+E56+E57+E58+E61+E62)),0))</f>
        <v/>
      </c>
      <c r="F59" s="242">
        <f>IF('Scenario_Drivers'!F98&gt;=0,MAX(0,'Scenario_Drivers'!F98-E78),IF(E67+F52+F56+F57+F58+F61+F62&lt;'Scenario_Drivers'!F97,MIN((MAX(0,Inputs!$B$20-'Scenario_Drivers'!F96))-E78,'Scenario_Drivers'!F97-(E67+F52+F56+F57+F58+F61+F62)),0))</f>
        <v/>
      </c>
      <c r="G59" s="242">
        <f>IF('Scenario_Drivers'!G98&gt;=0,MAX(0,'Scenario_Drivers'!G98-F78),IF(F67+G52+G56+G57+G58+G61+G62&lt;'Scenario_Drivers'!G97,MIN((MAX(0,Inputs!$B$20-'Scenario_Drivers'!G96))-F78,'Scenario_Drivers'!G97-(F67+G52+G56+G57+G58+G61+G62)),0))</f>
        <v/>
      </c>
      <c r="H59" s="242">
        <f>IF('Scenario_Drivers'!H98&gt;=0,MAX(0,'Scenario_Drivers'!H98-G78),IF(G67+H52+H56+H57+H58+H61+H62&lt;'Scenario_Drivers'!H97,MIN((MAX(0,Inputs!$B$20-'Scenario_Drivers'!H96))-G78,'Scenario_Drivers'!H97-(G67+H52+H56+H57+H58+H61+H62)),0))</f>
        <v/>
      </c>
      <c r="I59" s="242">
        <f>IF('Scenario_Drivers'!I98&gt;=0,MAX(0,'Scenario_Drivers'!I98-H78),IF(H67+I52+I56+I57+I58+I61+I62&lt;'Scenario_Drivers'!I97,MIN((MAX(0,Inputs!$B$20-'Scenario_Drivers'!I96))-H78,'Scenario_Drivers'!I97-(H67+I52+I56+I57+I58+I61+I62)),0))</f>
        <v/>
      </c>
      <c r="J59" s="242">
        <f>IF('Scenario_Drivers'!J98&gt;=0,MAX(0,'Scenario_Drivers'!J98-I78),IF(I67+J52+J56+J57+J58+J61+J62&lt;'Scenario_Drivers'!J97,MIN((MAX(0,Inputs!$B$20-'Scenario_Drivers'!J96))-I78,'Scenario_Drivers'!J97-(I67+J52+J56+J57+J58+J61+J62)),0))</f>
        <v/>
      </c>
      <c r="K59" s="242">
        <f>IF('Scenario_Drivers'!K98&gt;=0,MAX(0,'Scenario_Drivers'!K98-J78),IF(J67+K52+K56+K57+K58+K61+K62&lt;'Scenario_Drivers'!K97,MIN((MAX(0,Inputs!$B$20-'Scenario_Drivers'!K96))-J78,'Scenario_Drivers'!K97-(J67+K52+K56+K57+K58+K61+K62)),0))</f>
        <v/>
      </c>
      <c r="L59" s="242">
        <f>IF('Scenario_Drivers'!L98&gt;=0,MAX(0,'Scenario_Drivers'!L98-K78),IF(K67+L52+L56+L57+L58+L61+L62&lt;'Scenario_Drivers'!L97,MIN((MAX(0,Inputs!$B$20-'Scenario_Drivers'!L96))-K78,'Scenario_Drivers'!L97-(K67+L52+L56+L57+L58+L61+L62)),0))</f>
        <v/>
      </c>
      <c r="M59" s="242">
        <f>IF('Scenario_Drivers'!M98&gt;=0,MAX(0,'Scenario_Drivers'!M98-L78),IF(L67+M52+M56+M57+M58+M61+M62&lt;'Scenario_Drivers'!M97,MIN((MAX(0,Inputs!$B$20-'Scenario_Drivers'!M96))-L78,'Scenario_Drivers'!M97-(L67+M52+M56+M57+M58+M61+M62)),0))</f>
        <v/>
      </c>
      <c r="N59" s="242">
        <f>IF('Scenario_Drivers'!N98&gt;=0,MAX(0,'Scenario_Drivers'!N98-M78),IF(M67+N52+N56+N57+N58+N61+N62&lt;'Scenario_Drivers'!N97,MIN((MAX(0,Inputs!$B$20-'Scenario_Drivers'!N96))-M78,'Scenario_Drivers'!N97-(M67+N52+N56+N57+N58+N61+N62)),0))</f>
        <v/>
      </c>
      <c r="O59" s="242">
        <f>IF('Scenario_Drivers'!O98&gt;=0,MAX(0,'Scenario_Drivers'!O98-N78),IF(N67+O52+O56+O57+O58+O61+O62&lt;'Scenario_Drivers'!O97,MIN((MAX(0,Inputs!$B$20-'Scenario_Drivers'!O96))-N78,'Scenario_Drivers'!O97-(N67+O52+O56+O57+O58+O61+O62)),0))</f>
        <v/>
      </c>
      <c r="P59" s="242">
        <f>IF('Scenario_Drivers'!P98&gt;=0,MAX(0,'Scenario_Drivers'!P98-O78),IF(O67+P52+P56+P57+P58+P61+P62&lt;'Scenario_Drivers'!P97,MIN((MAX(0,Inputs!$B$20-'Scenario_Drivers'!P96))-O78,'Scenario_Drivers'!P97-(O67+P52+P56+P57+P58+P61+P62)),0))</f>
        <v/>
      </c>
      <c r="Q59" s="242">
        <f>IF('Scenario_Drivers'!Q98&gt;=0,MAX(0,'Scenario_Drivers'!Q98-P78),IF(P67+Q52+Q56+Q57+Q58+Q61+Q62&lt;'Scenario_Drivers'!Q97,MIN((MAX(0,Inputs!$B$20-'Scenario_Drivers'!Q96))-P78,'Scenario_Drivers'!Q97-(P67+Q52+Q56+Q57+Q58+Q61+Q62)),0))</f>
        <v/>
      </c>
      <c r="R59" s="242">
        <f>IF('Scenario_Drivers'!R98&gt;=0,MAX(0,'Scenario_Drivers'!R98-Q78),IF(Q67+R52+R56+R57+R58+R61+R62&lt;'Scenario_Drivers'!R97,MIN((MAX(0,Inputs!$B$20-'Scenario_Drivers'!R96))-Q78,'Scenario_Drivers'!R97-(Q67+R52+R56+R57+R58+R61+R62)),0))</f>
        <v/>
      </c>
      <c r="S59" s="242">
        <f>IF('Scenario_Drivers'!S98&gt;=0,MAX(0,'Scenario_Drivers'!S98-R78),IF(R67+S52+S56+S57+S58+S61+S62&lt;'Scenario_Drivers'!S97,MIN((MAX(0,Inputs!$B$20-'Scenario_Drivers'!S96))-R78,'Scenario_Drivers'!S97-(R67+S52+S56+S57+S58+S61+S62)),0))</f>
        <v/>
      </c>
      <c r="T59" s="242">
        <f>IF('Scenario_Drivers'!T98&gt;=0,MAX(0,'Scenario_Drivers'!T98-S78),IF(S67+T52+T56+T57+T58+T61+T62&lt;'Scenario_Drivers'!T97,MIN((MAX(0,Inputs!$B$20-'Scenario_Drivers'!T96))-S78,'Scenario_Drivers'!T97-(S67+T52+T56+T57+T58+T61+T62)),0))</f>
        <v/>
      </c>
      <c r="U59" s="242">
        <f>IF('Scenario_Drivers'!U98&gt;=0,MAX(0,'Scenario_Drivers'!U98-T78),IF(T67+U52+U56+U57+U58+U61+U62&lt;'Scenario_Drivers'!U97,MIN((MAX(0,Inputs!$B$20-'Scenario_Drivers'!U96))-T78,'Scenario_Drivers'!U97-(T67+U52+U56+U57+U58+U61+U62)),0))</f>
        <v/>
      </c>
      <c r="V59" s="242">
        <f>IF('Scenario_Drivers'!V98&gt;=0,MAX(0,'Scenario_Drivers'!V98-U78),IF(U67+V52+V56+V57+V58+V61+V62&lt;'Scenario_Drivers'!V97,MIN((MAX(0,Inputs!$B$20-'Scenario_Drivers'!V96))-U78,'Scenario_Drivers'!V97-(U67+V52+V56+V57+V58+V61+V62)),0))</f>
        <v/>
      </c>
    </row>
    <row r="60">
      <c r="A60" s="165" t="inlineStr">
        <is>
          <t>Revolver repayment</t>
        </is>
      </c>
      <c r="B60" s="165" t="inlineStr">
        <is>
          <t>$mm</t>
        </is>
      </c>
      <c r="C60" s="242">
        <f>-(IF('Scenario_Drivers'!C99=1,0,IF('Scenario_Drivers'!C98&gt;=0,MAX(0,0-'Scenario_Drivers'!C98),IF('S&amp;U_Opening'!$B$15+C52+C56+C57+C58+C61+C62&gt;'Scenario_Drivers'!C97,MIN(0,('S&amp;U_Opening'!$B$15+C52+C56+C57+C58+C61+C62)-'Scenario_Drivers'!C97),0))))</f>
        <v/>
      </c>
      <c r="D60" s="242">
        <f>-(IF('Scenario_Drivers'!D99=1,C78,IF('Scenario_Drivers'!D98&gt;=0,MAX(0,C78-'Scenario_Drivers'!D98),IF(C67+D52+D56+D57+D58+D61+D62&gt;'Scenario_Drivers'!D97,MIN(C78,(C67+D52+D56+D57+D58+D61+D62)-'Scenario_Drivers'!D97),0))))</f>
        <v/>
      </c>
      <c r="E60" s="242">
        <f>-(IF('Scenario_Drivers'!E99=1,D78,IF('Scenario_Drivers'!E98&gt;=0,MAX(0,D78-'Scenario_Drivers'!E98),IF(D67+E52+E56+E57+E58+E61+E62&gt;'Scenario_Drivers'!E97,MIN(D78,(D67+E52+E56+E57+E58+E61+E62)-'Scenario_Drivers'!E97),0))))</f>
        <v/>
      </c>
      <c r="F60" s="242">
        <f>-(IF('Scenario_Drivers'!F99=1,E78,IF('Scenario_Drivers'!F98&gt;=0,MAX(0,E78-'Scenario_Drivers'!F98),IF(E67+F52+F56+F57+F58+F61+F62&gt;'Scenario_Drivers'!F97,MIN(E78,(E67+F52+F56+F57+F58+F61+F62)-'Scenario_Drivers'!F97),0))))</f>
        <v/>
      </c>
      <c r="G60" s="242">
        <f>-(IF('Scenario_Drivers'!G99=1,F78,IF('Scenario_Drivers'!G98&gt;=0,MAX(0,F78-'Scenario_Drivers'!G98),IF(F67+G52+G56+G57+G58+G61+G62&gt;'Scenario_Drivers'!G97,MIN(F78,(F67+G52+G56+G57+G58+G61+G62)-'Scenario_Drivers'!G97),0))))</f>
        <v/>
      </c>
      <c r="H60" s="242">
        <f>-(IF('Scenario_Drivers'!H99=1,G78,IF('Scenario_Drivers'!H98&gt;=0,MAX(0,G78-'Scenario_Drivers'!H98),IF(G67+H52+H56+H57+H58+H61+H62&gt;'Scenario_Drivers'!H97,MIN(G78,(G67+H52+H56+H57+H58+H61+H62)-'Scenario_Drivers'!H97),0))))</f>
        <v/>
      </c>
      <c r="I60" s="242">
        <f>-(IF('Scenario_Drivers'!I99=1,H78,IF('Scenario_Drivers'!I98&gt;=0,MAX(0,H78-'Scenario_Drivers'!I98),IF(H67+I52+I56+I57+I58+I61+I62&gt;'Scenario_Drivers'!I97,MIN(H78,(H67+I52+I56+I57+I58+I61+I62)-'Scenario_Drivers'!I97),0))))</f>
        <v/>
      </c>
      <c r="J60" s="242">
        <f>-(IF('Scenario_Drivers'!J99=1,I78,IF('Scenario_Drivers'!J98&gt;=0,MAX(0,I78-'Scenario_Drivers'!J98),IF(I67+J52+J56+J57+J58+J61+J62&gt;'Scenario_Drivers'!J97,MIN(I78,(I67+J52+J56+J57+J58+J61+J62)-'Scenario_Drivers'!J97),0))))</f>
        <v/>
      </c>
      <c r="K60" s="242">
        <f>-(IF('Scenario_Drivers'!K99=1,J78,IF('Scenario_Drivers'!K98&gt;=0,MAX(0,J78-'Scenario_Drivers'!K98),IF(J67+K52+K56+K57+K58+K61+K62&gt;'Scenario_Drivers'!K97,MIN(J78,(J67+K52+K56+K57+K58+K61+K62)-'Scenario_Drivers'!K97),0))))</f>
        <v/>
      </c>
      <c r="L60" s="242">
        <f>-(IF('Scenario_Drivers'!L99=1,K78,IF('Scenario_Drivers'!L98&gt;=0,MAX(0,K78-'Scenario_Drivers'!L98),IF(K67+L52+L56+L57+L58+L61+L62&gt;'Scenario_Drivers'!L97,MIN(K78,(K67+L52+L56+L57+L58+L61+L62)-'Scenario_Drivers'!L97),0))))</f>
        <v/>
      </c>
      <c r="M60" s="242">
        <f>-(IF('Scenario_Drivers'!M99=1,L78,IF('Scenario_Drivers'!M98&gt;=0,MAX(0,L78-'Scenario_Drivers'!M98),IF(L67+M52+M56+M57+M58+M61+M62&gt;'Scenario_Drivers'!M97,MIN(L78,(L67+M52+M56+M57+M58+M61+M62)-'Scenario_Drivers'!M97),0))))</f>
        <v/>
      </c>
      <c r="N60" s="242">
        <f>-(IF('Scenario_Drivers'!N99=1,M78,IF('Scenario_Drivers'!N98&gt;=0,MAX(0,M78-'Scenario_Drivers'!N98),IF(M67+N52+N56+N57+N58+N61+N62&gt;'Scenario_Drivers'!N97,MIN(M78,(M67+N52+N56+N57+N58+N61+N62)-'Scenario_Drivers'!N97),0))))</f>
        <v/>
      </c>
      <c r="O60" s="242">
        <f>-(IF('Scenario_Drivers'!O99=1,N78,IF('Scenario_Drivers'!O98&gt;=0,MAX(0,N78-'Scenario_Drivers'!O98),IF(N67+O52+O56+O57+O58+O61+O62&gt;'Scenario_Drivers'!O97,MIN(N78,(N67+O52+O56+O57+O58+O61+O62)-'Scenario_Drivers'!O97),0))))</f>
        <v/>
      </c>
      <c r="P60" s="242">
        <f>-(IF('Scenario_Drivers'!P99=1,O78,IF('Scenario_Drivers'!P98&gt;=0,MAX(0,O78-'Scenario_Drivers'!P98),IF(O67+P52+P56+P57+P58+P61+P62&gt;'Scenario_Drivers'!P97,MIN(O78,(O67+P52+P56+P57+P58+P61+P62)-'Scenario_Drivers'!P97),0))))</f>
        <v/>
      </c>
      <c r="Q60" s="242">
        <f>-(IF('Scenario_Drivers'!Q99=1,P78,IF('Scenario_Drivers'!Q98&gt;=0,MAX(0,P78-'Scenario_Drivers'!Q98),IF(P67+Q52+Q56+Q57+Q58+Q61+Q62&gt;'Scenario_Drivers'!Q97,MIN(P78,(P67+Q52+Q56+Q57+Q58+Q61+Q62)-'Scenario_Drivers'!Q97),0))))</f>
        <v/>
      </c>
      <c r="R60" s="242">
        <f>-(IF('Scenario_Drivers'!R99=1,Q78,IF('Scenario_Drivers'!R98&gt;=0,MAX(0,Q78-'Scenario_Drivers'!R98),IF(Q67+R52+R56+R57+R58+R61+R62&gt;'Scenario_Drivers'!R97,MIN(Q78,(Q67+R52+R56+R57+R58+R61+R62)-'Scenario_Drivers'!R97),0))))</f>
        <v/>
      </c>
      <c r="S60" s="242">
        <f>-(IF('Scenario_Drivers'!S99=1,R78,IF('Scenario_Drivers'!S98&gt;=0,MAX(0,R78-'Scenario_Drivers'!S98),IF(R67+S52+S56+S57+S58+S61+S62&gt;'Scenario_Drivers'!S97,MIN(R78,(R67+S52+S56+S57+S58+S61+S62)-'Scenario_Drivers'!S97),0))))</f>
        <v/>
      </c>
      <c r="T60" s="242">
        <f>-(IF('Scenario_Drivers'!T99=1,S78,IF('Scenario_Drivers'!T98&gt;=0,MAX(0,S78-'Scenario_Drivers'!T98),IF(S67+T52+T56+T57+T58+T61+T62&gt;'Scenario_Drivers'!T97,MIN(S78,(S67+T52+T56+T57+T58+T61+T62)-'Scenario_Drivers'!T97),0))))</f>
        <v/>
      </c>
      <c r="U60" s="242">
        <f>-(IF('Scenario_Drivers'!U99=1,T78,IF('Scenario_Drivers'!U98&gt;=0,MAX(0,T78-'Scenario_Drivers'!U98),IF(T67+U52+U56+U57+U58+U61+U62&gt;'Scenario_Drivers'!U97,MIN(T78,(T67+U52+U56+U57+U58+U61+U62)-'Scenario_Drivers'!U97),0))))</f>
        <v/>
      </c>
      <c r="V60" s="242">
        <f>-(IF('Scenario_Drivers'!V99=1,U78,IF('Scenario_Drivers'!V98&gt;=0,MAX(0,U78-'Scenario_Drivers'!V98),IF(U67+V52+V56+V57+V58+V61+V62&gt;'Scenario_Drivers'!V97,MIN(U78,(U67+V52+V56+V57+V58+V61+V62)-'Scenario_Drivers'!V97),0))))</f>
        <v/>
      </c>
    </row>
    <row r="61">
      <c r="A61" s="165" t="inlineStr">
        <is>
          <t>Scheduled term amortization</t>
        </is>
      </c>
      <c r="B61" s="165" t="inlineStr">
        <is>
          <t>$mm</t>
        </is>
      </c>
      <c r="C61" s="242">
        <f>-(MIN(0.107,'S&amp;U_Opening'!$E$18))</f>
        <v/>
      </c>
      <c r="D61" s="242">
        <f>-(MIN(0.107,C76))</f>
        <v/>
      </c>
      <c r="E61" s="242">
        <f>-(MIN(0.107,D76))</f>
        <v/>
      </c>
      <c r="F61" s="242">
        <f>-(MIN(0.107,E76))</f>
        <v/>
      </c>
      <c r="G61" s="242">
        <f>-(MIN(0.107,F76))</f>
        <v/>
      </c>
      <c r="H61" s="242">
        <f>-(MIN(0.107,G76))</f>
        <v/>
      </c>
      <c r="I61" s="242">
        <f>-(MIN(0.107,H76))</f>
        <v/>
      </c>
      <c r="J61" s="242">
        <f>-(MIN(0.107,I76))</f>
        <v/>
      </c>
      <c r="K61" s="242">
        <f>-(MIN(0.107,J76))</f>
        <v/>
      </c>
      <c r="L61" s="242">
        <f>-(MIN(0.107,K76))</f>
        <v/>
      </c>
      <c r="M61" s="242">
        <f>-(MIN(0.107,L76))</f>
        <v/>
      </c>
      <c r="N61" s="242">
        <f>-(MIN(0.107,M76))</f>
        <v/>
      </c>
      <c r="O61" s="242">
        <f>-(MIN(0.107,N76))</f>
        <v/>
      </c>
      <c r="P61" s="242">
        <f>-(MIN(0.107,O76))</f>
        <v/>
      </c>
      <c r="Q61" s="242">
        <f>-(MIN(0.107,P76))</f>
        <v/>
      </c>
      <c r="R61" s="242">
        <f>-(MIN(0.107,Q76))</f>
        <v/>
      </c>
      <c r="S61" s="242">
        <f>-(MIN(0.107,R76))</f>
        <v/>
      </c>
      <c r="T61" s="242">
        <f>-(MIN(0.107,S76))</f>
        <v/>
      </c>
      <c r="U61" s="242">
        <f>-(MIN(0.107,T76))</f>
        <v/>
      </c>
      <c r="V61" s="242">
        <f>-(MIN(0.107,U76))</f>
        <v/>
      </c>
    </row>
    <row r="62">
      <c r="A62" s="165" t="inlineStr">
        <is>
          <t>Scheduled DDTL amortization</t>
        </is>
      </c>
      <c r="B62" s="165" t="inlineStr">
        <is>
          <t>$mm</t>
        </is>
      </c>
      <c r="C62" s="242">
        <f>-(IF(0&gt;0,MIN(0.015,0),0))</f>
        <v/>
      </c>
      <c r="D62" s="242">
        <f>-(IF(C77&gt;0,MIN(0.015,C77),0))</f>
        <v/>
      </c>
      <c r="E62" s="242">
        <f>-(IF(D77&gt;0,MIN(0.015,D77),0))</f>
        <v/>
      </c>
      <c r="F62" s="242">
        <f>-(IF(E77&gt;0,MIN(0.015,E77),0))</f>
        <v/>
      </c>
      <c r="G62" s="242">
        <f>-(IF(F77&gt;0,MIN(0.015,F77),0))</f>
        <v/>
      </c>
      <c r="H62" s="242">
        <f>-(IF(G77&gt;0,MIN(0.015,G77),0))</f>
        <v/>
      </c>
      <c r="I62" s="242">
        <f>-(IF(H77&gt;0,MIN(0.015,H77),0))</f>
        <v/>
      </c>
      <c r="J62" s="242">
        <f>-(IF(I77&gt;0,MIN(0.015,I77),0))</f>
        <v/>
      </c>
      <c r="K62" s="242">
        <f>-(IF(J77&gt;0,MIN(0.015,J77),0))</f>
        <v/>
      </c>
      <c r="L62" s="242">
        <f>-(IF(K77&gt;0,MIN(0.015,K77),0))</f>
        <v/>
      </c>
      <c r="M62" s="242">
        <f>-(IF(L77&gt;0,MIN(0.015,L77),0))</f>
        <v/>
      </c>
      <c r="N62" s="242">
        <f>-(IF(M77&gt;0,MIN(0.015,M77),0))</f>
        <v/>
      </c>
      <c r="O62" s="242">
        <f>-(IF(N77&gt;0,MIN(0.015,N77),0))</f>
        <v/>
      </c>
      <c r="P62" s="242">
        <f>-(IF(O77&gt;0,MIN(0.015,O77),0))</f>
        <v/>
      </c>
      <c r="Q62" s="242">
        <f>-(IF(P77&gt;0,MIN(0.015,P77),0))</f>
        <v/>
      </c>
      <c r="R62" s="242">
        <f>-(IF(Q77&gt;0,MIN(0.015,Q77),0))</f>
        <v/>
      </c>
      <c r="S62" s="242">
        <f>-(IF(R77&gt;0,MIN(0.015,R77),0))</f>
        <v/>
      </c>
      <c r="T62" s="242">
        <f>-(IF(S77&gt;0,MIN(0.015,S77),0))</f>
        <v/>
      </c>
      <c r="U62" s="242">
        <f>-(IF(T77&gt;0,MIN(0.015,T77),0))</f>
        <v/>
      </c>
      <c r="V62" s="242">
        <f>-(IF(U77&gt;0,MIN(0.015,U77),0))</f>
        <v/>
      </c>
    </row>
    <row r="63">
      <c r="A63" s="165" t="inlineStr">
        <is>
          <t>ECF sweep</t>
        </is>
      </c>
      <c r="B63" s="165" t="inlineStr">
        <is>
          <t>$mm</t>
        </is>
      </c>
      <c r="C63" s="242">
        <f>-(0)</f>
        <v/>
      </c>
      <c r="D63" s="242">
        <f>-(0)</f>
        <v/>
      </c>
      <c r="E63" s="242">
        <f>-(MIN((MAX(0,D76+E61)),MAX(0,((D67+E52+E56+E57+E58+E61+E62)+E59+E60)-'Scenario_Drivers'!E97))*(IF((((MAX(0,D76+E61))+(MAX(0,D77+E58+E62))+(D78+E59+E60)-MIN(((D67+E52+E56+E57+E58+E61+E62)+E59+E60),Inputs!$B$19))/MAX(0.001,(SUM(C14:E14))))&gt;3.0,50%,IF((((MAX(0,D76+E61))+(MAX(0,D77+E58+E62))+(D78+E59+E60)-MIN(((D67+E52+E56+E57+E58+E61+E62)+E59+E60),Inputs!$B$19))/MAX(0.001,(SUM(C14:E14))))&gt;2.5,25%,0%))))</f>
        <v/>
      </c>
      <c r="F63" s="242">
        <f>-(0)</f>
        <v/>
      </c>
      <c r="G63" s="242">
        <f>-(0)</f>
        <v/>
      </c>
      <c r="H63" s="242">
        <f>-(0)</f>
        <v/>
      </c>
      <c r="I63" s="242">
        <f>-(MIN((MAX(0,H76+I61)),MAX(0,((H67+I52+I56+I57+I58+I61+I62)+I59+I60)-'Scenario_Drivers'!I97))*(IF((((MAX(0,H76+I61))+(MAX(0,H77+I58+I62))+(H78+I59+I60)-MIN(((H67+I52+I56+I57+I58+I61+I62)+I59+I60),Inputs!$B$19))/MAX(0.001,(SUM(F14:I14))))&gt;3.0,50%,IF((((MAX(0,H76+I61))+(MAX(0,H77+I58+I62))+(H78+I59+I60)-MIN(((H67+I52+I56+I57+I58+I61+I62)+I59+I60),Inputs!$B$19))/MAX(0.001,(SUM(F14:I14))))&gt;2.5,25%,0%))))</f>
        <v/>
      </c>
      <c r="J63" s="242">
        <f>-(0)</f>
        <v/>
      </c>
      <c r="K63" s="242">
        <f>-(0)</f>
        <v/>
      </c>
      <c r="L63" s="242">
        <f>-(0)</f>
        <v/>
      </c>
      <c r="M63" s="242">
        <f>-(MIN((MAX(0,L76+M61)),MAX(0,((L67+M52+M56+M57+M58+M61+M62)+M59+M60)-'Scenario_Drivers'!M97))*(IF((((MAX(0,L76+M61))+(MAX(0,L77+M58+M62))+(L78+M59+M60)-MIN(((L67+M52+M56+M57+M58+M61+M62)+M59+M60),Inputs!$B$19))/MAX(0.001,(SUM(J14:M14))))&gt;3.0,50%,IF((((MAX(0,L76+M61))+(MAX(0,L77+M58+M62))+(L78+M59+M60)-MIN(((L67+M52+M56+M57+M58+M61+M62)+M59+M60),Inputs!$B$19))/MAX(0.001,(SUM(J14:M14))))&gt;2.5,25%,0%))))</f>
        <v/>
      </c>
      <c r="N63" s="242">
        <f>-(0)</f>
        <v/>
      </c>
      <c r="O63" s="242">
        <f>-(0)</f>
        <v/>
      </c>
      <c r="P63" s="242">
        <f>-(0)</f>
        <v/>
      </c>
      <c r="Q63" s="242">
        <f>-(MIN((MAX(0,P76+Q61)),MAX(0,((P67+Q52+Q56+Q57+Q58+Q61+Q62)+Q59+Q60)-'Scenario_Drivers'!Q97))*(IF((((MAX(0,P76+Q61))+(MAX(0,P77+Q58+Q62))+(P78+Q59+Q60)-MIN(((P67+Q52+Q56+Q57+Q58+Q61+Q62)+Q59+Q60),Inputs!$B$19))/MAX(0.001,(SUM(N14:Q14))))&gt;3.0,50%,IF((((MAX(0,P76+Q61))+(MAX(0,P77+Q58+Q62))+(P78+Q59+Q60)-MIN(((P67+Q52+Q56+Q57+Q58+Q61+Q62)+Q59+Q60),Inputs!$B$19))/MAX(0.001,(SUM(N14:Q14))))&gt;2.5,25%,0%))))</f>
        <v/>
      </c>
      <c r="R63" s="242">
        <f>-(0)</f>
        <v/>
      </c>
      <c r="S63" s="242">
        <f>-(0)</f>
        <v/>
      </c>
      <c r="T63" s="242">
        <f>-(0)</f>
        <v/>
      </c>
      <c r="U63" s="242">
        <f>-(MIN((MAX(0,T76+U61)),MAX(0,((T67+U52+U56+U57+U58+U61+U62)+U59+U60)-'Scenario_Drivers'!U97))*(IF((((MAX(0,T76+U61))+(MAX(0,T77+U58+U62))+(T78+U59+U60)-MIN(((T67+U52+U56+U57+U58+U61+U62)+U59+U60),Inputs!$B$19))/MAX(0.001,(SUM(R14:U14))))&gt;3.0,50%,IF((((MAX(0,T76+U61))+(MAX(0,T77+U58+U62))+(T78+U59+U60)-MIN(((T67+U52+U56+U57+U58+U61+U62)+U59+U60),Inputs!$B$19))/MAX(0.001,(SUM(R14:U14))))&gt;2.5,25%,0%))))</f>
        <v/>
      </c>
      <c r="V63" s="242">
        <f>-(0)</f>
        <v/>
      </c>
    </row>
    <row r="64">
      <c r="A64" s="165" t="inlineStr">
        <is>
          <t>Cash from financing</t>
        </is>
      </c>
      <c r="B64" s="165" t="inlineStr">
        <is>
          <t>$mm</t>
        </is>
      </c>
      <c r="C64" s="242">
        <f>SUM(C57:C63)</f>
        <v/>
      </c>
      <c r="D64" s="242">
        <f>SUM(D57:D63)</f>
        <v/>
      </c>
      <c r="E64" s="242">
        <f>SUM(E57:E63)</f>
        <v/>
      </c>
      <c r="F64" s="242">
        <f>SUM(F57:F63)</f>
        <v/>
      </c>
      <c r="G64" s="242">
        <f>SUM(G57:G63)</f>
        <v/>
      </c>
      <c r="H64" s="242">
        <f>SUM(H57:H63)</f>
        <v/>
      </c>
      <c r="I64" s="242">
        <f>SUM(I57:I63)</f>
        <v/>
      </c>
      <c r="J64" s="242">
        <f>SUM(J57:J63)</f>
        <v/>
      </c>
      <c r="K64" s="242">
        <f>SUM(K57:K63)</f>
        <v/>
      </c>
      <c r="L64" s="242">
        <f>SUM(L57:L63)</f>
        <v/>
      </c>
      <c r="M64" s="242">
        <f>SUM(M57:M63)</f>
        <v/>
      </c>
      <c r="N64" s="242">
        <f>SUM(N57:N63)</f>
        <v/>
      </c>
      <c r="O64" s="242">
        <f>SUM(O57:O63)</f>
        <v/>
      </c>
      <c r="P64" s="242">
        <f>SUM(P57:P63)</f>
        <v/>
      </c>
      <c r="Q64" s="242">
        <f>SUM(Q57:Q63)</f>
        <v/>
      </c>
      <c r="R64" s="242">
        <f>SUM(R57:R63)</f>
        <v/>
      </c>
      <c r="S64" s="242">
        <f>SUM(S57:S63)</f>
        <v/>
      </c>
      <c r="T64" s="242">
        <f>SUM(T57:T63)</f>
        <v/>
      </c>
      <c r="U64" s="242">
        <f>SUM(U57:U63)</f>
        <v/>
      </c>
      <c r="V64" s="242">
        <f>SUM(V57:V63)</f>
        <v/>
      </c>
    </row>
    <row r="65">
      <c r="A65" s="165" t="inlineStr">
        <is>
          <t>Net change in cash</t>
        </is>
      </c>
      <c r="B65" s="165" t="inlineStr">
        <is>
          <t>$mm</t>
        </is>
      </c>
      <c r="C65" s="242">
        <f>C52+C56+C64</f>
        <v/>
      </c>
      <c r="D65" s="242">
        <f>D52+D56+D64</f>
        <v/>
      </c>
      <c r="E65" s="242">
        <f>E52+E56+E64</f>
        <v/>
      </c>
      <c r="F65" s="242">
        <f>F52+F56+F64</f>
        <v/>
      </c>
      <c r="G65" s="242">
        <f>G52+G56+G64</f>
        <v/>
      </c>
      <c r="H65" s="242">
        <f>H52+H56+H64</f>
        <v/>
      </c>
      <c r="I65" s="242">
        <f>I52+I56+I64</f>
        <v/>
      </c>
      <c r="J65" s="242">
        <f>J52+J56+J64</f>
        <v/>
      </c>
      <c r="K65" s="242">
        <f>K52+K56+K64</f>
        <v/>
      </c>
      <c r="L65" s="242">
        <f>L52+L56+L64</f>
        <v/>
      </c>
      <c r="M65" s="242">
        <f>M52+M56+M64</f>
        <v/>
      </c>
      <c r="N65" s="242">
        <f>N52+N56+N64</f>
        <v/>
      </c>
      <c r="O65" s="242">
        <f>O52+O56+O64</f>
        <v/>
      </c>
      <c r="P65" s="242">
        <f>P52+P56+P64</f>
        <v/>
      </c>
      <c r="Q65" s="242">
        <f>Q52+Q56+Q64</f>
        <v/>
      </c>
      <c r="R65" s="242">
        <f>R52+R56+R64</f>
        <v/>
      </c>
      <c r="S65" s="242">
        <f>S52+S56+S64</f>
        <v/>
      </c>
      <c r="T65" s="242">
        <f>T52+T56+T64</f>
        <v/>
      </c>
      <c r="U65" s="242">
        <f>U52+U56+U64</f>
        <v/>
      </c>
      <c r="V65" s="242">
        <f>V52+V56+V64</f>
        <v/>
      </c>
    </row>
    <row r="66">
      <c r="A66" s="165" t="inlineStr">
        <is>
          <t>Beginning cash</t>
        </is>
      </c>
      <c r="B66" s="165" t="inlineStr">
        <is>
          <t>$mm</t>
        </is>
      </c>
      <c r="C66" s="242">
        <f>'S&amp;U_Opening'!$B$15</f>
        <v/>
      </c>
      <c r="D66" s="242">
        <f>C67</f>
        <v/>
      </c>
      <c r="E66" s="242">
        <f>D67</f>
        <v/>
      </c>
      <c r="F66" s="242">
        <f>E67</f>
        <v/>
      </c>
      <c r="G66" s="242">
        <f>F67</f>
        <v/>
      </c>
      <c r="H66" s="242">
        <f>G67</f>
        <v/>
      </c>
      <c r="I66" s="242">
        <f>H67</f>
        <v/>
      </c>
      <c r="J66" s="242">
        <f>I67</f>
        <v/>
      </c>
      <c r="K66" s="242">
        <f>J67</f>
        <v/>
      </c>
      <c r="L66" s="242">
        <f>K67</f>
        <v/>
      </c>
      <c r="M66" s="242">
        <f>L67</f>
        <v/>
      </c>
      <c r="N66" s="242">
        <f>M67</f>
        <v/>
      </c>
      <c r="O66" s="242">
        <f>N67</f>
        <v/>
      </c>
      <c r="P66" s="242">
        <f>O67</f>
        <v/>
      </c>
      <c r="Q66" s="242">
        <f>P67</f>
        <v/>
      </c>
      <c r="R66" s="242">
        <f>Q67</f>
        <v/>
      </c>
      <c r="S66" s="242">
        <f>R67</f>
        <v/>
      </c>
      <c r="T66" s="242">
        <f>S67</f>
        <v/>
      </c>
      <c r="U66" s="242">
        <f>T67</f>
        <v/>
      </c>
      <c r="V66" s="242">
        <f>U67</f>
        <v/>
      </c>
    </row>
    <row r="67">
      <c r="A67" s="165" t="inlineStr">
        <is>
          <t>Ending cash</t>
        </is>
      </c>
      <c r="B67" s="165" t="inlineStr">
        <is>
          <t>$mm</t>
        </is>
      </c>
      <c r="C67" s="242">
        <f>C66+C65</f>
        <v/>
      </c>
      <c r="D67" s="242">
        <f>D66+D65</f>
        <v/>
      </c>
      <c r="E67" s="242">
        <f>E66+E65</f>
        <v/>
      </c>
      <c r="F67" s="242">
        <f>F66+F65</f>
        <v/>
      </c>
      <c r="G67" s="242">
        <f>G66+G65</f>
        <v/>
      </c>
      <c r="H67" s="242">
        <f>H66+H65</f>
        <v/>
      </c>
      <c r="I67" s="242">
        <f>I66+I65</f>
        <v/>
      </c>
      <c r="J67" s="242">
        <f>J66+J65</f>
        <v/>
      </c>
      <c r="K67" s="242">
        <f>K66+K65</f>
        <v/>
      </c>
      <c r="L67" s="242">
        <f>L66+L65</f>
        <v/>
      </c>
      <c r="M67" s="242">
        <f>M66+M65</f>
        <v/>
      </c>
      <c r="N67" s="242">
        <f>N66+N65</f>
        <v/>
      </c>
      <c r="O67" s="242">
        <f>O66+O65</f>
        <v/>
      </c>
      <c r="P67" s="242">
        <f>P66+P65</f>
        <v/>
      </c>
      <c r="Q67" s="242">
        <f>Q66+Q65</f>
        <v/>
      </c>
      <c r="R67" s="242">
        <f>R66+R65</f>
        <v/>
      </c>
      <c r="S67" s="242">
        <f>S66+S65</f>
        <v/>
      </c>
      <c r="T67" s="242">
        <f>T66+T65</f>
        <v/>
      </c>
      <c r="U67" s="242">
        <f>U66+U65</f>
        <v/>
      </c>
      <c r="V67" s="242">
        <f>V66+V65</f>
        <v/>
      </c>
    </row>
    <row r="68">
      <c r="A68" s="39" t="inlineStr">
        <is>
          <t>Balance Sheet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</row>
    <row r="69">
      <c r="A69" s="165" t="inlineStr">
        <is>
          <t>PP&amp;E, net</t>
        </is>
      </c>
      <c r="B69" s="165" t="inlineStr">
        <is>
          <t>$mm</t>
        </is>
      </c>
      <c r="C69" s="242">
        <f>'S&amp;U_Opening'!$B$19+C41+C42-C17</f>
        <v/>
      </c>
      <c r="D69" s="242">
        <f>C69+D41+D42-D17</f>
        <v/>
      </c>
      <c r="E69" s="242">
        <f>D69+E41+E42-E17</f>
        <v/>
      </c>
      <c r="F69" s="242">
        <f>E69+F41+F42-F17</f>
        <v/>
      </c>
      <c r="G69" s="242">
        <f>F69+G41+G42-G17</f>
        <v/>
      </c>
      <c r="H69" s="242">
        <f>G69+H41+H42-H17</f>
        <v/>
      </c>
      <c r="I69" s="242">
        <f>H69+I41+I42-I17</f>
        <v/>
      </c>
      <c r="J69" s="242">
        <f>I69+J41+J42-J17</f>
        <v/>
      </c>
      <c r="K69" s="242">
        <f>J69+K41+K42-K17</f>
        <v/>
      </c>
      <c r="L69" s="242">
        <f>K69+L41+L42-L17</f>
        <v/>
      </c>
      <c r="M69" s="242">
        <f>L69+M41+M42-M17</f>
        <v/>
      </c>
      <c r="N69" s="242">
        <f>M69+N41+N42-N17</f>
        <v/>
      </c>
      <c r="O69" s="242">
        <f>N69+O41+O42-O17</f>
        <v/>
      </c>
      <c r="P69" s="242">
        <f>O69+P41+P42-P17</f>
        <v/>
      </c>
      <c r="Q69" s="242">
        <f>P69+Q41+Q42-Q17</f>
        <v/>
      </c>
      <c r="R69" s="242">
        <f>Q69+R41+R42-R17</f>
        <v/>
      </c>
      <c r="S69" s="242">
        <f>R69+S41+S42-S17</f>
        <v/>
      </c>
      <c r="T69" s="242">
        <f>S69+T41+T42-T17</f>
        <v/>
      </c>
      <c r="U69" s="242">
        <f>T69+U41+U42-U17</f>
        <v/>
      </c>
      <c r="V69" s="242">
        <f>U69+V41+V42-V17</f>
        <v/>
      </c>
    </row>
    <row r="70">
      <c r="A70" s="165" t="inlineStr">
        <is>
          <t>Goodwill</t>
        </is>
      </c>
      <c r="B70" s="165" t="inlineStr">
        <is>
          <t>$mm</t>
        </is>
      </c>
      <c r="C70" s="242">
        <f>'S&amp;U_Opening'!$B$20+'Scenario_Drivers'!C90</f>
        <v/>
      </c>
      <c r="D70" s="242">
        <f>C70+'Scenario_Drivers'!D90</f>
        <v/>
      </c>
      <c r="E70" s="242">
        <f>D70+'Scenario_Drivers'!E90</f>
        <v/>
      </c>
      <c r="F70" s="242">
        <f>E70+'Scenario_Drivers'!F90</f>
        <v/>
      </c>
      <c r="G70" s="242">
        <f>F70+'Scenario_Drivers'!G90</f>
        <v/>
      </c>
      <c r="H70" s="242">
        <f>G70+'Scenario_Drivers'!H90</f>
        <v/>
      </c>
      <c r="I70" s="242">
        <f>H70+'Scenario_Drivers'!I90</f>
        <v/>
      </c>
      <c r="J70" s="242">
        <f>I70+'Scenario_Drivers'!J90</f>
        <v/>
      </c>
      <c r="K70" s="242">
        <f>J70+'Scenario_Drivers'!K90</f>
        <v/>
      </c>
      <c r="L70" s="242">
        <f>K70+'Scenario_Drivers'!L90</f>
        <v/>
      </c>
      <c r="M70" s="242">
        <f>L70+'Scenario_Drivers'!M90</f>
        <v/>
      </c>
      <c r="N70" s="242">
        <f>M70+'Scenario_Drivers'!N90</f>
        <v/>
      </c>
      <c r="O70" s="242">
        <f>N70+'Scenario_Drivers'!O90</f>
        <v/>
      </c>
      <c r="P70" s="242">
        <f>O70+'Scenario_Drivers'!P90</f>
        <v/>
      </c>
      <c r="Q70" s="242">
        <f>P70+'Scenario_Drivers'!Q90</f>
        <v/>
      </c>
      <c r="R70" s="242">
        <f>Q70+'Scenario_Drivers'!R90</f>
        <v/>
      </c>
      <c r="S70" s="242">
        <f>R70+'Scenario_Drivers'!S90</f>
        <v/>
      </c>
      <c r="T70" s="242">
        <f>S70+'Scenario_Drivers'!T90</f>
        <v/>
      </c>
      <c r="U70" s="242">
        <f>T70+'Scenario_Drivers'!U90</f>
        <v/>
      </c>
      <c r="V70" s="242">
        <f>U70+'Scenario_Drivers'!V90</f>
        <v/>
      </c>
    </row>
    <row r="71">
      <c r="A71" s="165" t="inlineStr">
        <is>
          <t>Intangibles, net</t>
        </is>
      </c>
      <c r="B71" s="165" t="inlineStr">
        <is>
          <t>$mm</t>
        </is>
      </c>
      <c r="C71" s="242">
        <f>MAX(0,SUM('S&amp;U_Opening'!$B$21:$B$23)+'Scenario_Drivers'!C89-C18)</f>
        <v/>
      </c>
      <c r="D71" s="242">
        <f>MAX(0,C71+'Scenario_Drivers'!D89-D18)</f>
        <v/>
      </c>
      <c r="E71" s="242">
        <f>MAX(0,D71+'Scenario_Drivers'!E89-E18)</f>
        <v/>
      </c>
      <c r="F71" s="242">
        <f>MAX(0,E71+'Scenario_Drivers'!F89-F18)</f>
        <v/>
      </c>
      <c r="G71" s="242">
        <f>MAX(0,F71+'Scenario_Drivers'!G89-G18)</f>
        <v/>
      </c>
      <c r="H71" s="242">
        <f>MAX(0,G71+'Scenario_Drivers'!H89-H18)</f>
        <v/>
      </c>
      <c r="I71" s="242">
        <f>MAX(0,H71+'Scenario_Drivers'!I89-I18)</f>
        <v/>
      </c>
      <c r="J71" s="242">
        <f>MAX(0,I71+'Scenario_Drivers'!J89-J18)</f>
        <v/>
      </c>
      <c r="K71" s="242">
        <f>MAX(0,J71+'Scenario_Drivers'!K89-K18)</f>
        <v/>
      </c>
      <c r="L71" s="242">
        <f>MAX(0,K71+'Scenario_Drivers'!L89-L18)</f>
        <v/>
      </c>
      <c r="M71" s="242">
        <f>MAX(0,L71+'Scenario_Drivers'!M89-M18)</f>
        <v/>
      </c>
      <c r="N71" s="242">
        <f>MAX(0,M71+'Scenario_Drivers'!N89-N18)</f>
        <v/>
      </c>
      <c r="O71" s="242">
        <f>MAX(0,N71+'Scenario_Drivers'!O89-O18)</f>
        <v/>
      </c>
      <c r="P71" s="242">
        <f>MAX(0,O71+'Scenario_Drivers'!P89-P18)</f>
        <v/>
      </c>
      <c r="Q71" s="242">
        <f>MAX(0,P71+'Scenario_Drivers'!Q89-Q18)</f>
        <v/>
      </c>
      <c r="R71" s="242">
        <f>MAX(0,Q71+'Scenario_Drivers'!R89-R18)</f>
        <v/>
      </c>
      <c r="S71" s="242">
        <f>MAX(0,R71+'Scenario_Drivers'!S89-S18)</f>
        <v/>
      </c>
      <c r="T71" s="242">
        <f>MAX(0,S71+'Scenario_Drivers'!T89-T18)</f>
        <v/>
      </c>
      <c r="U71" s="242">
        <f>MAX(0,T71+'Scenario_Drivers'!U89-U18)</f>
        <v/>
      </c>
      <c r="V71" s="242">
        <f>MAX(0,U71+'Scenario_Drivers'!V89-V18)</f>
        <v/>
      </c>
    </row>
    <row r="72">
      <c r="A72" s="165" t="inlineStr">
        <is>
          <t>Integration asset</t>
        </is>
      </c>
      <c r="B72" s="165" t="inlineStr">
        <is>
          <t>$mm</t>
        </is>
      </c>
      <c r="C72" s="242">
        <f>MAX(0,0+C45-C19)</f>
        <v/>
      </c>
      <c r="D72" s="242">
        <f>MAX(0,C72+D45-D19)</f>
        <v/>
      </c>
      <c r="E72" s="242">
        <f>MAX(0,D72+E45-E19)</f>
        <v/>
      </c>
      <c r="F72" s="242">
        <f>MAX(0,E72+F45-F19)</f>
        <v/>
      </c>
      <c r="G72" s="242">
        <f>MAX(0,F72+G45-G19)</f>
        <v/>
      </c>
      <c r="H72" s="242">
        <f>MAX(0,G72+H45-H19)</f>
        <v/>
      </c>
      <c r="I72" s="242">
        <f>MAX(0,H72+I45-I19)</f>
        <v/>
      </c>
      <c r="J72" s="242">
        <f>MAX(0,I72+J45-J19)</f>
        <v/>
      </c>
      <c r="K72" s="242">
        <f>MAX(0,J72+K45-K19)</f>
        <v/>
      </c>
      <c r="L72" s="242">
        <f>MAX(0,K72+L45-L19)</f>
        <v/>
      </c>
      <c r="M72" s="242">
        <f>MAX(0,L72+M45-M19)</f>
        <v/>
      </c>
      <c r="N72" s="242">
        <f>MAX(0,M72+N45-N19)</f>
        <v/>
      </c>
      <c r="O72" s="242">
        <f>MAX(0,N72+O45-O19)</f>
        <v/>
      </c>
      <c r="P72" s="242">
        <f>MAX(0,O72+P45-P19)</f>
        <v/>
      </c>
      <c r="Q72" s="242">
        <f>MAX(0,P72+Q45-Q19)</f>
        <v/>
      </c>
      <c r="R72" s="242">
        <f>MAX(0,Q72+R45-R19)</f>
        <v/>
      </c>
      <c r="S72" s="242">
        <f>MAX(0,R72+S45-S19)</f>
        <v/>
      </c>
      <c r="T72" s="242">
        <f>MAX(0,S72+T45-T19)</f>
        <v/>
      </c>
      <c r="U72" s="242">
        <f>MAX(0,T72+U45-U19)</f>
        <v/>
      </c>
      <c r="V72" s="242">
        <f>MAX(0,U72+V45-V19)</f>
        <v/>
      </c>
    </row>
    <row r="73">
      <c r="A73" s="165" t="inlineStr">
        <is>
          <t>Deferred financing fees</t>
        </is>
      </c>
      <c r="B73" s="165" t="inlineStr">
        <is>
          <t>$mm</t>
        </is>
      </c>
      <c r="C73" s="242">
        <f>MAX(0,'S&amp;U_Opening'!$B$24-C23)</f>
        <v/>
      </c>
      <c r="D73" s="242">
        <f>MAX(0,C73-D23)</f>
        <v/>
      </c>
      <c r="E73" s="242">
        <f>MAX(0,D73-E23)</f>
        <v/>
      </c>
      <c r="F73" s="242">
        <f>MAX(0,E73-F23)</f>
        <v/>
      </c>
      <c r="G73" s="242">
        <f>MAX(0,F73-G23)</f>
        <v/>
      </c>
      <c r="H73" s="242">
        <f>MAX(0,G73-H23)</f>
        <v/>
      </c>
      <c r="I73" s="242">
        <f>MAX(0,H73-I23)</f>
        <v/>
      </c>
      <c r="J73" s="242">
        <f>MAX(0,I73-J23)</f>
        <v/>
      </c>
      <c r="K73" s="242">
        <f>MAX(0,J73-K23)</f>
        <v/>
      </c>
      <c r="L73" s="242">
        <f>MAX(0,K73-L23)</f>
        <v/>
      </c>
      <c r="M73" s="242">
        <f>MAX(0,L73-M23)</f>
        <v/>
      </c>
      <c r="N73" s="242">
        <f>MAX(0,M73-N23)</f>
        <v/>
      </c>
      <c r="O73" s="242">
        <f>MAX(0,N73-O23)</f>
        <v/>
      </c>
      <c r="P73" s="242">
        <f>MAX(0,O73-P23)</f>
        <v/>
      </c>
      <c r="Q73" s="242">
        <f>MAX(0,P73-Q23)</f>
        <v/>
      </c>
      <c r="R73" s="242">
        <f>MAX(0,Q73-R23)</f>
        <v/>
      </c>
      <c r="S73" s="242">
        <f>MAX(0,R73-S23)</f>
        <v/>
      </c>
      <c r="T73" s="242">
        <f>MAX(0,S73-T23)</f>
        <v/>
      </c>
      <c r="U73" s="242">
        <f>MAX(0,T73-U23)</f>
        <v/>
      </c>
      <c r="V73" s="242">
        <f>MAX(0,U73-V23)</f>
        <v/>
      </c>
    </row>
    <row r="74">
      <c r="A74" s="165" t="inlineStr">
        <is>
          <t>Other assets</t>
        </is>
      </c>
      <c r="B74" s="165" t="inlineStr">
        <is>
          <t>$mm</t>
        </is>
      </c>
      <c r="C74" s="242">
        <f>1.3</f>
        <v/>
      </c>
      <c r="D74" s="242">
        <f>1.3</f>
        <v/>
      </c>
      <c r="E74" s="242">
        <f>1.3</f>
        <v/>
      </c>
      <c r="F74" s="242">
        <f>1.3</f>
        <v/>
      </c>
      <c r="G74" s="242">
        <f>1.3</f>
        <v/>
      </c>
      <c r="H74" s="242">
        <f>1.3</f>
        <v/>
      </c>
      <c r="I74" s="242">
        <f>1.3</f>
        <v/>
      </c>
      <c r="J74" s="242">
        <f>1.3</f>
        <v/>
      </c>
      <c r="K74" s="242">
        <f>1.3</f>
        <v/>
      </c>
      <c r="L74" s="242">
        <f>1.3</f>
        <v/>
      </c>
      <c r="M74" s="242">
        <f>1.3</f>
        <v/>
      </c>
      <c r="N74" s="242">
        <f>1.3</f>
        <v/>
      </c>
      <c r="O74" s="242">
        <f>1.3</f>
        <v/>
      </c>
      <c r="P74" s="242">
        <f>1.3</f>
        <v/>
      </c>
      <c r="Q74" s="242">
        <f>1.3</f>
        <v/>
      </c>
      <c r="R74" s="242">
        <f>1.3</f>
        <v/>
      </c>
      <c r="S74" s="242">
        <f>1.3</f>
        <v/>
      </c>
      <c r="T74" s="242">
        <f>1.3</f>
        <v/>
      </c>
      <c r="U74" s="242">
        <f>1.3</f>
        <v/>
      </c>
      <c r="V74" s="242">
        <f>1.3</f>
        <v/>
      </c>
    </row>
    <row r="75">
      <c r="A75" s="165" t="inlineStr">
        <is>
          <t>Total assets</t>
        </is>
      </c>
      <c r="B75" s="165" t="inlineStr">
        <is>
          <t>$mm</t>
        </is>
      </c>
      <c r="C75" s="242">
        <f>SUM(C67,C30,C31,C32,C69,C70,C71,C72,C73,C74)</f>
        <v/>
      </c>
      <c r="D75" s="242">
        <f>SUM(D67,D30,D31,D32,D69,D70,D71,D72,D73,D74)</f>
        <v/>
      </c>
      <c r="E75" s="242">
        <f>SUM(E67,E30,E31,E32,E69,E70,E71,E72,E73,E74)</f>
        <v/>
      </c>
      <c r="F75" s="242">
        <f>SUM(F67,F30,F31,F32,F69,F70,F71,F72,F73,F74)</f>
        <v/>
      </c>
      <c r="G75" s="242">
        <f>SUM(G67,G30,G31,G32,G69,G70,G71,G72,G73,G74)</f>
        <v/>
      </c>
      <c r="H75" s="242">
        <f>SUM(H67,H30,H31,H32,H69,H70,H71,H72,H73,H74)</f>
        <v/>
      </c>
      <c r="I75" s="242">
        <f>SUM(I67,I30,I31,I32,I69,I70,I71,I72,I73,I74)</f>
        <v/>
      </c>
      <c r="J75" s="242">
        <f>SUM(J67,J30,J31,J32,J69,J70,J71,J72,J73,J74)</f>
        <v/>
      </c>
      <c r="K75" s="242">
        <f>SUM(K67,K30,K31,K32,K69,K70,K71,K72,K73,K74)</f>
        <v/>
      </c>
      <c r="L75" s="242">
        <f>SUM(L67,L30,L31,L32,L69,L70,L71,L72,L73,L74)</f>
        <v/>
      </c>
      <c r="M75" s="242">
        <f>SUM(M67,M30,M31,M32,M69,M70,M71,M72,M73,M74)</f>
        <v/>
      </c>
      <c r="N75" s="242">
        <f>SUM(N67,N30,N31,N32,N69,N70,N71,N72,N73,N74)</f>
        <v/>
      </c>
      <c r="O75" s="242">
        <f>SUM(O67,O30,O31,O32,O69,O70,O71,O72,O73,O74)</f>
        <v/>
      </c>
      <c r="P75" s="242">
        <f>SUM(P67,P30,P31,P32,P69,P70,P71,P72,P73,P74)</f>
        <v/>
      </c>
      <c r="Q75" s="242">
        <f>SUM(Q67,Q30,Q31,Q32,Q69,Q70,Q71,Q72,Q73,Q74)</f>
        <v/>
      </c>
      <c r="R75" s="242">
        <f>SUM(R67,R30,R31,R32,R69,R70,R71,R72,R73,R74)</f>
        <v/>
      </c>
      <c r="S75" s="242">
        <f>SUM(S67,S30,S31,S32,S69,S70,S71,S72,S73,S74)</f>
        <v/>
      </c>
      <c r="T75" s="242">
        <f>SUM(T67,T30,T31,T32,T69,T70,T71,T72,T73,T74)</f>
        <v/>
      </c>
      <c r="U75" s="242">
        <f>SUM(U67,U30,U31,U32,U69,U70,U71,U72,U73,U74)</f>
        <v/>
      </c>
      <c r="V75" s="242">
        <f>SUM(V67,V30,V31,V32,V69,V70,V71,V72,V73,V74)</f>
        <v/>
      </c>
    </row>
    <row r="76">
      <c r="A76" s="165" t="inlineStr">
        <is>
          <t>Term loan</t>
        </is>
      </c>
      <c r="B76" s="165" t="inlineStr">
        <is>
          <t>$mm</t>
        </is>
      </c>
      <c r="C76" s="242">
        <f>MAX(0,MAX(0,'S&amp;U_Opening'!$E$18+C61)+C63)</f>
        <v/>
      </c>
      <c r="D76" s="242">
        <f>MAX(0,MAX(0,C76+D61)+D63)</f>
        <v/>
      </c>
      <c r="E76" s="242">
        <f>MAX(0,MAX(0,D76+E61)+E63)</f>
        <v/>
      </c>
      <c r="F76" s="242">
        <f>MAX(0,MAX(0,E76+F61)+F63)</f>
        <v/>
      </c>
      <c r="G76" s="242">
        <f>MAX(0,MAX(0,F76+G61)+G63)</f>
        <v/>
      </c>
      <c r="H76" s="242">
        <f>MAX(0,MAX(0,G76+H61)+H63)</f>
        <v/>
      </c>
      <c r="I76" s="242">
        <f>MAX(0,MAX(0,H76+I61)+I63)</f>
        <v/>
      </c>
      <c r="J76" s="242">
        <f>MAX(0,MAX(0,I76+J61)+J63)</f>
        <v/>
      </c>
      <c r="K76" s="242">
        <f>MAX(0,MAX(0,J76+K61)+K63)</f>
        <v/>
      </c>
      <c r="L76" s="242">
        <f>MAX(0,MAX(0,K76+L61)+L63)</f>
        <v/>
      </c>
      <c r="M76" s="242">
        <f>MAX(0,MAX(0,L76+M61)+M63)</f>
        <v/>
      </c>
      <c r="N76" s="242">
        <f>MAX(0,MAX(0,M76+N61)+N63)</f>
        <v/>
      </c>
      <c r="O76" s="242">
        <f>MAX(0,MAX(0,N76+O61)+O63)</f>
        <v/>
      </c>
      <c r="P76" s="242">
        <f>MAX(0,MAX(0,O76+P61)+P63)</f>
        <v/>
      </c>
      <c r="Q76" s="242">
        <f>MAX(0,MAX(0,P76+Q61)+Q63)</f>
        <v/>
      </c>
      <c r="R76" s="242">
        <f>MAX(0,MAX(0,Q76+R61)+R63)</f>
        <v/>
      </c>
      <c r="S76" s="242">
        <f>MAX(0,MAX(0,R76+S61)+S63)</f>
        <v/>
      </c>
      <c r="T76" s="242">
        <f>MAX(0,MAX(0,S76+T61)+T63)</f>
        <v/>
      </c>
      <c r="U76" s="242">
        <f>MAX(0,MAX(0,T76+U61)+U63)</f>
        <v/>
      </c>
      <c r="V76" s="242">
        <f>MAX(0,MAX(0,U76+V61)+V63)</f>
        <v/>
      </c>
    </row>
    <row r="77">
      <c r="A77" s="165" t="inlineStr">
        <is>
          <t>DDTL</t>
        </is>
      </c>
      <c r="B77" s="165" t="inlineStr">
        <is>
          <t>$mm</t>
        </is>
      </c>
      <c r="C77" s="242">
        <f>MAX(0,0+C58+C62)</f>
        <v/>
      </c>
      <c r="D77" s="242">
        <f>MAX(0,C77+D58+D62)</f>
        <v/>
      </c>
      <c r="E77" s="242">
        <f>MAX(0,D77+E58+E62)</f>
        <v/>
      </c>
      <c r="F77" s="242">
        <f>MAX(0,E77+F58+F62)</f>
        <v/>
      </c>
      <c r="G77" s="242">
        <f>MAX(0,F77+G58+G62)</f>
        <v/>
      </c>
      <c r="H77" s="242">
        <f>MAX(0,G77+H58+H62)</f>
        <v/>
      </c>
      <c r="I77" s="242">
        <f>MAX(0,H77+I58+I62)</f>
        <v/>
      </c>
      <c r="J77" s="242">
        <f>MAX(0,I77+J58+J62)</f>
        <v/>
      </c>
      <c r="K77" s="242">
        <f>MAX(0,J77+K58+K62)</f>
        <v/>
      </c>
      <c r="L77" s="242">
        <f>MAX(0,K77+L58+L62)</f>
        <v/>
      </c>
      <c r="M77" s="242">
        <f>MAX(0,L77+M58+M62)</f>
        <v/>
      </c>
      <c r="N77" s="242">
        <f>MAX(0,M77+N58+N62)</f>
        <v/>
      </c>
      <c r="O77" s="242">
        <f>MAX(0,N77+O58+O62)</f>
        <v/>
      </c>
      <c r="P77" s="242">
        <f>MAX(0,O77+P58+P62)</f>
        <v/>
      </c>
      <c r="Q77" s="242">
        <f>MAX(0,P77+Q58+Q62)</f>
        <v/>
      </c>
      <c r="R77" s="242">
        <f>MAX(0,Q77+R58+R62)</f>
        <v/>
      </c>
      <c r="S77" s="242">
        <f>MAX(0,R77+S58+S62)</f>
        <v/>
      </c>
      <c r="T77" s="242">
        <f>MAX(0,S77+T58+T62)</f>
        <v/>
      </c>
      <c r="U77" s="242">
        <f>MAX(0,T77+U58+U62)</f>
        <v/>
      </c>
      <c r="V77" s="242">
        <f>MAX(0,U77+V58+V62)</f>
        <v/>
      </c>
    </row>
    <row r="78">
      <c r="A78" s="165" t="inlineStr">
        <is>
          <t>Revolver</t>
        </is>
      </c>
      <c r="B78" s="165" t="inlineStr">
        <is>
          <t>$mm</t>
        </is>
      </c>
      <c r="C78" s="242">
        <f>0+C59+C60</f>
        <v/>
      </c>
      <c r="D78" s="242">
        <f>C78+D59+D60</f>
        <v/>
      </c>
      <c r="E78" s="242">
        <f>D78+E59+E60</f>
        <v/>
      </c>
      <c r="F78" s="242">
        <f>E78+F59+F60</f>
        <v/>
      </c>
      <c r="G78" s="242">
        <f>F78+G59+G60</f>
        <v/>
      </c>
      <c r="H78" s="242">
        <f>G78+H59+H60</f>
        <v/>
      </c>
      <c r="I78" s="242">
        <f>H78+I59+I60</f>
        <v/>
      </c>
      <c r="J78" s="242">
        <f>I78+J59+J60</f>
        <v/>
      </c>
      <c r="K78" s="242">
        <f>J78+K59+K60</f>
        <v/>
      </c>
      <c r="L78" s="242">
        <f>K78+L59+L60</f>
        <v/>
      </c>
      <c r="M78" s="242">
        <f>L78+M59+M60</f>
        <v/>
      </c>
      <c r="N78" s="242">
        <f>M78+N59+N60</f>
        <v/>
      </c>
      <c r="O78" s="242">
        <f>N78+O59+O60</f>
        <v/>
      </c>
      <c r="P78" s="242">
        <f>O78+P59+P60</f>
        <v/>
      </c>
      <c r="Q78" s="242">
        <f>P78+Q59+Q60</f>
        <v/>
      </c>
      <c r="R78" s="242">
        <f>Q78+R59+R60</f>
        <v/>
      </c>
      <c r="S78" s="242">
        <f>R78+S59+S60</f>
        <v/>
      </c>
      <c r="T78" s="242">
        <f>S78+T59+T60</f>
        <v/>
      </c>
      <c r="U78" s="242">
        <f>T78+U59+U60</f>
        <v/>
      </c>
      <c r="V78" s="242">
        <f>U78+V59+V60</f>
        <v/>
      </c>
    </row>
    <row r="79">
      <c r="A79" s="165" t="inlineStr">
        <is>
          <t>Accounts payable - BS</t>
        </is>
      </c>
      <c r="B79" s="165" t="inlineStr">
        <is>
          <t>$mm</t>
        </is>
      </c>
      <c r="C79" s="242">
        <f>C33</f>
        <v/>
      </c>
      <c r="D79" s="242">
        <f>D33</f>
        <v/>
      </c>
      <c r="E79" s="242">
        <f>E33</f>
        <v/>
      </c>
      <c r="F79" s="242">
        <f>F33</f>
        <v/>
      </c>
      <c r="G79" s="242">
        <f>G33</f>
        <v/>
      </c>
      <c r="H79" s="242">
        <f>H33</f>
        <v/>
      </c>
      <c r="I79" s="242">
        <f>I33</f>
        <v/>
      </c>
      <c r="J79" s="242">
        <f>J33</f>
        <v/>
      </c>
      <c r="K79" s="242">
        <f>K33</f>
        <v/>
      </c>
      <c r="L79" s="242">
        <f>L33</f>
        <v/>
      </c>
      <c r="M79" s="242">
        <f>M33</f>
        <v/>
      </c>
      <c r="N79" s="242">
        <f>N33</f>
        <v/>
      </c>
      <c r="O79" s="242">
        <f>O33</f>
        <v/>
      </c>
      <c r="P79" s="242">
        <f>P33</f>
        <v/>
      </c>
      <c r="Q79" s="242">
        <f>Q33</f>
        <v/>
      </c>
      <c r="R79" s="242">
        <f>R33</f>
        <v/>
      </c>
      <c r="S79" s="242">
        <f>S33</f>
        <v/>
      </c>
      <c r="T79" s="242">
        <f>T33</f>
        <v/>
      </c>
      <c r="U79" s="242">
        <f>U33</f>
        <v/>
      </c>
      <c r="V79" s="242">
        <f>V33</f>
        <v/>
      </c>
    </row>
    <row r="80">
      <c r="A80" s="165" t="inlineStr">
        <is>
          <t>Accrued liabilities - BS</t>
        </is>
      </c>
      <c r="B80" s="165" t="inlineStr">
        <is>
          <t>$mm</t>
        </is>
      </c>
      <c r="C80" s="242">
        <f>C34</f>
        <v/>
      </c>
      <c r="D80" s="242">
        <f>D34</f>
        <v/>
      </c>
      <c r="E80" s="242">
        <f>E34</f>
        <v/>
      </c>
      <c r="F80" s="242">
        <f>F34</f>
        <v/>
      </c>
      <c r="G80" s="242">
        <f>G34</f>
        <v/>
      </c>
      <c r="H80" s="242">
        <f>H34</f>
        <v/>
      </c>
      <c r="I80" s="242">
        <f>I34</f>
        <v/>
      </c>
      <c r="J80" s="242">
        <f>J34</f>
        <v/>
      </c>
      <c r="K80" s="242">
        <f>K34</f>
        <v/>
      </c>
      <c r="L80" s="242">
        <f>L34</f>
        <v/>
      </c>
      <c r="M80" s="242">
        <f>M34</f>
        <v/>
      </c>
      <c r="N80" s="242">
        <f>N34</f>
        <v/>
      </c>
      <c r="O80" s="242">
        <f>O34</f>
        <v/>
      </c>
      <c r="P80" s="242">
        <f>P34</f>
        <v/>
      </c>
      <c r="Q80" s="242">
        <f>Q34</f>
        <v/>
      </c>
      <c r="R80" s="242">
        <f>R34</f>
        <v/>
      </c>
      <c r="S80" s="242">
        <f>S34</f>
        <v/>
      </c>
      <c r="T80" s="242">
        <f>T34</f>
        <v/>
      </c>
      <c r="U80" s="242">
        <f>U34</f>
        <v/>
      </c>
      <c r="V80" s="242">
        <f>V34</f>
        <v/>
      </c>
    </row>
    <row r="81">
      <c r="A81" s="165" t="inlineStr">
        <is>
          <t>Deferred revenue - BS</t>
        </is>
      </c>
      <c r="B81" s="165" t="inlineStr">
        <is>
          <t>$mm</t>
        </is>
      </c>
      <c r="C81" s="242">
        <f>C35</f>
        <v/>
      </c>
      <c r="D81" s="242">
        <f>D35</f>
        <v/>
      </c>
      <c r="E81" s="242">
        <f>E35</f>
        <v/>
      </c>
      <c r="F81" s="242">
        <f>F35</f>
        <v/>
      </c>
      <c r="G81" s="242">
        <f>G35</f>
        <v/>
      </c>
      <c r="H81" s="242">
        <f>H35</f>
        <v/>
      </c>
      <c r="I81" s="242">
        <f>I35</f>
        <v/>
      </c>
      <c r="J81" s="242">
        <f>J35</f>
        <v/>
      </c>
      <c r="K81" s="242">
        <f>K35</f>
        <v/>
      </c>
      <c r="L81" s="242">
        <f>L35</f>
        <v/>
      </c>
      <c r="M81" s="242">
        <f>M35</f>
        <v/>
      </c>
      <c r="N81" s="242">
        <f>N35</f>
        <v/>
      </c>
      <c r="O81" s="242">
        <f>O35</f>
        <v/>
      </c>
      <c r="P81" s="242">
        <f>P35</f>
        <v/>
      </c>
      <c r="Q81" s="242">
        <f>Q35</f>
        <v/>
      </c>
      <c r="R81" s="242">
        <f>R35</f>
        <v/>
      </c>
      <c r="S81" s="242">
        <f>S35</f>
        <v/>
      </c>
      <c r="T81" s="242">
        <f>T35</f>
        <v/>
      </c>
      <c r="U81" s="242">
        <f>U35</f>
        <v/>
      </c>
      <c r="V81" s="242">
        <f>V35</f>
        <v/>
      </c>
    </row>
    <row r="82">
      <c r="A82" s="165" t="inlineStr">
        <is>
          <t>Deferred tax liability</t>
        </is>
      </c>
      <c r="B82" s="165" t="inlineStr">
        <is>
          <t>$mm</t>
        </is>
      </c>
      <c r="C82" s="242">
        <f>MAX(0,'S&amp;U_Opening'!$E$19+'Scenario_Drivers'!C91-C26+C27)</f>
        <v/>
      </c>
      <c r="D82" s="242">
        <f>MAX(0,C82+'Scenario_Drivers'!D91-D26+D27)</f>
        <v/>
      </c>
      <c r="E82" s="242">
        <f>MAX(0,D82+'Scenario_Drivers'!E91-E26+E27)</f>
        <v/>
      </c>
      <c r="F82" s="242">
        <f>MAX(0,E82+'Scenario_Drivers'!F91-F26+F27)</f>
        <v/>
      </c>
      <c r="G82" s="242">
        <f>MAX(0,F82+'Scenario_Drivers'!G91-G26+G27)</f>
        <v/>
      </c>
      <c r="H82" s="242">
        <f>MAX(0,G82+'Scenario_Drivers'!H91-H26+H27)</f>
        <v/>
      </c>
      <c r="I82" s="242">
        <f>MAX(0,H82+'Scenario_Drivers'!I91-I26+I27)</f>
        <v/>
      </c>
      <c r="J82" s="242">
        <f>MAX(0,I82+'Scenario_Drivers'!J91-J26+J27)</f>
        <v/>
      </c>
      <c r="K82" s="242">
        <f>MAX(0,J82+'Scenario_Drivers'!K91-K26+K27)</f>
        <v/>
      </c>
      <c r="L82" s="242">
        <f>MAX(0,K82+'Scenario_Drivers'!L91-L26+L27)</f>
        <v/>
      </c>
      <c r="M82" s="242">
        <f>MAX(0,L82+'Scenario_Drivers'!M91-M26+M27)</f>
        <v/>
      </c>
      <c r="N82" s="242">
        <f>MAX(0,M82+'Scenario_Drivers'!N91-N26+N27)</f>
        <v/>
      </c>
      <c r="O82" s="242">
        <f>MAX(0,N82+'Scenario_Drivers'!O91-O26+O27)</f>
        <v/>
      </c>
      <c r="P82" s="242">
        <f>MAX(0,O82+'Scenario_Drivers'!P91-P26+P27)</f>
        <v/>
      </c>
      <c r="Q82" s="242">
        <f>MAX(0,P82+'Scenario_Drivers'!Q91-Q26+Q27)</f>
        <v/>
      </c>
      <c r="R82" s="242">
        <f>MAX(0,Q82+'Scenario_Drivers'!R91-R26+R27)</f>
        <v/>
      </c>
      <c r="S82" s="242">
        <f>MAX(0,R82+'Scenario_Drivers'!S91-S26+S27)</f>
        <v/>
      </c>
      <c r="T82" s="242">
        <f>MAX(0,S82+'Scenario_Drivers'!T91-T26+T27)</f>
        <v/>
      </c>
      <c r="U82" s="242">
        <f>MAX(0,T82+'Scenario_Drivers'!U91-U26+U27)</f>
        <v/>
      </c>
      <c r="V82" s="242">
        <f>MAX(0,U82+'Scenario_Drivers'!V91-V26+V27)</f>
        <v/>
      </c>
    </row>
    <row r="83">
      <c r="A83" s="165" t="inlineStr">
        <is>
          <t>Other liabilities</t>
        </is>
      </c>
      <c r="B83" s="165" t="inlineStr">
        <is>
          <t>$mm</t>
        </is>
      </c>
      <c r="C83" s="242">
        <f>'S&amp;U_Opening'!$E$20+'Scenario_Drivers'!C92</f>
        <v/>
      </c>
      <c r="D83" s="242">
        <f>C83+'Scenario_Drivers'!D92</f>
        <v/>
      </c>
      <c r="E83" s="242">
        <f>D83+'Scenario_Drivers'!E92</f>
        <v/>
      </c>
      <c r="F83" s="242">
        <f>E83+'Scenario_Drivers'!F92</f>
        <v/>
      </c>
      <c r="G83" s="242">
        <f>F83+'Scenario_Drivers'!G92</f>
        <v/>
      </c>
      <c r="H83" s="242">
        <f>G83+'Scenario_Drivers'!H92</f>
        <v/>
      </c>
      <c r="I83" s="242">
        <f>H83+'Scenario_Drivers'!I92</f>
        <v/>
      </c>
      <c r="J83" s="242">
        <f>I83+'Scenario_Drivers'!J92</f>
        <v/>
      </c>
      <c r="K83" s="242">
        <f>J83+'Scenario_Drivers'!K92</f>
        <v/>
      </c>
      <c r="L83" s="242">
        <f>K83+'Scenario_Drivers'!L92</f>
        <v/>
      </c>
      <c r="M83" s="242">
        <f>L83+'Scenario_Drivers'!M92</f>
        <v/>
      </c>
      <c r="N83" s="242">
        <f>M83+'Scenario_Drivers'!N92</f>
        <v/>
      </c>
      <c r="O83" s="242">
        <f>N83+'Scenario_Drivers'!O92</f>
        <v/>
      </c>
      <c r="P83" s="242">
        <f>O83+'Scenario_Drivers'!P92</f>
        <v/>
      </c>
      <c r="Q83" s="242">
        <f>P83+'Scenario_Drivers'!Q92</f>
        <v/>
      </c>
      <c r="R83" s="242">
        <f>Q83+'Scenario_Drivers'!R92</f>
        <v/>
      </c>
      <c r="S83" s="242">
        <f>R83+'Scenario_Drivers'!S92</f>
        <v/>
      </c>
      <c r="T83" s="242">
        <f>S83+'Scenario_Drivers'!T92</f>
        <v/>
      </c>
      <c r="U83" s="242">
        <f>T83+'Scenario_Drivers'!U92</f>
        <v/>
      </c>
      <c r="V83" s="242">
        <f>U83+'Scenario_Drivers'!V92</f>
        <v/>
      </c>
    </row>
    <row r="84">
      <c r="A84" s="165" t="inlineStr">
        <is>
          <t>Total liabilities</t>
        </is>
      </c>
      <c r="B84" s="165" t="inlineStr">
        <is>
          <t>$mm</t>
        </is>
      </c>
      <c r="C84" s="242">
        <f>SUM(C76:C83)</f>
        <v/>
      </c>
      <c r="D84" s="242">
        <f>SUM(D76:D83)</f>
        <v/>
      </c>
      <c r="E84" s="242">
        <f>SUM(E76:E83)</f>
        <v/>
      </c>
      <c r="F84" s="242">
        <f>SUM(F76:F83)</f>
        <v/>
      </c>
      <c r="G84" s="242">
        <f>SUM(G76:G83)</f>
        <v/>
      </c>
      <c r="H84" s="242">
        <f>SUM(H76:H83)</f>
        <v/>
      </c>
      <c r="I84" s="242">
        <f>SUM(I76:I83)</f>
        <v/>
      </c>
      <c r="J84" s="242">
        <f>SUM(J76:J83)</f>
        <v/>
      </c>
      <c r="K84" s="242">
        <f>SUM(K76:K83)</f>
        <v/>
      </c>
      <c r="L84" s="242">
        <f>SUM(L76:L83)</f>
        <v/>
      </c>
      <c r="M84" s="242">
        <f>SUM(M76:M83)</f>
        <v/>
      </c>
      <c r="N84" s="242">
        <f>SUM(N76:N83)</f>
        <v/>
      </c>
      <c r="O84" s="242">
        <f>SUM(O76:O83)</f>
        <v/>
      </c>
      <c r="P84" s="242">
        <f>SUM(P76:P83)</f>
        <v/>
      </c>
      <c r="Q84" s="242">
        <f>SUM(Q76:Q83)</f>
        <v/>
      </c>
      <c r="R84" s="242">
        <f>SUM(R76:R83)</f>
        <v/>
      </c>
      <c r="S84" s="242">
        <f>SUM(S76:S83)</f>
        <v/>
      </c>
      <c r="T84" s="242">
        <f>SUM(T76:T83)</f>
        <v/>
      </c>
      <c r="U84" s="242">
        <f>SUM(U76:U83)</f>
        <v/>
      </c>
      <c r="V84" s="242">
        <f>SUM(V76:V83)</f>
        <v/>
      </c>
    </row>
    <row r="85">
      <c r="A85" s="165" t="inlineStr">
        <is>
          <t>Equity</t>
        </is>
      </c>
      <c r="B85" s="165" t="inlineStr">
        <is>
          <t>$mm</t>
        </is>
      </c>
      <c r="C85" s="242">
        <f>'S&amp;U_Opening'!$E$21+C28+C57</f>
        <v/>
      </c>
      <c r="D85" s="242">
        <f>C85+D28+D57</f>
        <v/>
      </c>
      <c r="E85" s="242">
        <f>D85+E28+E57</f>
        <v/>
      </c>
      <c r="F85" s="242">
        <f>E85+F28+F57</f>
        <v/>
      </c>
      <c r="G85" s="242">
        <f>F85+G28+G57</f>
        <v/>
      </c>
      <c r="H85" s="242">
        <f>G85+H28+H57</f>
        <v/>
      </c>
      <c r="I85" s="242">
        <f>H85+I28+I57</f>
        <v/>
      </c>
      <c r="J85" s="242">
        <f>I85+J28+J57</f>
        <v/>
      </c>
      <c r="K85" s="242">
        <f>J85+K28+K57</f>
        <v/>
      </c>
      <c r="L85" s="242">
        <f>K85+L28+L57</f>
        <v/>
      </c>
      <c r="M85" s="242">
        <f>L85+M28+M57</f>
        <v/>
      </c>
      <c r="N85" s="242">
        <f>M85+N28+N57</f>
        <v/>
      </c>
      <c r="O85" s="242">
        <f>N85+O28+O57</f>
        <v/>
      </c>
      <c r="P85" s="242">
        <f>O85+P28+P57</f>
        <v/>
      </c>
      <c r="Q85" s="242">
        <f>P85+Q28+Q57</f>
        <v/>
      </c>
      <c r="R85" s="242">
        <f>Q85+R28+R57</f>
        <v/>
      </c>
      <c r="S85" s="242">
        <f>R85+S28+S57</f>
        <v/>
      </c>
      <c r="T85" s="242">
        <f>S85+T28+T57</f>
        <v/>
      </c>
      <c r="U85" s="242">
        <f>T85+U28+U57</f>
        <v/>
      </c>
      <c r="V85" s="242">
        <f>U85+V28+V57</f>
        <v/>
      </c>
    </row>
    <row r="86">
      <c r="A86" s="165" t="inlineStr">
        <is>
          <t>Total liabilities &amp; equity</t>
        </is>
      </c>
      <c r="B86" s="165" t="inlineStr">
        <is>
          <t>$mm</t>
        </is>
      </c>
      <c r="C86" s="242">
        <f>C84+C85</f>
        <v/>
      </c>
      <c r="D86" s="242">
        <f>D84+D85</f>
        <v/>
      </c>
      <c r="E86" s="242">
        <f>E84+E85</f>
        <v/>
      </c>
      <c r="F86" s="242">
        <f>F84+F85</f>
        <v/>
      </c>
      <c r="G86" s="242">
        <f>G84+G85</f>
        <v/>
      </c>
      <c r="H86" s="242">
        <f>H84+H85</f>
        <v/>
      </c>
      <c r="I86" s="242">
        <f>I84+I85</f>
        <v/>
      </c>
      <c r="J86" s="242">
        <f>J84+J85</f>
        <v/>
      </c>
      <c r="K86" s="242">
        <f>K84+K85</f>
        <v/>
      </c>
      <c r="L86" s="242">
        <f>L84+L85</f>
        <v/>
      </c>
      <c r="M86" s="242">
        <f>M84+M85</f>
        <v/>
      </c>
      <c r="N86" s="242">
        <f>N84+N85</f>
        <v/>
      </c>
      <c r="O86" s="242">
        <f>O84+O85</f>
        <v/>
      </c>
      <c r="P86" s="242">
        <f>P84+P85</f>
        <v/>
      </c>
      <c r="Q86" s="242">
        <f>Q84+Q85</f>
        <v/>
      </c>
      <c r="R86" s="242">
        <f>R84+R85</f>
        <v/>
      </c>
      <c r="S86" s="242">
        <f>S84+S85</f>
        <v/>
      </c>
      <c r="T86" s="242">
        <f>T84+T85</f>
        <v/>
      </c>
      <c r="U86" s="242">
        <f>U84+U85</f>
        <v/>
      </c>
      <c r="V86" s="242">
        <f>V84+V85</f>
        <v/>
      </c>
    </row>
    <row r="87">
      <c r="A87" s="165" t="inlineStr">
        <is>
          <t>Balance sheet check</t>
        </is>
      </c>
      <c r="B87" s="165" t="inlineStr">
        <is>
          <t>$mm</t>
        </is>
      </c>
      <c r="C87" s="242">
        <f>C75-C86</f>
        <v/>
      </c>
      <c r="D87" s="242">
        <f>D75-D86</f>
        <v/>
      </c>
      <c r="E87" s="242">
        <f>E75-E86</f>
        <v/>
      </c>
      <c r="F87" s="242">
        <f>F75-F86</f>
        <v/>
      </c>
      <c r="G87" s="242">
        <f>G75-G86</f>
        <v/>
      </c>
      <c r="H87" s="242">
        <f>H75-H86</f>
        <v/>
      </c>
      <c r="I87" s="242">
        <f>I75-I86</f>
        <v/>
      </c>
      <c r="J87" s="242">
        <f>J75-J86</f>
        <v/>
      </c>
      <c r="K87" s="242">
        <f>K75-K86</f>
        <v/>
      </c>
      <c r="L87" s="242">
        <f>L75-L86</f>
        <v/>
      </c>
      <c r="M87" s="242">
        <f>M75-M86</f>
        <v/>
      </c>
      <c r="N87" s="242">
        <f>N75-N86</f>
        <v/>
      </c>
      <c r="O87" s="242">
        <f>O75-O86</f>
        <v/>
      </c>
      <c r="P87" s="242">
        <f>P75-P86</f>
        <v/>
      </c>
      <c r="Q87" s="242">
        <f>Q75-Q86</f>
        <v/>
      </c>
      <c r="R87" s="242">
        <f>R75-R86</f>
        <v/>
      </c>
      <c r="S87" s="242">
        <f>S75-S86</f>
        <v/>
      </c>
      <c r="T87" s="242">
        <f>T75-T86</f>
        <v/>
      </c>
      <c r="U87" s="242">
        <f>U75-U86</f>
        <v/>
      </c>
      <c r="V87" s="242">
        <f>V75-V86</f>
        <v/>
      </c>
    </row>
    <row r="88">
      <c r="A88" s="39" t="inlineStr">
        <is>
          <t>Debt and Covenant Metrics</t>
        </is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</row>
    <row r="89">
      <c r="A89" s="165" t="inlineStr">
        <is>
          <t>Gross debt</t>
        </is>
      </c>
      <c r="B89" s="165" t="inlineStr">
        <is>
          <t>$mm</t>
        </is>
      </c>
      <c r="C89" s="242">
        <f>SUM(C76:C78)</f>
        <v/>
      </c>
      <c r="D89" s="242">
        <f>SUM(D76:D78)</f>
        <v/>
      </c>
      <c r="E89" s="242">
        <f>SUM(E76:E78)</f>
        <v/>
      </c>
      <c r="F89" s="242">
        <f>SUM(F76:F78)</f>
        <v/>
      </c>
      <c r="G89" s="242">
        <f>SUM(G76:G78)</f>
        <v/>
      </c>
      <c r="H89" s="242">
        <f>SUM(H76:H78)</f>
        <v/>
      </c>
      <c r="I89" s="242">
        <f>SUM(I76:I78)</f>
        <v/>
      </c>
      <c r="J89" s="242">
        <f>SUM(J76:J78)</f>
        <v/>
      </c>
      <c r="K89" s="242">
        <f>SUM(K76:K78)</f>
        <v/>
      </c>
      <c r="L89" s="242">
        <f>SUM(L76:L78)</f>
        <v/>
      </c>
      <c r="M89" s="242">
        <f>SUM(M76:M78)</f>
        <v/>
      </c>
      <c r="N89" s="242">
        <f>SUM(N76:N78)</f>
        <v/>
      </c>
      <c r="O89" s="242">
        <f>SUM(O76:O78)</f>
        <v/>
      </c>
      <c r="P89" s="242">
        <f>SUM(P76:P78)</f>
        <v/>
      </c>
      <c r="Q89" s="242">
        <f>SUM(Q76:Q78)</f>
        <v/>
      </c>
      <c r="R89" s="242">
        <f>SUM(R76:R78)</f>
        <v/>
      </c>
      <c r="S89" s="242">
        <f>SUM(S76:S78)</f>
        <v/>
      </c>
      <c r="T89" s="242">
        <f>SUM(T76:T78)</f>
        <v/>
      </c>
      <c r="U89" s="242">
        <f>SUM(U76:U78)</f>
        <v/>
      </c>
      <c r="V89" s="242">
        <f>SUM(V76:V78)</f>
        <v/>
      </c>
    </row>
    <row r="90">
      <c r="A90" s="165" t="inlineStr">
        <is>
          <t>Eligible cash</t>
        </is>
      </c>
      <c r="B90" s="165" t="inlineStr">
        <is>
          <t>$mm</t>
        </is>
      </c>
      <c r="C90" s="242">
        <f>MIN(C67,Inputs!$B$19)</f>
        <v/>
      </c>
      <c r="D90" s="242">
        <f>MIN(D67,Inputs!$B$19)</f>
        <v/>
      </c>
      <c r="E90" s="242">
        <f>MIN(E67,Inputs!$B$19)</f>
        <v/>
      </c>
      <c r="F90" s="242">
        <f>MIN(F67,Inputs!$B$19)</f>
        <v/>
      </c>
      <c r="G90" s="242">
        <f>MIN(G67,Inputs!$B$19)</f>
        <v/>
      </c>
      <c r="H90" s="242">
        <f>MIN(H67,Inputs!$B$19)</f>
        <v/>
      </c>
      <c r="I90" s="242">
        <f>MIN(I67,Inputs!$B$19)</f>
        <v/>
      </c>
      <c r="J90" s="242">
        <f>MIN(J67,Inputs!$B$19)</f>
        <v/>
      </c>
      <c r="K90" s="242">
        <f>MIN(K67,Inputs!$B$19)</f>
        <v/>
      </c>
      <c r="L90" s="242">
        <f>MIN(L67,Inputs!$B$19)</f>
        <v/>
      </c>
      <c r="M90" s="242">
        <f>MIN(M67,Inputs!$B$19)</f>
        <v/>
      </c>
      <c r="N90" s="242">
        <f>MIN(N67,Inputs!$B$19)</f>
        <v/>
      </c>
      <c r="O90" s="242">
        <f>MIN(O67,Inputs!$B$19)</f>
        <v/>
      </c>
      <c r="P90" s="242">
        <f>MIN(P67,Inputs!$B$19)</f>
        <v/>
      </c>
      <c r="Q90" s="242">
        <f>MIN(Q67,Inputs!$B$19)</f>
        <v/>
      </c>
      <c r="R90" s="242">
        <f>MIN(R67,Inputs!$B$19)</f>
        <v/>
      </c>
      <c r="S90" s="242">
        <f>MIN(S67,Inputs!$B$19)</f>
        <v/>
      </c>
      <c r="T90" s="242">
        <f>MIN(T67,Inputs!$B$19)</f>
        <v/>
      </c>
      <c r="U90" s="242">
        <f>MIN(U67,Inputs!$B$19)</f>
        <v/>
      </c>
      <c r="V90" s="242">
        <f>MIN(V67,Inputs!$B$19)</f>
        <v/>
      </c>
    </row>
    <row r="91">
      <c r="A91" s="165" t="inlineStr">
        <is>
          <t>Covenant net debt</t>
        </is>
      </c>
      <c r="B91" s="165" t="inlineStr">
        <is>
          <t>$mm</t>
        </is>
      </c>
      <c r="C91" s="242">
        <f>C89-C90</f>
        <v/>
      </c>
      <c r="D91" s="242">
        <f>D89-D90</f>
        <v/>
      </c>
      <c r="E91" s="242">
        <f>E89-E90</f>
        <v/>
      </c>
      <c r="F91" s="242">
        <f>F89-F90</f>
        <v/>
      </c>
      <c r="G91" s="242">
        <f>G89-G90</f>
        <v/>
      </c>
      <c r="H91" s="242">
        <f>H89-H90</f>
        <v/>
      </c>
      <c r="I91" s="242">
        <f>I89-I90</f>
        <v/>
      </c>
      <c r="J91" s="242">
        <f>J89-J90</f>
        <v/>
      </c>
      <c r="K91" s="242">
        <f>K89-K90</f>
        <v/>
      </c>
      <c r="L91" s="242">
        <f>L89-L90</f>
        <v/>
      </c>
      <c r="M91" s="242">
        <f>M89-M90</f>
        <v/>
      </c>
      <c r="N91" s="242">
        <f>N89-N90</f>
        <v/>
      </c>
      <c r="O91" s="242">
        <f>O89-O90</f>
        <v/>
      </c>
      <c r="P91" s="242">
        <f>P89-P90</f>
        <v/>
      </c>
      <c r="Q91" s="242">
        <f>Q89-Q90</f>
        <v/>
      </c>
      <c r="R91" s="242">
        <f>R89-R90</f>
        <v/>
      </c>
      <c r="S91" s="242">
        <f>S89-S90</f>
        <v/>
      </c>
      <c r="T91" s="242">
        <f>T89-T90</f>
        <v/>
      </c>
      <c r="U91" s="242">
        <f>U89-U90</f>
        <v/>
      </c>
      <c r="V91" s="242">
        <f>V89-V90</f>
        <v/>
      </c>
    </row>
    <row r="92">
      <c r="A92" s="165" t="inlineStr">
        <is>
          <t>Economic net debt</t>
        </is>
      </c>
      <c r="B92" s="165" t="inlineStr">
        <is>
          <t>$mm</t>
        </is>
      </c>
      <c r="C92" s="242">
        <f>C89-C67</f>
        <v/>
      </c>
      <c r="D92" s="242">
        <f>D89-D67</f>
        <v/>
      </c>
      <c r="E92" s="242">
        <f>E89-E67</f>
        <v/>
      </c>
      <c r="F92" s="242">
        <f>F89-F67</f>
        <v/>
      </c>
      <c r="G92" s="242">
        <f>G89-G67</f>
        <v/>
      </c>
      <c r="H92" s="242">
        <f>H89-H67</f>
        <v/>
      </c>
      <c r="I92" s="242">
        <f>I89-I67</f>
        <v/>
      </c>
      <c r="J92" s="242">
        <f>J89-J67</f>
        <v/>
      </c>
      <c r="K92" s="242">
        <f>K89-K67</f>
        <v/>
      </c>
      <c r="L92" s="242">
        <f>L89-L67</f>
        <v/>
      </c>
      <c r="M92" s="242">
        <f>M89-M67</f>
        <v/>
      </c>
      <c r="N92" s="242">
        <f>N89-N67</f>
        <v/>
      </c>
      <c r="O92" s="242">
        <f>O89-O67</f>
        <v/>
      </c>
      <c r="P92" s="242">
        <f>P89-P67</f>
        <v/>
      </c>
      <c r="Q92" s="242">
        <f>Q89-Q67</f>
        <v/>
      </c>
      <c r="R92" s="242">
        <f>R89-R67</f>
        <v/>
      </c>
      <c r="S92" s="242">
        <f>S89-S67</f>
        <v/>
      </c>
      <c r="T92" s="242">
        <f>T89-T67</f>
        <v/>
      </c>
      <c r="U92" s="242">
        <f>U89-U67</f>
        <v/>
      </c>
      <c r="V92" s="242">
        <f>V89-V67</f>
        <v/>
      </c>
    </row>
    <row r="93">
      <c r="A93" s="165" t="inlineStr">
        <is>
          <t>LTM revenue</t>
        </is>
      </c>
      <c r="B93" s="165" t="inlineStr">
        <is>
          <t>$mm</t>
        </is>
      </c>
      <c r="C93" s="242">
        <f>SUM(C5:C5)</f>
        <v/>
      </c>
      <c r="D93" s="242">
        <f>SUM(C5:D5)</f>
        <v/>
      </c>
      <c r="E93" s="242">
        <f>SUM(C5:E5)</f>
        <v/>
      </c>
      <c r="F93" s="242">
        <f>SUM(C5:F5)</f>
        <v/>
      </c>
      <c r="G93" s="242">
        <f>SUM(D5:G5)</f>
        <v/>
      </c>
      <c r="H93" s="242">
        <f>SUM(E5:H5)</f>
        <v/>
      </c>
      <c r="I93" s="242">
        <f>SUM(F5:I5)</f>
        <v/>
      </c>
      <c r="J93" s="242">
        <f>SUM(G5:J5)</f>
        <v/>
      </c>
      <c r="K93" s="242">
        <f>SUM(H5:K5)</f>
        <v/>
      </c>
      <c r="L93" s="242">
        <f>SUM(I5:L5)</f>
        <v/>
      </c>
      <c r="M93" s="242">
        <f>SUM(J5:M5)</f>
        <v/>
      </c>
      <c r="N93" s="242">
        <f>SUM(K5:N5)</f>
        <v/>
      </c>
      <c r="O93" s="242">
        <f>SUM(L5:O5)</f>
        <v/>
      </c>
      <c r="P93" s="242">
        <f>SUM(M5:P5)</f>
        <v/>
      </c>
      <c r="Q93" s="242">
        <f>SUM(N5:Q5)</f>
        <v/>
      </c>
      <c r="R93" s="242">
        <f>SUM(O5:R5)</f>
        <v/>
      </c>
      <c r="S93" s="242">
        <f>SUM(P5:S5)</f>
        <v/>
      </c>
      <c r="T93" s="242">
        <f>SUM(Q5:T5)</f>
        <v/>
      </c>
      <c r="U93" s="242">
        <f>SUM(R5:U5)</f>
        <v/>
      </c>
      <c r="V93" s="242">
        <f>SUM(S5:V5)</f>
        <v/>
      </c>
    </row>
    <row r="94">
      <c r="A94" s="165" t="inlineStr">
        <is>
          <t>LTM reported EBITDA</t>
        </is>
      </c>
      <c r="B94" s="165" t="inlineStr">
        <is>
          <t>$mm</t>
        </is>
      </c>
      <c r="C94" s="242">
        <f>SUM(C12:C12)</f>
        <v/>
      </c>
      <c r="D94" s="242">
        <f>SUM(C12:D12)</f>
        <v/>
      </c>
      <c r="E94" s="242">
        <f>SUM(C12:E12)</f>
        <v/>
      </c>
      <c r="F94" s="242">
        <f>SUM(C12:F12)</f>
        <v/>
      </c>
      <c r="G94" s="242">
        <f>SUM(D12:G12)</f>
        <v/>
      </c>
      <c r="H94" s="242">
        <f>SUM(E12:H12)</f>
        <v/>
      </c>
      <c r="I94" s="242">
        <f>SUM(F12:I12)</f>
        <v/>
      </c>
      <c r="J94" s="242">
        <f>SUM(G12:J12)</f>
        <v/>
      </c>
      <c r="K94" s="242">
        <f>SUM(H12:K12)</f>
        <v/>
      </c>
      <c r="L94" s="242">
        <f>SUM(I12:L12)</f>
        <v/>
      </c>
      <c r="M94" s="242">
        <f>SUM(J12:M12)</f>
        <v/>
      </c>
      <c r="N94" s="242">
        <f>SUM(K12:N12)</f>
        <v/>
      </c>
      <c r="O94" s="242">
        <f>SUM(L12:O12)</f>
        <v/>
      </c>
      <c r="P94" s="242">
        <f>SUM(M12:P12)</f>
        <v/>
      </c>
      <c r="Q94" s="242">
        <f>SUM(N12:Q12)</f>
        <v/>
      </c>
      <c r="R94" s="242">
        <f>SUM(O12:R12)</f>
        <v/>
      </c>
      <c r="S94" s="242">
        <f>SUM(P12:S12)</f>
        <v/>
      </c>
      <c r="T94" s="242">
        <f>SUM(Q12:T12)</f>
        <v/>
      </c>
      <c r="U94" s="242">
        <f>SUM(R12:U12)</f>
        <v/>
      </c>
      <c r="V94" s="242">
        <f>SUM(S12:V12)</f>
        <v/>
      </c>
    </row>
    <row r="95">
      <c r="A95" s="165" t="inlineStr">
        <is>
          <t>LTM firm EBITDA</t>
        </is>
      </c>
      <c r="B95" s="165" t="inlineStr">
        <is>
          <t>$mm</t>
        </is>
      </c>
      <c r="C95" s="242">
        <f>SUM(C10:C10)</f>
        <v/>
      </c>
      <c r="D95" s="242">
        <f>SUM(C10:D10)</f>
        <v/>
      </c>
      <c r="E95" s="242">
        <f>SUM(C10:E10)</f>
        <v/>
      </c>
      <c r="F95" s="242">
        <f>SUM(C10:F10)</f>
        <v/>
      </c>
      <c r="G95" s="242">
        <f>SUM(D10:G10)</f>
        <v/>
      </c>
      <c r="H95" s="242">
        <f>SUM(E10:H10)</f>
        <v/>
      </c>
      <c r="I95" s="242">
        <f>SUM(F10:I10)</f>
        <v/>
      </c>
      <c r="J95" s="242">
        <f>SUM(G10:J10)</f>
        <v/>
      </c>
      <c r="K95" s="242">
        <f>SUM(H10:K10)</f>
        <v/>
      </c>
      <c r="L95" s="242">
        <f>SUM(I10:L10)</f>
        <v/>
      </c>
      <c r="M95" s="242">
        <f>SUM(J10:M10)</f>
        <v/>
      </c>
      <c r="N95" s="242">
        <f>SUM(K10:N10)</f>
        <v/>
      </c>
      <c r="O95" s="242">
        <f>SUM(L10:O10)</f>
        <v/>
      </c>
      <c r="P95" s="242">
        <f>SUM(M10:P10)</f>
        <v/>
      </c>
      <c r="Q95" s="242">
        <f>SUM(N10:Q10)</f>
        <v/>
      </c>
      <c r="R95" s="242">
        <f>SUM(O10:R10)</f>
        <v/>
      </c>
      <c r="S95" s="242">
        <f>SUM(P10:S10)</f>
        <v/>
      </c>
      <c r="T95" s="242">
        <f>SUM(Q10:T10)</f>
        <v/>
      </c>
      <c r="U95" s="242">
        <f>SUM(R10:U10)</f>
        <v/>
      </c>
      <c r="V95" s="242">
        <f>SUM(S10:V10)</f>
        <v/>
      </c>
    </row>
    <row r="96">
      <c r="A96" s="165" t="inlineStr">
        <is>
          <t>LTM add-backs</t>
        </is>
      </c>
      <c r="B96" s="165" t="inlineStr">
        <is>
          <t>$mm</t>
        </is>
      </c>
      <c r="C96" s="242">
        <f>SUM(C13:C13)</f>
        <v/>
      </c>
      <c r="D96" s="242">
        <f>SUM(C13:D13)</f>
        <v/>
      </c>
      <c r="E96" s="242">
        <f>SUM(C13:E13)</f>
        <v/>
      </c>
      <c r="F96" s="242">
        <f>SUM(C13:F13)</f>
        <v/>
      </c>
      <c r="G96" s="242">
        <f>SUM(D13:G13)</f>
        <v/>
      </c>
      <c r="H96" s="242">
        <f>SUM(E13:H13)</f>
        <v/>
      </c>
      <c r="I96" s="242">
        <f>SUM(F13:I13)</f>
        <v/>
      </c>
      <c r="J96" s="242">
        <f>SUM(G13:J13)</f>
        <v/>
      </c>
      <c r="K96" s="242">
        <f>SUM(H13:K13)</f>
        <v/>
      </c>
      <c r="L96" s="242">
        <f>SUM(I13:L13)</f>
        <v/>
      </c>
      <c r="M96" s="242">
        <f>SUM(J13:M13)</f>
        <v/>
      </c>
      <c r="N96" s="242">
        <f>SUM(K13:N13)</f>
        <v/>
      </c>
      <c r="O96" s="242">
        <f>SUM(L13:O13)</f>
        <v/>
      </c>
      <c r="P96" s="242">
        <f>SUM(M13:P13)</f>
        <v/>
      </c>
      <c r="Q96" s="242">
        <f>SUM(N13:Q13)</f>
        <v/>
      </c>
      <c r="R96" s="242">
        <f>SUM(O13:R13)</f>
        <v/>
      </c>
      <c r="S96" s="242">
        <f>SUM(P13:S13)</f>
        <v/>
      </c>
      <c r="T96" s="242">
        <f>SUM(Q13:T13)</f>
        <v/>
      </c>
      <c r="U96" s="242">
        <f>SUM(R13:U13)</f>
        <v/>
      </c>
      <c r="V96" s="242">
        <f>SUM(S13:V13)</f>
        <v/>
      </c>
    </row>
    <row r="97">
      <c r="A97" s="165" t="inlineStr">
        <is>
          <t>LTM covenant EBITDA</t>
        </is>
      </c>
      <c r="B97" s="165" t="inlineStr">
        <is>
          <t>$mm</t>
        </is>
      </c>
      <c r="C97" s="242">
        <f>SUM(C14:C14)</f>
        <v/>
      </c>
      <c r="D97" s="242">
        <f>SUM(C14:D14)</f>
        <v/>
      </c>
      <c r="E97" s="242">
        <f>SUM(C14:E14)</f>
        <v/>
      </c>
      <c r="F97" s="242">
        <f>SUM(C14:F14)</f>
        <v/>
      </c>
      <c r="G97" s="242">
        <f>SUM(D14:G14)</f>
        <v/>
      </c>
      <c r="H97" s="242">
        <f>SUM(E14:H14)</f>
        <v/>
      </c>
      <c r="I97" s="242">
        <f>SUM(F14:I14)</f>
        <v/>
      </c>
      <c r="J97" s="242">
        <f>SUM(G14:J14)</f>
        <v/>
      </c>
      <c r="K97" s="242">
        <f>SUM(H14:K14)</f>
        <v/>
      </c>
      <c r="L97" s="242">
        <f>SUM(I14:L14)</f>
        <v/>
      </c>
      <c r="M97" s="242">
        <f>SUM(J14:M14)</f>
        <v/>
      </c>
      <c r="N97" s="242">
        <f>SUM(K14:N14)</f>
        <v/>
      </c>
      <c r="O97" s="242">
        <f>SUM(L14:O14)</f>
        <v/>
      </c>
      <c r="P97" s="242">
        <f>SUM(M14:P14)</f>
        <v/>
      </c>
      <c r="Q97" s="242">
        <f>SUM(N14:Q14)</f>
        <v/>
      </c>
      <c r="R97" s="242">
        <f>SUM(O14:R14)</f>
        <v/>
      </c>
      <c r="S97" s="242">
        <f>SUM(P14:S14)</f>
        <v/>
      </c>
      <c r="T97" s="242">
        <f>SUM(Q14:T14)</f>
        <v/>
      </c>
      <c r="U97" s="242">
        <f>SUM(R14:U14)</f>
        <v/>
      </c>
      <c r="V97" s="242">
        <f>SUM(S14:V14)</f>
        <v/>
      </c>
    </row>
    <row r="98">
      <c r="A98" s="165" t="inlineStr">
        <is>
          <t>Total net leverage</t>
        </is>
      </c>
      <c r="B98" s="165" t="inlineStr">
        <is>
          <t>x</t>
        </is>
      </c>
      <c r="C98" s="243">
        <f>C91/MAX(0.001,C97)</f>
        <v/>
      </c>
      <c r="D98" s="243">
        <f>D91/MAX(0.001,D97)</f>
        <v/>
      </c>
      <c r="E98" s="243">
        <f>E91/MAX(0.001,E97)</f>
        <v/>
      </c>
      <c r="F98" s="243">
        <f>F91/MAX(0.001,F97)</f>
        <v/>
      </c>
      <c r="G98" s="243">
        <f>G91/MAX(0.001,G97)</f>
        <v/>
      </c>
      <c r="H98" s="243">
        <f>H91/MAX(0.001,H97)</f>
        <v/>
      </c>
      <c r="I98" s="243">
        <f>I91/MAX(0.001,I97)</f>
        <v/>
      </c>
      <c r="J98" s="243">
        <f>J91/MAX(0.001,J97)</f>
        <v/>
      </c>
      <c r="K98" s="243">
        <f>K91/MAX(0.001,K97)</f>
        <v/>
      </c>
      <c r="L98" s="243">
        <f>L91/MAX(0.001,L97)</f>
        <v/>
      </c>
      <c r="M98" s="243">
        <f>M91/MAX(0.001,M97)</f>
        <v/>
      </c>
      <c r="N98" s="243">
        <f>N91/MAX(0.001,N97)</f>
        <v/>
      </c>
      <c r="O98" s="243">
        <f>O91/MAX(0.001,O97)</f>
        <v/>
      </c>
      <c r="P98" s="243">
        <f>P91/MAX(0.001,P97)</f>
        <v/>
      </c>
      <c r="Q98" s="243">
        <f>Q91/MAX(0.001,Q97)</f>
        <v/>
      </c>
      <c r="R98" s="243">
        <f>R91/MAX(0.001,R97)</f>
        <v/>
      </c>
      <c r="S98" s="243">
        <f>S91/MAX(0.001,S97)</f>
        <v/>
      </c>
      <c r="T98" s="243">
        <f>T91/MAX(0.001,T97)</f>
        <v/>
      </c>
      <c r="U98" s="243">
        <f>U91/MAX(0.001,U97)</f>
        <v/>
      </c>
      <c r="V98" s="243">
        <f>V91/MAX(0.001,V97)</f>
        <v/>
      </c>
    </row>
    <row r="99">
      <c r="A99" s="165" t="inlineStr">
        <is>
          <t>Gross leverage</t>
        </is>
      </c>
      <c r="B99" s="165" t="inlineStr">
        <is>
          <t>x</t>
        </is>
      </c>
      <c r="C99" s="243">
        <f>C89/MAX(0.001,C95)</f>
        <v/>
      </c>
      <c r="D99" s="243">
        <f>D89/MAX(0.001,D95)</f>
        <v/>
      </c>
      <c r="E99" s="243">
        <f>E89/MAX(0.001,E95)</f>
        <v/>
      </c>
      <c r="F99" s="243">
        <f>F89/MAX(0.001,F95)</f>
        <v/>
      </c>
      <c r="G99" s="243">
        <f>G89/MAX(0.001,G95)</f>
        <v/>
      </c>
      <c r="H99" s="243">
        <f>H89/MAX(0.001,H95)</f>
        <v/>
      </c>
      <c r="I99" s="243">
        <f>I89/MAX(0.001,I95)</f>
        <v/>
      </c>
      <c r="J99" s="243">
        <f>J89/MAX(0.001,J95)</f>
        <v/>
      </c>
      <c r="K99" s="243">
        <f>K89/MAX(0.001,K95)</f>
        <v/>
      </c>
      <c r="L99" s="243">
        <f>L89/MAX(0.001,L95)</f>
        <v/>
      </c>
      <c r="M99" s="243">
        <f>M89/MAX(0.001,M95)</f>
        <v/>
      </c>
      <c r="N99" s="243">
        <f>N89/MAX(0.001,N95)</f>
        <v/>
      </c>
      <c r="O99" s="243">
        <f>O89/MAX(0.001,O95)</f>
        <v/>
      </c>
      <c r="P99" s="243">
        <f>P89/MAX(0.001,P95)</f>
        <v/>
      </c>
      <c r="Q99" s="243">
        <f>Q89/MAX(0.001,Q95)</f>
        <v/>
      </c>
      <c r="R99" s="243">
        <f>R89/MAX(0.001,R95)</f>
        <v/>
      </c>
      <c r="S99" s="243">
        <f>S89/MAX(0.001,S95)</f>
        <v/>
      </c>
      <c r="T99" s="243">
        <f>T89/MAX(0.001,T95)</f>
        <v/>
      </c>
      <c r="U99" s="243">
        <f>U89/MAX(0.001,U95)</f>
        <v/>
      </c>
      <c r="V99" s="243">
        <f>V89/MAX(0.001,V95)</f>
        <v/>
      </c>
    </row>
    <row r="100">
      <c r="A100" s="165" t="inlineStr">
        <is>
          <t>Fixed charge coverage</t>
        </is>
      </c>
      <c r="B100" s="165" t="inlineStr">
        <is>
          <t>x</t>
        </is>
      </c>
      <c r="C100" s="243">
        <f>(C94-SUM(C27:C27)-SUM(C41:C41))/MAX(0.001,(-SUM(C22:C22)-SUM(C61:C61)-SUM(C62:C62)))</f>
        <v/>
      </c>
      <c r="D100" s="243">
        <f>(D94-SUM(C27:D27)-SUM(C41:D41))/MAX(0.001,(-SUM(C22:D22)-SUM(C61:D61)-SUM(C62:D62)))</f>
        <v/>
      </c>
      <c r="E100" s="243">
        <f>(E94-SUM(C27:E27)-SUM(C41:E41))/MAX(0.001,(-SUM(C22:E22)-SUM(C61:E61)-SUM(C62:E62)))</f>
        <v/>
      </c>
      <c r="F100" s="243">
        <f>(F94-SUM(C27:F27)-SUM(C41:F41))/MAX(0.001,(-SUM(C22:F22)-SUM(C61:F61)-SUM(C62:F62)))</f>
        <v/>
      </c>
      <c r="G100" s="243">
        <f>(G94-SUM(D27:G27)-SUM(D41:G41))/MAX(0.001,(-SUM(D22:G22)-SUM(D61:G61)-SUM(D62:G62)))</f>
        <v/>
      </c>
      <c r="H100" s="243">
        <f>(H94-SUM(E27:H27)-SUM(E41:H41))/MAX(0.001,(-SUM(E22:H22)-SUM(E61:H61)-SUM(E62:H62)))</f>
        <v/>
      </c>
      <c r="I100" s="243">
        <f>(I94-SUM(F27:I27)-SUM(F41:I41))/MAX(0.001,(-SUM(F22:I22)-SUM(F61:I61)-SUM(F62:I62)))</f>
        <v/>
      </c>
      <c r="J100" s="243">
        <f>(J94-SUM(G27:J27)-SUM(G41:J41))/MAX(0.001,(-SUM(G22:J22)-SUM(G61:J61)-SUM(G62:J62)))</f>
        <v/>
      </c>
      <c r="K100" s="243">
        <f>(K94-SUM(H27:K27)-SUM(H41:K41))/MAX(0.001,(-SUM(H22:K22)-SUM(H61:K61)-SUM(H62:K62)))</f>
        <v/>
      </c>
      <c r="L100" s="243">
        <f>(L94-SUM(I27:L27)-SUM(I41:L41))/MAX(0.001,(-SUM(I22:L22)-SUM(I61:L61)-SUM(I62:L62)))</f>
        <v/>
      </c>
      <c r="M100" s="243">
        <f>(M94-SUM(J27:M27)-SUM(J41:M41))/MAX(0.001,(-SUM(J22:M22)-SUM(J61:M61)-SUM(J62:M62)))</f>
        <v/>
      </c>
      <c r="N100" s="243">
        <f>(N94-SUM(K27:N27)-SUM(K41:N41))/MAX(0.001,(-SUM(K22:N22)-SUM(K61:N61)-SUM(K62:N62)))</f>
        <v/>
      </c>
      <c r="O100" s="243">
        <f>(O94-SUM(L27:O27)-SUM(L41:O41))/MAX(0.001,(-SUM(L22:O22)-SUM(L61:O61)-SUM(L62:O62)))</f>
        <v/>
      </c>
      <c r="P100" s="243">
        <f>(P94-SUM(M27:P27)-SUM(M41:P41))/MAX(0.001,(-SUM(M22:P22)-SUM(M61:P61)-SUM(M62:P62)))</f>
        <v/>
      </c>
      <c r="Q100" s="243">
        <f>(Q94-SUM(N27:Q27)-SUM(N41:Q41))/MAX(0.001,(-SUM(N22:Q22)-SUM(N61:Q61)-SUM(N62:Q62)))</f>
        <v/>
      </c>
      <c r="R100" s="243">
        <f>(R94-SUM(O27:R27)-SUM(O41:R41))/MAX(0.001,(-SUM(O22:R22)-SUM(O61:R61)-SUM(O62:R62)))</f>
        <v/>
      </c>
      <c r="S100" s="243">
        <f>(S94-SUM(P27:S27)-SUM(P41:S41))/MAX(0.001,(-SUM(P22:S22)-SUM(P61:S61)-SUM(P62:S62)))</f>
        <v/>
      </c>
      <c r="T100" s="243">
        <f>(T94-SUM(Q27:T27)-SUM(Q41:T41))/MAX(0.001,(-SUM(Q22:T22)-SUM(Q61:T61)-SUM(Q62:T62)))</f>
        <v/>
      </c>
      <c r="U100" s="243">
        <f>(U94-SUM(R27:U27)-SUM(R41:U41))/MAX(0.001,(-SUM(R22:U22)-SUM(R61:U61)-SUM(R62:U62)))</f>
        <v/>
      </c>
      <c r="V100" s="243">
        <f>(V94-SUM(S27:V27)-SUM(S41:V41))/MAX(0.001,(-SUM(S22:V22)-SUM(S61:V61)-SUM(S62:V62)))</f>
        <v/>
      </c>
    </row>
    <row r="101">
      <c r="A101" s="165" t="inlineStr">
        <is>
          <t>Revolver availability</t>
        </is>
      </c>
      <c r="B101" s="165" t="inlineStr">
        <is>
          <t>$mm</t>
        </is>
      </c>
      <c r="C101" s="242">
        <f>MAX(0,Inputs!$B$20-C78-'Scenario_Drivers'!C96)</f>
        <v/>
      </c>
      <c r="D101" s="242">
        <f>MAX(0,Inputs!$B$20-D78-'Scenario_Drivers'!D96)</f>
        <v/>
      </c>
      <c r="E101" s="242">
        <f>MAX(0,Inputs!$B$20-E78-'Scenario_Drivers'!E96)</f>
        <v/>
      </c>
      <c r="F101" s="242">
        <f>MAX(0,Inputs!$B$20-F78-'Scenario_Drivers'!F96)</f>
        <v/>
      </c>
      <c r="G101" s="242">
        <f>MAX(0,Inputs!$B$20-G78-'Scenario_Drivers'!G96)</f>
        <v/>
      </c>
      <c r="H101" s="242">
        <f>MAX(0,Inputs!$B$20-H78-'Scenario_Drivers'!H96)</f>
        <v/>
      </c>
      <c r="I101" s="242">
        <f>MAX(0,Inputs!$B$20-I78-'Scenario_Drivers'!I96)</f>
        <v/>
      </c>
      <c r="J101" s="242">
        <f>MAX(0,Inputs!$B$20-J78-'Scenario_Drivers'!J96)</f>
        <v/>
      </c>
      <c r="K101" s="242">
        <f>MAX(0,Inputs!$B$20-K78-'Scenario_Drivers'!K96)</f>
        <v/>
      </c>
      <c r="L101" s="242">
        <f>MAX(0,Inputs!$B$20-L78-'Scenario_Drivers'!L96)</f>
        <v/>
      </c>
      <c r="M101" s="242">
        <f>MAX(0,Inputs!$B$20-M78-'Scenario_Drivers'!M96)</f>
        <v/>
      </c>
      <c r="N101" s="242">
        <f>MAX(0,Inputs!$B$20-N78-'Scenario_Drivers'!N96)</f>
        <v/>
      </c>
      <c r="O101" s="242">
        <f>MAX(0,Inputs!$B$20-O78-'Scenario_Drivers'!O96)</f>
        <v/>
      </c>
      <c r="P101" s="242">
        <f>MAX(0,Inputs!$B$20-P78-'Scenario_Drivers'!P96)</f>
        <v/>
      </c>
      <c r="Q101" s="242">
        <f>MAX(0,Inputs!$B$20-Q78-'Scenario_Drivers'!Q96)</f>
        <v/>
      </c>
      <c r="R101" s="242">
        <f>MAX(0,Inputs!$B$20-R78-'Scenario_Drivers'!R96)</f>
        <v/>
      </c>
      <c r="S101" s="242">
        <f>MAX(0,Inputs!$B$20-S78-'Scenario_Drivers'!S96)</f>
        <v/>
      </c>
      <c r="T101" s="242">
        <f>MAX(0,Inputs!$B$20-T78-'Scenario_Drivers'!T96)</f>
        <v/>
      </c>
      <c r="U101" s="242">
        <f>MAX(0,Inputs!$B$20-U78-'Scenario_Drivers'!U96)</f>
        <v/>
      </c>
      <c r="V101" s="242">
        <f>MAX(0,Inputs!$B$20-V78-'Scenario_Drivers'!V96)</f>
        <v/>
      </c>
    </row>
    <row r="102">
      <c r="A102" s="165" t="inlineStr">
        <is>
          <t>Liquidity</t>
        </is>
      </c>
      <c r="B102" s="165" t="inlineStr">
        <is>
          <t>$mm</t>
        </is>
      </c>
      <c r="C102" s="242">
        <f>C67+C101</f>
        <v/>
      </c>
      <c r="D102" s="242">
        <f>D67+D101</f>
        <v/>
      </c>
      <c r="E102" s="242">
        <f>E67+E101</f>
        <v/>
      </c>
      <c r="F102" s="242">
        <f>F67+F101</f>
        <v/>
      </c>
      <c r="G102" s="242">
        <f>G67+G101</f>
        <v/>
      </c>
      <c r="H102" s="242">
        <f>H67+H101</f>
        <v/>
      </c>
      <c r="I102" s="242">
        <f>I67+I101</f>
        <v/>
      </c>
      <c r="J102" s="242">
        <f>J67+J101</f>
        <v/>
      </c>
      <c r="K102" s="242">
        <f>K67+K101</f>
        <v/>
      </c>
      <c r="L102" s="242">
        <f>L67+L101</f>
        <v/>
      </c>
      <c r="M102" s="242">
        <f>M67+M101</f>
        <v/>
      </c>
      <c r="N102" s="242">
        <f>N67+N101</f>
        <v/>
      </c>
      <c r="O102" s="242">
        <f>O67+O101</f>
        <v/>
      </c>
      <c r="P102" s="242">
        <f>P67+P101</f>
        <v/>
      </c>
      <c r="Q102" s="242">
        <f>Q67+Q101</f>
        <v/>
      </c>
      <c r="R102" s="242">
        <f>R67+R101</f>
        <v/>
      </c>
      <c r="S102" s="242">
        <f>S67+S101</f>
        <v/>
      </c>
      <c r="T102" s="242">
        <f>T67+T101</f>
        <v/>
      </c>
      <c r="U102" s="242">
        <f>U67+U101</f>
        <v/>
      </c>
      <c r="V102" s="242">
        <f>V67+V101</f>
        <v/>
      </c>
    </row>
    <row r="103">
      <c r="A103" s="165" t="inlineStr">
        <is>
          <t>Covenant limit</t>
        </is>
      </c>
      <c r="B103" s="165" t="inlineStr">
        <is>
          <t>x</t>
        </is>
      </c>
      <c r="C103" s="244">
        <f>'Scenario_Drivers'!C100</f>
        <v/>
      </c>
      <c r="D103" s="244">
        <f>'Scenario_Drivers'!D100</f>
        <v/>
      </c>
      <c r="E103" s="244">
        <f>'Scenario_Drivers'!E100</f>
        <v/>
      </c>
      <c r="F103" s="244">
        <f>'Scenario_Drivers'!F100</f>
        <v/>
      </c>
      <c r="G103" s="244">
        <f>'Scenario_Drivers'!G100</f>
        <v/>
      </c>
      <c r="H103" s="244">
        <f>'Scenario_Drivers'!H100</f>
        <v/>
      </c>
      <c r="I103" s="244">
        <f>'Scenario_Drivers'!I100</f>
        <v/>
      </c>
      <c r="J103" s="244">
        <f>'Scenario_Drivers'!J100</f>
        <v/>
      </c>
      <c r="K103" s="244">
        <f>'Scenario_Drivers'!K100</f>
        <v/>
      </c>
      <c r="L103" s="244">
        <f>'Scenario_Drivers'!L100</f>
        <v/>
      </c>
      <c r="M103" s="244">
        <f>'Scenario_Drivers'!M100</f>
        <v/>
      </c>
      <c r="N103" s="244">
        <f>'Scenario_Drivers'!N100</f>
        <v/>
      </c>
      <c r="O103" s="244">
        <f>'Scenario_Drivers'!O100</f>
        <v/>
      </c>
      <c r="P103" s="244">
        <f>'Scenario_Drivers'!P100</f>
        <v/>
      </c>
      <c r="Q103" s="244">
        <f>'Scenario_Drivers'!Q100</f>
        <v/>
      </c>
      <c r="R103" s="244">
        <f>'Scenario_Drivers'!R100</f>
        <v/>
      </c>
      <c r="S103" s="244">
        <f>'Scenario_Drivers'!S100</f>
        <v/>
      </c>
      <c r="T103" s="244">
        <f>'Scenario_Drivers'!T100</f>
        <v/>
      </c>
      <c r="U103" s="244">
        <f>'Scenario_Drivers'!U100</f>
        <v/>
      </c>
      <c r="V103" s="244">
        <f>'Scenario_Drivers'!V100</f>
        <v/>
      </c>
    </row>
    <row r="104">
      <c r="A104" s="165" t="inlineStr">
        <is>
          <t>Covenant headroom</t>
        </is>
      </c>
      <c r="B104" s="165" t="inlineStr">
        <is>
          <t>x</t>
        </is>
      </c>
      <c r="C104" s="243">
        <f>C103-C98</f>
        <v/>
      </c>
      <c r="D104" s="243">
        <f>D103-D98</f>
        <v/>
      </c>
      <c r="E104" s="243">
        <f>E103-E98</f>
        <v/>
      </c>
      <c r="F104" s="243">
        <f>F103-F98</f>
        <v/>
      </c>
      <c r="G104" s="243">
        <f>G103-G98</f>
        <v/>
      </c>
      <c r="H104" s="243">
        <f>H103-H98</f>
        <v/>
      </c>
      <c r="I104" s="243">
        <f>I103-I98</f>
        <v/>
      </c>
      <c r="J104" s="243">
        <f>J103-J98</f>
        <v/>
      </c>
      <c r="K104" s="243">
        <f>K103-K98</f>
        <v/>
      </c>
      <c r="L104" s="243">
        <f>L103-L98</f>
        <v/>
      </c>
      <c r="M104" s="243">
        <f>M103-M98</f>
        <v/>
      </c>
      <c r="N104" s="243">
        <f>N103-N98</f>
        <v/>
      </c>
      <c r="O104" s="243">
        <f>O103-O98</f>
        <v/>
      </c>
      <c r="P104" s="243">
        <f>P103-P98</f>
        <v/>
      </c>
      <c r="Q104" s="243">
        <f>Q103-Q98</f>
        <v/>
      </c>
      <c r="R104" s="243">
        <f>R103-R98</f>
        <v/>
      </c>
      <c r="S104" s="243">
        <f>S103-S98</f>
        <v/>
      </c>
      <c r="T104" s="243">
        <f>T103-T98</f>
        <v/>
      </c>
      <c r="U104" s="243">
        <f>U103-U98</f>
        <v/>
      </c>
      <c r="V104" s="243">
        <f>V103-V98</f>
        <v/>
      </c>
    </row>
    <row r="105">
      <c r="A105" s="165" t="inlineStr">
        <is>
          <t>20% add-back cap</t>
        </is>
      </c>
      <c r="B105" s="165" t="inlineStr">
        <is>
          <t>$mm</t>
        </is>
      </c>
      <c r="C105" s="242">
        <f>20%*C94</f>
        <v/>
      </c>
      <c r="D105" s="242">
        <f>20%*D94</f>
        <v/>
      </c>
      <c r="E105" s="242">
        <f>20%*E94</f>
        <v/>
      </c>
      <c r="F105" s="242">
        <f>20%*F94</f>
        <v/>
      </c>
      <c r="G105" s="242">
        <f>20%*G94</f>
        <v/>
      </c>
      <c r="H105" s="242">
        <f>20%*H94</f>
        <v/>
      </c>
      <c r="I105" s="242">
        <f>20%*I94</f>
        <v/>
      </c>
      <c r="J105" s="242">
        <f>20%*J94</f>
        <v/>
      </c>
      <c r="K105" s="242">
        <f>20%*K94</f>
        <v/>
      </c>
      <c r="L105" s="242">
        <f>20%*L94</f>
        <v/>
      </c>
      <c r="M105" s="242">
        <f>20%*M94</f>
        <v/>
      </c>
      <c r="N105" s="242">
        <f>20%*N94</f>
        <v/>
      </c>
      <c r="O105" s="242">
        <f>20%*O94</f>
        <v/>
      </c>
      <c r="P105" s="242">
        <f>20%*P94</f>
        <v/>
      </c>
      <c r="Q105" s="242">
        <f>20%*Q94</f>
        <v/>
      </c>
      <c r="R105" s="242">
        <f>20%*R94</f>
        <v/>
      </c>
      <c r="S105" s="242">
        <f>20%*S94</f>
        <v/>
      </c>
      <c r="T105" s="242">
        <f>20%*T94</f>
        <v/>
      </c>
      <c r="U105" s="242">
        <f>20%*U94</f>
        <v/>
      </c>
      <c r="V105" s="242">
        <f>20%*V94</f>
        <v/>
      </c>
    </row>
    <row r="106">
      <c r="A106" s="165" t="inlineStr">
        <is>
          <t>15% add-back cap</t>
        </is>
      </c>
      <c r="B106" s="165" t="inlineStr">
        <is>
          <t>$mm</t>
        </is>
      </c>
      <c r="C106" s="242">
        <f>15%*C94</f>
        <v/>
      </c>
      <c r="D106" s="242">
        <f>15%*D94</f>
        <v/>
      </c>
      <c r="E106" s="242">
        <f>15%*E94</f>
        <v/>
      </c>
      <c r="F106" s="242">
        <f>15%*F94</f>
        <v/>
      </c>
      <c r="G106" s="242">
        <f>15%*G94</f>
        <v/>
      </c>
      <c r="H106" s="242">
        <f>15%*H94</f>
        <v/>
      </c>
      <c r="I106" s="242">
        <f>15%*I94</f>
        <v/>
      </c>
      <c r="J106" s="242">
        <f>15%*J94</f>
        <v/>
      </c>
      <c r="K106" s="242">
        <f>15%*K94</f>
        <v/>
      </c>
      <c r="L106" s="242">
        <f>15%*L94</f>
        <v/>
      </c>
      <c r="M106" s="242">
        <f>15%*M94</f>
        <v/>
      </c>
      <c r="N106" s="242">
        <f>15%*N94</f>
        <v/>
      </c>
      <c r="O106" s="242">
        <f>15%*O94</f>
        <v/>
      </c>
      <c r="P106" s="242">
        <f>15%*P94</f>
        <v/>
      </c>
      <c r="Q106" s="242">
        <f>15%*Q94</f>
        <v/>
      </c>
      <c r="R106" s="242">
        <f>15%*R94</f>
        <v/>
      </c>
      <c r="S106" s="242">
        <f>15%*S94</f>
        <v/>
      </c>
      <c r="T106" s="242">
        <f>15%*T94</f>
        <v/>
      </c>
      <c r="U106" s="242">
        <f>15%*U94</f>
        <v/>
      </c>
      <c r="V106" s="242">
        <f>15%*V94</f>
        <v/>
      </c>
    </row>
    <row r="107">
      <c r="A107" s="165" t="inlineStr">
        <is>
          <t>Applicable add-back headroom</t>
        </is>
      </c>
      <c r="B107" s="165" t="inlineStr">
        <is>
          <t>$mm</t>
        </is>
      </c>
      <c r="C107" s="242">
        <f>C105-C96</f>
        <v/>
      </c>
      <c r="D107" s="242">
        <f>D105-D96</f>
        <v/>
      </c>
      <c r="E107" s="242">
        <f>E105-E96</f>
        <v/>
      </c>
      <c r="F107" s="242">
        <f>F105-F96</f>
        <v/>
      </c>
      <c r="G107" s="242">
        <f>G105-G96</f>
        <v/>
      </c>
      <c r="H107" s="242">
        <f>H105-H96</f>
        <v/>
      </c>
      <c r="I107" s="242">
        <f>I105-I96</f>
        <v/>
      </c>
      <c r="J107" s="242">
        <f>J105-J96</f>
        <v/>
      </c>
      <c r="K107" s="242">
        <f>K105-K96</f>
        <v/>
      </c>
      <c r="L107" s="242">
        <f>L105-L96</f>
        <v/>
      </c>
      <c r="M107" s="242">
        <f>M105-M96</f>
        <v/>
      </c>
      <c r="N107" s="242">
        <f>N105-N96</f>
        <v/>
      </c>
      <c r="O107" s="242">
        <f>O105-O96</f>
        <v/>
      </c>
      <c r="P107" s="242">
        <f>P105-P96</f>
        <v/>
      </c>
      <c r="Q107" s="242">
        <f>Q105-Q96</f>
        <v/>
      </c>
      <c r="R107" s="242">
        <f>R105-R96</f>
        <v/>
      </c>
      <c r="S107" s="242">
        <f>S105-S96</f>
        <v/>
      </c>
      <c r="T107" s="242">
        <f>T105-T96</f>
        <v/>
      </c>
      <c r="U107" s="242">
        <f>U105-U96</f>
        <v/>
      </c>
      <c r="V107" s="242">
        <f>V105-V96</f>
        <v/>
      </c>
    </row>
    <row r="108">
      <c r="A108" s="165" t="inlineStr">
        <is>
          <t>Minimum liquidity</t>
        </is>
      </c>
      <c r="B108" s="165" t="inlineStr">
        <is>
          <t>$mm</t>
        </is>
      </c>
      <c r="C108" s="242">
        <f>3.0</f>
        <v/>
      </c>
      <c r="D108" s="242">
        <f>3.0</f>
        <v/>
      </c>
      <c r="E108" s="242">
        <f>3.0</f>
        <v/>
      </c>
      <c r="F108" s="242">
        <f>3.0</f>
        <v/>
      </c>
      <c r="G108" s="242">
        <f>3.0</f>
        <v/>
      </c>
      <c r="H108" s="242">
        <f>3.0</f>
        <v/>
      </c>
      <c r="I108" s="242">
        <f>3.0</f>
        <v/>
      </c>
      <c r="J108" s="242">
        <f>3.0</f>
        <v/>
      </c>
      <c r="K108" s="242">
        <f>3.0</f>
        <v/>
      </c>
      <c r="L108" s="242">
        <f>3.0</f>
        <v/>
      </c>
      <c r="M108" s="242">
        <f>3.0</f>
        <v/>
      </c>
      <c r="N108" s="242">
        <f>3.0</f>
        <v/>
      </c>
      <c r="O108" s="242">
        <f>3.0</f>
        <v/>
      </c>
      <c r="P108" s="242">
        <f>3.0</f>
        <v/>
      </c>
      <c r="Q108" s="242">
        <f>3.0</f>
        <v/>
      </c>
      <c r="R108" s="242">
        <f>3.0</f>
        <v/>
      </c>
      <c r="S108" s="242">
        <f>3.0</f>
        <v/>
      </c>
      <c r="T108" s="242">
        <f>3.0</f>
        <v/>
      </c>
      <c r="U108" s="242">
        <f>3.0</f>
        <v/>
      </c>
      <c r="V108" s="242">
        <f>3.0</f>
        <v/>
      </c>
    </row>
    <row r="109">
      <c r="A109" s="165" t="inlineStr">
        <is>
          <t>Liquidity headroom</t>
        </is>
      </c>
      <c r="B109" s="165" t="inlineStr">
        <is>
          <t>$mm</t>
        </is>
      </c>
      <c r="C109" s="242">
        <f>C102-C108</f>
        <v/>
      </c>
      <c r="D109" s="242">
        <f>D102-D108</f>
        <v/>
      </c>
      <c r="E109" s="242">
        <f>E102-E108</f>
        <v/>
      </c>
      <c r="F109" s="242">
        <f>F102-F108</f>
        <v/>
      </c>
      <c r="G109" s="242">
        <f>G102-G108</f>
        <v/>
      </c>
      <c r="H109" s="242">
        <f>H102-H108</f>
        <v/>
      </c>
      <c r="I109" s="242">
        <f>I102-I108</f>
        <v/>
      </c>
      <c r="J109" s="242">
        <f>J102-J108</f>
        <v/>
      </c>
      <c r="K109" s="242">
        <f>K102-K108</f>
        <v/>
      </c>
      <c r="L109" s="242">
        <f>L102-L108</f>
        <v/>
      </c>
      <c r="M109" s="242">
        <f>M102-M108</f>
        <v/>
      </c>
      <c r="N109" s="242">
        <f>N102-N108</f>
        <v/>
      </c>
      <c r="O109" s="242">
        <f>O102-O108</f>
        <v/>
      </c>
      <c r="P109" s="242">
        <f>P102-P108</f>
        <v/>
      </c>
      <c r="Q109" s="242">
        <f>Q102-Q108</f>
        <v/>
      </c>
      <c r="R109" s="242">
        <f>R102-R108</f>
        <v/>
      </c>
      <c r="S109" s="242">
        <f>S102-S108</f>
        <v/>
      </c>
      <c r="T109" s="242">
        <f>T102-T108</f>
        <v/>
      </c>
      <c r="U109" s="242">
        <f>U102-U108</f>
        <v/>
      </c>
      <c r="V109" s="242">
        <f>V102-V108</f>
        <v/>
      </c>
    </row>
    <row r="110">
      <c r="A110" s="165" t="inlineStr">
        <is>
          <t>SOFR</t>
        </is>
      </c>
      <c r="B110" s="165" t="inlineStr">
        <is>
          <t>%</t>
        </is>
      </c>
      <c r="C110" s="241">
        <f>'Scenario_Drivers'!C101</f>
        <v/>
      </c>
      <c r="D110" s="241">
        <f>'Scenario_Drivers'!D101</f>
        <v/>
      </c>
      <c r="E110" s="241">
        <f>'Scenario_Drivers'!E101</f>
        <v/>
      </c>
      <c r="F110" s="241">
        <f>'Scenario_Drivers'!F101</f>
        <v/>
      </c>
      <c r="G110" s="241">
        <f>'Scenario_Drivers'!G101</f>
        <v/>
      </c>
      <c r="H110" s="241">
        <f>'Scenario_Drivers'!H101</f>
        <v/>
      </c>
      <c r="I110" s="241">
        <f>'Scenario_Drivers'!I101</f>
        <v/>
      </c>
      <c r="J110" s="241">
        <f>'Scenario_Drivers'!J101</f>
        <v/>
      </c>
      <c r="K110" s="241">
        <f>'Scenario_Drivers'!K101</f>
        <v/>
      </c>
      <c r="L110" s="241">
        <f>'Scenario_Drivers'!L101</f>
        <v/>
      </c>
      <c r="M110" s="241">
        <f>'Scenario_Drivers'!M101</f>
        <v/>
      </c>
      <c r="N110" s="241">
        <f>'Scenario_Drivers'!N101</f>
        <v/>
      </c>
      <c r="O110" s="241">
        <f>'Scenario_Drivers'!O101</f>
        <v/>
      </c>
      <c r="P110" s="241">
        <f>'Scenario_Drivers'!P101</f>
        <v/>
      </c>
      <c r="Q110" s="241">
        <f>'Scenario_Drivers'!Q101</f>
        <v/>
      </c>
      <c r="R110" s="241">
        <f>'Scenario_Drivers'!R101</f>
        <v/>
      </c>
      <c r="S110" s="241">
        <f>'Scenario_Drivers'!S101</f>
        <v/>
      </c>
      <c r="T110" s="241">
        <f>'Scenario_Drivers'!T101</f>
        <v/>
      </c>
      <c r="U110" s="241">
        <f>'Scenario_Drivers'!U101</f>
        <v/>
      </c>
      <c r="V110" s="241">
        <f>'Scenario_Drivers'!V101</f>
        <v/>
      </c>
    </row>
    <row r="111">
      <c r="A111" s="165" t="inlineStr">
        <is>
          <t>Term rate</t>
        </is>
      </c>
      <c r="B111" s="165" t="inlineStr">
        <is>
          <t>%</t>
        </is>
      </c>
      <c r="C111" s="240">
        <f>MAX('Scenario_Drivers'!C101,Inputs!$B$26)+Inputs!$B$23+'Scenario_Drivers'!C102</f>
        <v/>
      </c>
      <c r="D111" s="240">
        <f>MAX('Scenario_Drivers'!D101,Inputs!$B$26)+Inputs!$B$23+'Scenario_Drivers'!D102</f>
        <v/>
      </c>
      <c r="E111" s="240">
        <f>MAX('Scenario_Drivers'!E101,Inputs!$B$26)+Inputs!$B$23+'Scenario_Drivers'!E102</f>
        <v/>
      </c>
      <c r="F111" s="240">
        <f>MAX('Scenario_Drivers'!F101,Inputs!$B$26)+Inputs!$B$23+'Scenario_Drivers'!F102</f>
        <v/>
      </c>
      <c r="G111" s="240">
        <f>MAX('Scenario_Drivers'!G101,Inputs!$B$26)+Inputs!$B$23+'Scenario_Drivers'!G102</f>
        <v/>
      </c>
      <c r="H111" s="240">
        <f>MAX('Scenario_Drivers'!H101,Inputs!$B$26)+Inputs!$B$23+'Scenario_Drivers'!H102</f>
        <v/>
      </c>
      <c r="I111" s="240">
        <f>MAX('Scenario_Drivers'!I101,Inputs!$B$26)+Inputs!$B$23+'Scenario_Drivers'!I102</f>
        <v/>
      </c>
      <c r="J111" s="240">
        <f>MAX('Scenario_Drivers'!J101,Inputs!$B$26)+Inputs!$B$23+'Scenario_Drivers'!J102</f>
        <v/>
      </c>
      <c r="K111" s="240">
        <f>MAX('Scenario_Drivers'!K101,Inputs!$B$26)+Inputs!$B$23+'Scenario_Drivers'!K102</f>
        <v/>
      </c>
      <c r="L111" s="240">
        <f>MAX('Scenario_Drivers'!L101,Inputs!$B$26)+Inputs!$B$23+'Scenario_Drivers'!L102</f>
        <v/>
      </c>
      <c r="M111" s="240">
        <f>MAX('Scenario_Drivers'!M101,Inputs!$B$26)+Inputs!$B$23+'Scenario_Drivers'!M102</f>
        <v/>
      </c>
      <c r="N111" s="240">
        <f>MAX('Scenario_Drivers'!N101,Inputs!$B$26)+Inputs!$B$23+'Scenario_Drivers'!N102</f>
        <v/>
      </c>
      <c r="O111" s="240">
        <f>MAX('Scenario_Drivers'!O101,Inputs!$B$26)+Inputs!$B$23+'Scenario_Drivers'!O102</f>
        <v/>
      </c>
      <c r="P111" s="240">
        <f>MAX('Scenario_Drivers'!P101,Inputs!$B$26)+Inputs!$B$23+'Scenario_Drivers'!P102</f>
        <v/>
      </c>
      <c r="Q111" s="240">
        <f>MAX('Scenario_Drivers'!Q101,Inputs!$B$26)+Inputs!$B$23+'Scenario_Drivers'!Q102</f>
        <v/>
      </c>
      <c r="R111" s="240">
        <f>MAX('Scenario_Drivers'!R101,Inputs!$B$26)+Inputs!$B$23+'Scenario_Drivers'!R102</f>
        <v/>
      </c>
      <c r="S111" s="240">
        <f>MAX('Scenario_Drivers'!S101,Inputs!$B$26)+Inputs!$B$23+'Scenario_Drivers'!S102</f>
        <v/>
      </c>
      <c r="T111" s="240">
        <f>MAX('Scenario_Drivers'!T101,Inputs!$B$26)+Inputs!$B$23+'Scenario_Drivers'!T102</f>
        <v/>
      </c>
      <c r="U111" s="240">
        <f>MAX('Scenario_Drivers'!U101,Inputs!$B$26)+Inputs!$B$23+'Scenario_Drivers'!U102</f>
        <v/>
      </c>
      <c r="V111" s="240">
        <f>MAX('Scenario_Drivers'!V101,Inputs!$B$26)+Inputs!$B$23+'Scenario_Drivers'!V102</f>
        <v/>
      </c>
    </row>
    <row r="112">
      <c r="A112" s="165" t="inlineStr">
        <is>
          <t>DDTL rate</t>
        </is>
      </c>
      <c r="B112" s="165" t="inlineStr">
        <is>
          <t>%</t>
        </is>
      </c>
      <c r="C112" s="240">
        <f>MAX('Scenario_Drivers'!C101,Inputs!$B$26)+Inputs!$B$25+'Scenario_Drivers'!C102</f>
        <v/>
      </c>
      <c r="D112" s="240">
        <f>MAX('Scenario_Drivers'!D101,Inputs!$B$26)+Inputs!$B$25+'Scenario_Drivers'!D102</f>
        <v/>
      </c>
      <c r="E112" s="240">
        <f>MAX('Scenario_Drivers'!E101,Inputs!$B$26)+Inputs!$B$25+'Scenario_Drivers'!E102</f>
        <v/>
      </c>
      <c r="F112" s="240">
        <f>MAX('Scenario_Drivers'!F101,Inputs!$B$26)+Inputs!$B$25+'Scenario_Drivers'!F102</f>
        <v/>
      </c>
      <c r="G112" s="240">
        <f>MAX('Scenario_Drivers'!G101,Inputs!$B$26)+Inputs!$B$25+'Scenario_Drivers'!G102</f>
        <v/>
      </c>
      <c r="H112" s="240">
        <f>MAX('Scenario_Drivers'!H101,Inputs!$B$26)+Inputs!$B$25+'Scenario_Drivers'!H102</f>
        <v/>
      </c>
      <c r="I112" s="240">
        <f>MAX('Scenario_Drivers'!I101,Inputs!$B$26)+Inputs!$B$25+'Scenario_Drivers'!I102</f>
        <v/>
      </c>
      <c r="J112" s="240">
        <f>MAX('Scenario_Drivers'!J101,Inputs!$B$26)+Inputs!$B$25+'Scenario_Drivers'!J102</f>
        <v/>
      </c>
      <c r="K112" s="240">
        <f>MAX('Scenario_Drivers'!K101,Inputs!$B$26)+Inputs!$B$25+'Scenario_Drivers'!K102</f>
        <v/>
      </c>
      <c r="L112" s="240">
        <f>MAX('Scenario_Drivers'!L101,Inputs!$B$26)+Inputs!$B$25+'Scenario_Drivers'!L102</f>
        <v/>
      </c>
      <c r="M112" s="240">
        <f>MAX('Scenario_Drivers'!M101,Inputs!$B$26)+Inputs!$B$25+'Scenario_Drivers'!M102</f>
        <v/>
      </c>
      <c r="N112" s="240">
        <f>MAX('Scenario_Drivers'!N101,Inputs!$B$26)+Inputs!$B$25+'Scenario_Drivers'!N102</f>
        <v/>
      </c>
      <c r="O112" s="240">
        <f>MAX('Scenario_Drivers'!O101,Inputs!$B$26)+Inputs!$B$25+'Scenario_Drivers'!O102</f>
        <v/>
      </c>
      <c r="P112" s="240">
        <f>MAX('Scenario_Drivers'!P101,Inputs!$B$26)+Inputs!$B$25+'Scenario_Drivers'!P102</f>
        <v/>
      </c>
      <c r="Q112" s="240">
        <f>MAX('Scenario_Drivers'!Q101,Inputs!$B$26)+Inputs!$B$25+'Scenario_Drivers'!Q102</f>
        <v/>
      </c>
      <c r="R112" s="240">
        <f>MAX('Scenario_Drivers'!R101,Inputs!$B$26)+Inputs!$B$25+'Scenario_Drivers'!R102</f>
        <v/>
      </c>
      <c r="S112" s="240">
        <f>MAX('Scenario_Drivers'!S101,Inputs!$B$26)+Inputs!$B$25+'Scenario_Drivers'!S102</f>
        <v/>
      </c>
      <c r="T112" s="240">
        <f>MAX('Scenario_Drivers'!T101,Inputs!$B$26)+Inputs!$B$25+'Scenario_Drivers'!T102</f>
        <v/>
      </c>
      <c r="U112" s="240">
        <f>MAX('Scenario_Drivers'!U101,Inputs!$B$26)+Inputs!$B$25+'Scenario_Drivers'!U102</f>
        <v/>
      </c>
      <c r="V112" s="240">
        <f>MAX('Scenario_Drivers'!V101,Inputs!$B$26)+Inputs!$B$25+'Scenario_Drivers'!V102</f>
        <v/>
      </c>
    </row>
    <row r="113">
      <c r="A113" s="165" t="inlineStr">
        <is>
          <t>Revolver rate</t>
        </is>
      </c>
      <c r="B113" s="165" t="inlineStr">
        <is>
          <t>%</t>
        </is>
      </c>
      <c r="C113" s="240">
        <f>MAX('Scenario_Drivers'!C101,Inputs!$B$26)+Inputs!$B$24+'Scenario_Drivers'!C102</f>
        <v/>
      </c>
      <c r="D113" s="240">
        <f>MAX('Scenario_Drivers'!D101,Inputs!$B$26)+Inputs!$B$24+'Scenario_Drivers'!D102</f>
        <v/>
      </c>
      <c r="E113" s="240">
        <f>MAX('Scenario_Drivers'!E101,Inputs!$B$26)+Inputs!$B$24+'Scenario_Drivers'!E102</f>
        <v/>
      </c>
      <c r="F113" s="240">
        <f>MAX('Scenario_Drivers'!F101,Inputs!$B$26)+Inputs!$B$24+'Scenario_Drivers'!F102</f>
        <v/>
      </c>
      <c r="G113" s="240">
        <f>MAX('Scenario_Drivers'!G101,Inputs!$B$26)+Inputs!$B$24+'Scenario_Drivers'!G102</f>
        <v/>
      </c>
      <c r="H113" s="240">
        <f>MAX('Scenario_Drivers'!H101,Inputs!$B$26)+Inputs!$B$24+'Scenario_Drivers'!H102</f>
        <v/>
      </c>
      <c r="I113" s="240">
        <f>MAX('Scenario_Drivers'!I101,Inputs!$B$26)+Inputs!$B$24+'Scenario_Drivers'!I102</f>
        <v/>
      </c>
      <c r="J113" s="240">
        <f>MAX('Scenario_Drivers'!J101,Inputs!$B$26)+Inputs!$B$24+'Scenario_Drivers'!J102</f>
        <v/>
      </c>
      <c r="K113" s="240">
        <f>MAX('Scenario_Drivers'!K101,Inputs!$B$26)+Inputs!$B$24+'Scenario_Drivers'!K102</f>
        <v/>
      </c>
      <c r="L113" s="240">
        <f>MAX('Scenario_Drivers'!L101,Inputs!$B$26)+Inputs!$B$24+'Scenario_Drivers'!L102</f>
        <v/>
      </c>
      <c r="M113" s="240">
        <f>MAX('Scenario_Drivers'!M101,Inputs!$B$26)+Inputs!$B$24+'Scenario_Drivers'!M102</f>
        <v/>
      </c>
      <c r="N113" s="240">
        <f>MAX('Scenario_Drivers'!N101,Inputs!$B$26)+Inputs!$B$24+'Scenario_Drivers'!N102</f>
        <v/>
      </c>
      <c r="O113" s="240">
        <f>MAX('Scenario_Drivers'!O101,Inputs!$B$26)+Inputs!$B$24+'Scenario_Drivers'!O102</f>
        <v/>
      </c>
      <c r="P113" s="240">
        <f>MAX('Scenario_Drivers'!P101,Inputs!$B$26)+Inputs!$B$24+'Scenario_Drivers'!P102</f>
        <v/>
      </c>
      <c r="Q113" s="240">
        <f>MAX('Scenario_Drivers'!Q101,Inputs!$B$26)+Inputs!$B$24+'Scenario_Drivers'!Q102</f>
        <v/>
      </c>
      <c r="R113" s="240">
        <f>MAX('Scenario_Drivers'!R101,Inputs!$B$26)+Inputs!$B$24+'Scenario_Drivers'!R102</f>
        <v/>
      </c>
      <c r="S113" s="240">
        <f>MAX('Scenario_Drivers'!S101,Inputs!$B$26)+Inputs!$B$24+'Scenario_Drivers'!S102</f>
        <v/>
      </c>
      <c r="T113" s="240">
        <f>MAX('Scenario_Drivers'!T101,Inputs!$B$26)+Inputs!$B$24+'Scenario_Drivers'!T102</f>
        <v/>
      </c>
      <c r="U113" s="240">
        <f>MAX('Scenario_Drivers'!U101,Inputs!$B$26)+Inputs!$B$24+'Scenario_Drivers'!U102</f>
        <v/>
      </c>
      <c r="V113" s="240">
        <f>MAX('Scenario_Drivers'!V101,Inputs!$B$26)+Inputs!$B$24+'Scenario_Drivers'!V102</f>
        <v/>
      </c>
    </row>
    <row r="114">
      <c r="A114" s="165" t="inlineStr">
        <is>
          <t>Interest carryforward</t>
        </is>
      </c>
      <c r="B114" s="165" t="inlineStr">
        <is>
          <t>$mm</t>
        </is>
      </c>
      <c r="C114" s="242">
        <f>MAX(0,0-C22-(MIN(-C22+0,MAX(0,Inputs!$B$16*C12))))</f>
        <v/>
      </c>
      <c r="D114" s="242">
        <f>MAX(0,C114-D22-(MIN(-D22+C114,MAX(0,Inputs!$B$16*D12))))</f>
        <v/>
      </c>
      <c r="E114" s="242">
        <f>MAX(0,D114-E22-(MIN(-E22+D114,MAX(0,Inputs!$B$16*E12))))</f>
        <v/>
      </c>
      <c r="F114" s="242">
        <f>MAX(0,E114-F22-(MIN(-F22+E114,MAX(0,Inputs!$B$16*F12))))</f>
        <v/>
      </c>
      <c r="G114" s="242">
        <f>MAX(0,F114-G22-(MIN(-G22+F114,MAX(0,Inputs!$B$16*G12))))</f>
        <v/>
      </c>
      <c r="H114" s="242">
        <f>MAX(0,G114-H22-(MIN(-H22+G114,MAX(0,Inputs!$B$16*H12))))</f>
        <v/>
      </c>
      <c r="I114" s="242">
        <f>MAX(0,H114-I22-(MIN(-I22+H114,MAX(0,Inputs!$B$16*I12))))</f>
        <v/>
      </c>
      <c r="J114" s="242">
        <f>MAX(0,I114-J22-(MIN(-J22+I114,MAX(0,Inputs!$B$16*J12))))</f>
        <v/>
      </c>
      <c r="K114" s="242">
        <f>MAX(0,J114-K22-(MIN(-K22+J114,MAX(0,Inputs!$B$16*K12))))</f>
        <v/>
      </c>
      <c r="L114" s="242">
        <f>MAX(0,K114-L22-(MIN(-L22+K114,MAX(0,Inputs!$B$16*L12))))</f>
        <v/>
      </c>
      <c r="M114" s="242">
        <f>MAX(0,L114-M22-(MIN(-M22+L114,MAX(0,Inputs!$B$16*M12))))</f>
        <v/>
      </c>
      <c r="N114" s="242">
        <f>MAX(0,M114-N22-(MIN(-N22+M114,MAX(0,Inputs!$B$16*N12))))</f>
        <v/>
      </c>
      <c r="O114" s="242">
        <f>MAX(0,N114-O22-(MIN(-O22+N114,MAX(0,Inputs!$B$16*O12))))</f>
        <v/>
      </c>
      <c r="P114" s="242">
        <f>MAX(0,O114-P22-(MIN(-P22+O114,MAX(0,Inputs!$B$16*P12))))</f>
        <v/>
      </c>
      <c r="Q114" s="242">
        <f>MAX(0,P114-Q22-(MIN(-Q22+P114,MAX(0,Inputs!$B$16*Q12))))</f>
        <v/>
      </c>
      <c r="R114" s="242">
        <f>MAX(0,Q114-R22-(MIN(-R22+Q114,MAX(0,Inputs!$B$16*R12))))</f>
        <v/>
      </c>
      <c r="S114" s="242">
        <f>MAX(0,R114-S22-(MIN(-S22+R114,MAX(0,Inputs!$B$16*S12))))</f>
        <v/>
      </c>
      <c r="T114" s="242">
        <f>MAX(0,S114-T22-(MIN(-T22+S114,MAX(0,Inputs!$B$16*T12))))</f>
        <v/>
      </c>
      <c r="U114" s="242">
        <f>MAX(0,T114-U22-(MIN(-U22+T114,MAX(0,Inputs!$B$16*U12))))</f>
        <v/>
      </c>
      <c r="V114" s="242">
        <f>MAX(0,U114-V22-(MIN(-V22+U114,MAX(0,Inputs!$B$16*V12))))</f>
        <v/>
      </c>
    </row>
    <row r="115">
      <c r="A115" s="165" t="inlineStr">
        <is>
          <t>NOL carryforward</t>
        </is>
      </c>
      <c r="B115" s="165" t="inlineStr">
        <is>
          <t>$mm</t>
        </is>
      </c>
      <c r="C115" s="242">
        <f>MAX(0,0-C116)</f>
        <v/>
      </c>
      <c r="D115" s="242">
        <f>MAX(0,C115-D116)</f>
        <v/>
      </c>
      <c r="E115" s="242">
        <f>MAX(0,D115-E116)</f>
        <v/>
      </c>
      <c r="F115" s="242">
        <f>MAX(0,E115-F116)</f>
        <v/>
      </c>
      <c r="G115" s="242">
        <f>MAX(0,F115-G116)</f>
        <v/>
      </c>
      <c r="H115" s="242">
        <f>MAX(0,G115-H116)</f>
        <v/>
      </c>
      <c r="I115" s="242">
        <f>MAX(0,H115-I116)</f>
        <v/>
      </c>
      <c r="J115" s="242">
        <f>MAX(0,I115-J116)</f>
        <v/>
      </c>
      <c r="K115" s="242">
        <f>MAX(0,J115-K116)</f>
        <v/>
      </c>
      <c r="L115" s="242">
        <f>MAX(0,K115-L116)</f>
        <v/>
      </c>
      <c r="M115" s="242">
        <f>MAX(0,L115-M116)</f>
        <v/>
      </c>
      <c r="N115" s="242">
        <f>MAX(0,M115-N116)</f>
        <v/>
      </c>
      <c r="O115" s="242">
        <f>MAX(0,N115-O116)</f>
        <v/>
      </c>
      <c r="P115" s="242">
        <f>MAX(0,O115-P116)</f>
        <v/>
      </c>
      <c r="Q115" s="242">
        <f>MAX(0,P115-Q116)</f>
        <v/>
      </c>
      <c r="R115" s="242">
        <f>MAX(0,Q115-R116)</f>
        <v/>
      </c>
      <c r="S115" s="242">
        <f>MAX(0,R115-S116)</f>
        <v/>
      </c>
      <c r="T115" s="242">
        <f>MAX(0,S115-T116)</f>
        <v/>
      </c>
      <c r="U115" s="242">
        <f>MAX(0,T115-U116)</f>
        <v/>
      </c>
      <c r="V115" s="242">
        <f>MAX(0,U115-V116)</f>
        <v/>
      </c>
    </row>
    <row r="116">
      <c r="A116" s="165" t="inlineStr">
        <is>
          <t>Taxable income</t>
        </is>
      </c>
      <c r="B116" s="165" t="inlineStr">
        <is>
          <t>$mm</t>
        </is>
      </c>
      <c r="C116" s="242">
        <f>MAX(0,C12-C17-(MIN(-C22+0,MAX(0,Inputs!$B$16*C12))))</f>
        <v/>
      </c>
      <c r="D116" s="242">
        <f>MAX(0,D12-D17-(MIN(-D22+C114,MAX(0,Inputs!$B$16*D12))))</f>
        <v/>
      </c>
      <c r="E116" s="242">
        <f>MAX(0,E12-E17-(MIN(-E22+D114,MAX(0,Inputs!$B$16*E12))))</f>
        <v/>
      </c>
      <c r="F116" s="242">
        <f>MAX(0,F12-F17-(MIN(-F22+E114,MAX(0,Inputs!$B$16*F12))))</f>
        <v/>
      </c>
      <c r="G116" s="242">
        <f>MAX(0,G12-G17-(MIN(-G22+F114,MAX(0,Inputs!$B$16*G12))))</f>
        <v/>
      </c>
      <c r="H116" s="242">
        <f>MAX(0,H12-H17-(MIN(-H22+G114,MAX(0,Inputs!$B$16*H12))))</f>
        <v/>
      </c>
      <c r="I116" s="242">
        <f>MAX(0,I12-I17-(MIN(-I22+H114,MAX(0,Inputs!$B$16*I12))))</f>
        <v/>
      </c>
      <c r="J116" s="242">
        <f>MAX(0,J12-J17-(MIN(-J22+I114,MAX(0,Inputs!$B$16*J12))))</f>
        <v/>
      </c>
      <c r="K116" s="242">
        <f>MAX(0,K12-K17-(MIN(-K22+J114,MAX(0,Inputs!$B$16*K12))))</f>
        <v/>
      </c>
      <c r="L116" s="242">
        <f>MAX(0,L12-L17-(MIN(-L22+K114,MAX(0,Inputs!$B$16*L12))))</f>
        <v/>
      </c>
      <c r="M116" s="242">
        <f>MAX(0,M12-M17-(MIN(-M22+L114,MAX(0,Inputs!$B$16*M12))))</f>
        <v/>
      </c>
      <c r="N116" s="242">
        <f>MAX(0,N12-N17-(MIN(-N22+M114,MAX(0,Inputs!$B$16*N12))))</f>
        <v/>
      </c>
      <c r="O116" s="242">
        <f>MAX(0,O12-O17-(MIN(-O22+N114,MAX(0,Inputs!$B$16*O12))))</f>
        <v/>
      </c>
      <c r="P116" s="242">
        <f>MAX(0,P12-P17-(MIN(-P22+O114,MAX(0,Inputs!$B$16*P12))))</f>
        <v/>
      </c>
      <c r="Q116" s="242">
        <f>MAX(0,Q12-Q17-(MIN(-Q22+P114,MAX(0,Inputs!$B$16*Q12))))</f>
        <v/>
      </c>
      <c r="R116" s="242">
        <f>MAX(0,R12-R17-(MIN(-R22+Q114,MAX(0,Inputs!$B$16*R12))))</f>
        <v/>
      </c>
      <c r="S116" s="242">
        <f>MAX(0,S12-S17-(MIN(-S22+R114,MAX(0,Inputs!$B$16*S12))))</f>
        <v/>
      </c>
      <c r="T116" s="242">
        <f>MAX(0,T12-T17-(MIN(-T22+S114,MAX(0,Inputs!$B$16*T12))))</f>
        <v/>
      </c>
      <c r="U116" s="242">
        <f>MAX(0,U12-U17-(MIN(-U22+T114,MAX(0,Inputs!$B$16*U12))))</f>
        <v/>
      </c>
      <c r="V116" s="242">
        <f>MAX(0,V12-V17-(MIN(-V22+U114,MAX(0,Inputs!$B$16*V12))))</f>
        <v/>
      </c>
    </row>
    <row r="117">
      <c r="A117" s="165" t="n"/>
      <c r="B117" s="165" t="n"/>
      <c r="C117" s="154" t="n"/>
      <c r="D117" s="154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</row>
    <row r="118">
      <c r="A118" s="165" t="n"/>
      <c r="B118" s="165" t="n"/>
      <c r="C118" s="154" t="n"/>
      <c r="D118" s="154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</row>
    <row r="119">
      <c r="A119" s="165" t="n"/>
      <c r="B119" s="165" t="n"/>
      <c r="C119" s="154" t="n"/>
      <c r="D119" s="154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</row>
    <row r="120">
      <c r="A120" s="165" t="n"/>
      <c r="B120" s="165" t="n"/>
      <c r="C120" s="154" t="n"/>
      <c r="D120" s="154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</row>
    <row r="121">
      <c r="A121" s="165" t="n"/>
      <c r="B121" s="165" t="n"/>
      <c r="C121" s="154" t="n"/>
      <c r="D121" s="154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</row>
    <row r="122">
      <c r="A122" s="165" t="n"/>
      <c r="B122" s="165" t="n"/>
      <c r="C122" s="154" t="n"/>
      <c r="D122" s="154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</row>
    <row r="123">
      <c r="A123" s="165" t="n"/>
      <c r="B123" s="165" t="n"/>
      <c r="C123" s="154" t="n"/>
      <c r="D123" s="154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</row>
    <row r="124">
      <c r="A124" s="165" t="n"/>
      <c r="B124" s="165" t="n"/>
      <c r="C124" s="154" t="n"/>
      <c r="D124" s="154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</row>
    <row r="125">
      <c r="A125" s="165" t="n"/>
      <c r="B125" s="165" t="n"/>
      <c r="C125" s="154" t="n"/>
      <c r="D125" s="154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</row>
    <row r="126">
      <c r="A126" s="165" t="n"/>
      <c r="B126" s="165" t="n"/>
      <c r="C126" s="154" t="n"/>
      <c r="D126" s="154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</row>
    <row r="127">
      <c r="A127" s="165" t="n"/>
      <c r="B127" s="165" t="n"/>
      <c r="C127" s="154" t="n"/>
      <c r="D127" s="154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</row>
    <row r="128">
      <c r="A128" s="165" t="n"/>
      <c r="B128" s="165" t="n"/>
      <c r="C128" s="154" t="n"/>
      <c r="D128" s="154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</row>
    <row r="129">
      <c r="A129" s="165" t="n"/>
      <c r="B129" s="165" t="n"/>
      <c r="C129" s="154" t="n"/>
      <c r="D129" s="154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</row>
    <row r="130">
      <c r="A130" s="165" t="n"/>
      <c r="B130" s="165" t="n"/>
      <c r="C130" s="154" t="n"/>
      <c r="D130" s="154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</row>
    <row r="131">
      <c r="A131" s="165" t="n"/>
      <c r="B131" s="165" t="n"/>
      <c r="C131" s="154" t="n"/>
      <c r="D131" s="154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</row>
    <row r="132">
      <c r="A132" s="165" t="n"/>
      <c r="B132" s="165" t="n"/>
      <c r="C132" s="154" t="n"/>
      <c r="D132" s="154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</row>
    <row r="133">
      <c r="A133" s="165" t="n"/>
      <c r="B133" s="165" t="n"/>
      <c r="C133" s="154" t="n"/>
      <c r="D133" s="154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</row>
    <row r="134">
      <c r="A134" s="165" t="n"/>
      <c r="B134" s="165" t="n"/>
      <c r="C134" s="154" t="n"/>
      <c r="D134" s="154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</row>
    <row r="135">
      <c r="A135" s="165" t="n"/>
      <c r="B135" s="165" t="n"/>
      <c r="C135" s="154" t="n"/>
      <c r="D135" s="154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</row>
    <row r="136">
      <c r="A136" s="165" t="n"/>
      <c r="B136" s="165" t="n"/>
      <c r="C136" s="154" t="n"/>
      <c r="D136" s="154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</row>
    <row r="137">
      <c r="A137" s="165" t="n"/>
      <c r="B137" s="165" t="n"/>
      <c r="C137" s="154" t="n"/>
      <c r="D137" s="154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</row>
    <row r="138">
      <c r="A138" s="165" t="n"/>
      <c r="B138" s="165" t="n"/>
      <c r="C138" s="154" t="n"/>
      <c r="D138" s="154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</row>
    <row r="139">
      <c r="A139" s="165" t="n"/>
      <c r="B139" s="165" t="n"/>
      <c r="C139" s="154" t="n"/>
      <c r="D139" s="154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</row>
    <row r="140">
      <c r="A140" s="165" t="n"/>
      <c r="B140" s="165" t="n"/>
      <c r="C140" s="154" t="n"/>
      <c r="D140" s="154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</row>
  </sheetData>
  <mergeCells count="7">
    <mergeCell ref="A16:V16"/>
    <mergeCell ref="A68:V68"/>
    <mergeCell ref="A1:V1"/>
    <mergeCell ref="A46:V46"/>
    <mergeCell ref="A88:V88"/>
    <mergeCell ref="A29:V29"/>
    <mergeCell ref="A4:V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26" customHeight="1">
      <c r="A1" s="9" t="inlineStr">
        <is>
          <t>Project Keystone - Acquisition Base Quarterly LBO ($mm)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30" t="n"/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</row>
    <row r="3">
      <c r="A3" s="164" t="inlineStr">
        <is>
          <t>Line Item</t>
        </is>
      </c>
      <c r="B3" s="164" t="inlineStr">
        <is>
          <t>Unit</t>
        </is>
      </c>
      <c r="C3" s="238" t="n">
        <v>46203</v>
      </c>
      <c r="D3" s="238" t="n">
        <v>46295</v>
      </c>
      <c r="E3" s="238" t="n">
        <v>46387</v>
      </c>
      <c r="F3" s="238" t="n">
        <v>46477</v>
      </c>
      <c r="G3" s="238" t="n">
        <v>46568</v>
      </c>
      <c r="H3" s="238" t="n">
        <v>46660</v>
      </c>
      <c r="I3" s="238" t="n">
        <v>46752</v>
      </c>
      <c r="J3" s="238" t="n">
        <v>46843</v>
      </c>
      <c r="K3" s="238" t="n">
        <v>46934</v>
      </c>
      <c r="L3" s="238" t="n">
        <v>47026</v>
      </c>
      <c r="M3" s="238" t="n">
        <v>47118</v>
      </c>
      <c r="N3" s="238" t="n">
        <v>47208</v>
      </c>
      <c r="O3" s="238" t="n">
        <v>47299</v>
      </c>
      <c r="P3" s="238" t="n">
        <v>47391</v>
      </c>
      <c r="Q3" s="238" t="n">
        <v>47483</v>
      </c>
      <c r="R3" s="238" t="n">
        <v>47573</v>
      </c>
      <c r="S3" s="238" t="n">
        <v>47664</v>
      </c>
      <c r="T3" s="238" t="n">
        <v>47756</v>
      </c>
      <c r="U3" s="238" t="n">
        <v>47848</v>
      </c>
      <c r="V3" s="238" t="n">
        <v>47938</v>
      </c>
    </row>
    <row r="4">
      <c r="A4" s="39" t="inlineStr">
        <is>
          <t>Operating Model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s="165" t="inlineStr">
        <is>
          <t>Revenue</t>
        </is>
      </c>
      <c r="B5" s="165" t="inlineStr">
        <is>
          <t>$mm</t>
        </is>
      </c>
      <c r="C5" s="239">
        <f>'Scenario_Drivers'!C107</f>
        <v/>
      </c>
      <c r="D5" s="239">
        <f>'Scenario_Drivers'!D107</f>
        <v/>
      </c>
      <c r="E5" s="239">
        <f>'Scenario_Drivers'!E107</f>
        <v/>
      </c>
      <c r="F5" s="239">
        <f>'Scenario_Drivers'!F107</f>
        <v/>
      </c>
      <c r="G5" s="239">
        <f>'Scenario_Drivers'!G107</f>
        <v/>
      </c>
      <c r="H5" s="239">
        <f>'Scenario_Drivers'!H107</f>
        <v/>
      </c>
      <c r="I5" s="239">
        <f>'Scenario_Drivers'!I107</f>
        <v/>
      </c>
      <c r="J5" s="239">
        <f>'Scenario_Drivers'!J107</f>
        <v/>
      </c>
      <c r="K5" s="239">
        <f>'Scenario_Drivers'!K107</f>
        <v/>
      </c>
      <c r="L5" s="239">
        <f>'Scenario_Drivers'!L107</f>
        <v/>
      </c>
      <c r="M5" s="239">
        <f>'Scenario_Drivers'!M107</f>
        <v/>
      </c>
      <c r="N5" s="239">
        <f>'Scenario_Drivers'!N107</f>
        <v/>
      </c>
      <c r="O5" s="239">
        <f>'Scenario_Drivers'!O107</f>
        <v/>
      </c>
      <c r="P5" s="239">
        <f>'Scenario_Drivers'!P107</f>
        <v/>
      </c>
      <c r="Q5" s="239">
        <f>'Scenario_Drivers'!Q107</f>
        <v/>
      </c>
      <c r="R5" s="239">
        <f>'Scenario_Drivers'!R107</f>
        <v/>
      </c>
      <c r="S5" s="239">
        <f>'Scenario_Drivers'!S107</f>
        <v/>
      </c>
      <c r="T5" s="239">
        <f>'Scenario_Drivers'!T107</f>
        <v/>
      </c>
      <c r="U5" s="239">
        <f>'Scenario_Drivers'!U107</f>
        <v/>
      </c>
      <c r="V5" s="239">
        <f>'Scenario_Drivers'!V107</f>
        <v/>
      </c>
    </row>
    <row r="6">
      <c r="A6" s="165" t="inlineStr">
        <is>
          <t>Growth</t>
        </is>
      </c>
      <c r="B6" s="165" t="inlineStr">
        <is>
          <t>%</t>
        </is>
      </c>
      <c r="C6" s="240">
        <f>C5/(74.0*'Scenario_Drivers'!C138)-1</f>
        <v/>
      </c>
      <c r="D6" s="240">
        <f>D5/C5-1</f>
        <v/>
      </c>
      <c r="E6" s="240">
        <f>E5/D5-1</f>
        <v/>
      </c>
      <c r="F6" s="240">
        <f>F5/V5-1</f>
        <v/>
      </c>
      <c r="G6" s="240">
        <f>G5/F5-1</f>
        <v/>
      </c>
      <c r="H6" s="240">
        <f>H5/G5-1</f>
        <v/>
      </c>
      <c r="I6" s="240">
        <f>I5/H5-1</f>
        <v/>
      </c>
      <c r="J6" s="240">
        <f>J5/F5-1</f>
        <v/>
      </c>
      <c r="K6" s="240">
        <f>K5/J5-1</f>
        <v/>
      </c>
      <c r="L6" s="240">
        <f>L5/K5-1</f>
        <v/>
      </c>
      <c r="M6" s="240">
        <f>M5/L5-1</f>
        <v/>
      </c>
      <c r="N6" s="240">
        <f>N5/J5-1</f>
        <v/>
      </c>
      <c r="O6" s="240">
        <f>O5/N5-1</f>
        <v/>
      </c>
      <c r="P6" s="240">
        <f>P5/O5-1</f>
        <v/>
      </c>
      <c r="Q6" s="240">
        <f>Q5/P5-1</f>
        <v/>
      </c>
      <c r="R6" s="240">
        <f>R5/N5-1</f>
        <v/>
      </c>
      <c r="S6" s="240">
        <f>S5/R5-1</f>
        <v/>
      </c>
      <c r="T6" s="240">
        <f>T5/S5-1</f>
        <v/>
      </c>
      <c r="U6" s="240">
        <f>U5/T5-1</f>
        <v/>
      </c>
      <c r="V6" s="240">
        <f>V5/R5-1</f>
        <v/>
      </c>
    </row>
    <row r="7">
      <c r="A7" s="165" t="inlineStr">
        <is>
          <t>Gross margin</t>
        </is>
      </c>
      <c r="B7" s="165" t="inlineStr">
        <is>
          <t>%</t>
        </is>
      </c>
      <c r="C7" s="241">
        <f>'Scenario_Drivers'!C108</f>
        <v/>
      </c>
      <c r="D7" s="241">
        <f>'Scenario_Drivers'!D108</f>
        <v/>
      </c>
      <c r="E7" s="241">
        <f>'Scenario_Drivers'!E108</f>
        <v/>
      </c>
      <c r="F7" s="241">
        <f>'Scenario_Drivers'!F108</f>
        <v/>
      </c>
      <c r="G7" s="241">
        <f>'Scenario_Drivers'!G108</f>
        <v/>
      </c>
      <c r="H7" s="241">
        <f>'Scenario_Drivers'!H108</f>
        <v/>
      </c>
      <c r="I7" s="241">
        <f>'Scenario_Drivers'!I108</f>
        <v/>
      </c>
      <c r="J7" s="241">
        <f>'Scenario_Drivers'!J108</f>
        <v/>
      </c>
      <c r="K7" s="241">
        <f>'Scenario_Drivers'!K108</f>
        <v/>
      </c>
      <c r="L7" s="241">
        <f>'Scenario_Drivers'!L108</f>
        <v/>
      </c>
      <c r="M7" s="241">
        <f>'Scenario_Drivers'!M108</f>
        <v/>
      </c>
      <c r="N7" s="241">
        <f>'Scenario_Drivers'!N108</f>
        <v/>
      </c>
      <c r="O7" s="241">
        <f>'Scenario_Drivers'!O108</f>
        <v/>
      </c>
      <c r="P7" s="241">
        <f>'Scenario_Drivers'!P108</f>
        <v/>
      </c>
      <c r="Q7" s="241">
        <f>'Scenario_Drivers'!Q108</f>
        <v/>
      </c>
      <c r="R7" s="241">
        <f>'Scenario_Drivers'!R108</f>
        <v/>
      </c>
      <c r="S7" s="241">
        <f>'Scenario_Drivers'!S108</f>
        <v/>
      </c>
      <c r="T7" s="241">
        <f>'Scenario_Drivers'!T108</f>
        <v/>
      </c>
      <c r="U7" s="241">
        <f>'Scenario_Drivers'!U108</f>
        <v/>
      </c>
      <c r="V7" s="241">
        <f>'Scenario_Drivers'!V108</f>
        <v/>
      </c>
    </row>
    <row r="8">
      <c r="A8" s="165" t="inlineStr">
        <is>
          <t>Gross profit</t>
        </is>
      </c>
      <c r="B8" s="165" t="inlineStr">
        <is>
          <t>$mm</t>
        </is>
      </c>
      <c r="C8" s="242">
        <f>C5*C7</f>
        <v/>
      </c>
      <c r="D8" s="242">
        <f>D5*D7</f>
        <v/>
      </c>
      <c r="E8" s="242">
        <f>E5*E7</f>
        <v/>
      </c>
      <c r="F8" s="242">
        <f>F5*F7</f>
        <v/>
      </c>
      <c r="G8" s="242">
        <f>G5*G7</f>
        <v/>
      </c>
      <c r="H8" s="242">
        <f>H5*H7</f>
        <v/>
      </c>
      <c r="I8" s="242">
        <f>I5*I7</f>
        <v/>
      </c>
      <c r="J8" s="242">
        <f>J5*J7</f>
        <v/>
      </c>
      <c r="K8" s="242">
        <f>K5*K7</f>
        <v/>
      </c>
      <c r="L8" s="242">
        <f>L5*L7</f>
        <v/>
      </c>
      <c r="M8" s="242">
        <f>M5*M7</f>
        <v/>
      </c>
      <c r="N8" s="242">
        <f>N5*N7</f>
        <v/>
      </c>
      <c r="O8" s="242">
        <f>O5*O7</f>
        <v/>
      </c>
      <c r="P8" s="242">
        <f>P5*P7</f>
        <v/>
      </c>
      <c r="Q8" s="242">
        <f>Q5*Q7</f>
        <v/>
      </c>
      <c r="R8" s="242">
        <f>R5*R7</f>
        <v/>
      </c>
      <c r="S8" s="242">
        <f>S5*S7</f>
        <v/>
      </c>
      <c r="T8" s="242">
        <f>T5*T7</f>
        <v/>
      </c>
      <c r="U8" s="242">
        <f>U5*U7</f>
        <v/>
      </c>
      <c r="V8" s="242">
        <f>V5*V7</f>
        <v/>
      </c>
    </row>
    <row r="9">
      <c r="A9" s="165" t="inlineStr">
        <is>
          <t>COGS</t>
        </is>
      </c>
      <c r="B9" s="165" t="inlineStr">
        <is>
          <t>$mm</t>
        </is>
      </c>
      <c r="C9" s="242">
        <f>-(C5-C8)</f>
        <v/>
      </c>
      <c r="D9" s="242">
        <f>-(D5-D8)</f>
        <v/>
      </c>
      <c r="E9" s="242">
        <f>-(E5-E8)</f>
        <v/>
      </c>
      <c r="F9" s="242">
        <f>-(F5-F8)</f>
        <v/>
      </c>
      <c r="G9" s="242">
        <f>-(G5-G8)</f>
        <v/>
      </c>
      <c r="H9" s="242">
        <f>-(H5-H8)</f>
        <v/>
      </c>
      <c r="I9" s="242">
        <f>-(I5-I8)</f>
        <v/>
      </c>
      <c r="J9" s="242">
        <f>-(J5-J8)</f>
        <v/>
      </c>
      <c r="K9" s="242">
        <f>-(K5-K8)</f>
        <v/>
      </c>
      <c r="L9" s="242">
        <f>-(L5-L8)</f>
        <v/>
      </c>
      <c r="M9" s="242">
        <f>-(M5-M8)</f>
        <v/>
      </c>
      <c r="N9" s="242">
        <f>-(N5-N8)</f>
        <v/>
      </c>
      <c r="O9" s="242">
        <f>-(O5-O8)</f>
        <v/>
      </c>
      <c r="P9" s="242">
        <f>-(P5-P8)</f>
        <v/>
      </c>
      <c r="Q9" s="242">
        <f>-(Q5-Q8)</f>
        <v/>
      </c>
      <c r="R9" s="242">
        <f>-(R5-R8)</f>
        <v/>
      </c>
      <c r="S9" s="242">
        <f>-(S5-S8)</f>
        <v/>
      </c>
      <c r="T9" s="242">
        <f>-(T5-T8)</f>
        <v/>
      </c>
      <c r="U9" s="242">
        <f>-(U5-U8)</f>
        <v/>
      </c>
      <c r="V9" s="242">
        <f>-(V5-V8)</f>
        <v/>
      </c>
    </row>
    <row r="10">
      <c r="A10" s="165" t="inlineStr">
        <is>
          <t>Firm EBITDA</t>
        </is>
      </c>
      <c r="B10" s="165" t="inlineStr">
        <is>
          <t>$mm</t>
        </is>
      </c>
      <c r="C10" s="239">
        <f>'Scenario_Drivers'!C109</f>
        <v/>
      </c>
      <c r="D10" s="239">
        <f>'Scenario_Drivers'!D109</f>
        <v/>
      </c>
      <c r="E10" s="239">
        <f>'Scenario_Drivers'!E109</f>
        <v/>
      </c>
      <c r="F10" s="239">
        <f>'Scenario_Drivers'!F109</f>
        <v/>
      </c>
      <c r="G10" s="239">
        <f>'Scenario_Drivers'!G109</f>
        <v/>
      </c>
      <c r="H10" s="239">
        <f>'Scenario_Drivers'!H109</f>
        <v/>
      </c>
      <c r="I10" s="239">
        <f>'Scenario_Drivers'!I109</f>
        <v/>
      </c>
      <c r="J10" s="239">
        <f>'Scenario_Drivers'!J109</f>
        <v/>
      </c>
      <c r="K10" s="239">
        <f>'Scenario_Drivers'!K109</f>
        <v/>
      </c>
      <c r="L10" s="239">
        <f>'Scenario_Drivers'!L109</f>
        <v/>
      </c>
      <c r="M10" s="239">
        <f>'Scenario_Drivers'!M109</f>
        <v/>
      </c>
      <c r="N10" s="239">
        <f>'Scenario_Drivers'!N109</f>
        <v/>
      </c>
      <c r="O10" s="239">
        <f>'Scenario_Drivers'!O109</f>
        <v/>
      </c>
      <c r="P10" s="239">
        <f>'Scenario_Drivers'!P109</f>
        <v/>
      </c>
      <c r="Q10" s="239">
        <f>'Scenario_Drivers'!Q109</f>
        <v/>
      </c>
      <c r="R10" s="239">
        <f>'Scenario_Drivers'!R109</f>
        <v/>
      </c>
      <c r="S10" s="239">
        <f>'Scenario_Drivers'!S109</f>
        <v/>
      </c>
      <c r="T10" s="239">
        <f>'Scenario_Drivers'!T109</f>
        <v/>
      </c>
      <c r="U10" s="239">
        <f>'Scenario_Drivers'!U109</f>
        <v/>
      </c>
      <c r="V10" s="239">
        <f>'Scenario_Drivers'!V109</f>
        <v/>
      </c>
    </row>
    <row r="11">
      <c r="A11" s="165" t="inlineStr">
        <is>
          <t>One-time charges</t>
        </is>
      </c>
      <c r="B11" s="165" t="inlineStr">
        <is>
          <t>$mm</t>
        </is>
      </c>
      <c r="C11" s="242">
        <f>-'Scenario_Drivers'!C110</f>
        <v/>
      </c>
      <c r="D11" s="242">
        <f>-'Scenario_Drivers'!D110</f>
        <v/>
      </c>
      <c r="E11" s="242">
        <f>-'Scenario_Drivers'!E110</f>
        <v/>
      </c>
      <c r="F11" s="242">
        <f>-'Scenario_Drivers'!F110</f>
        <v/>
      </c>
      <c r="G11" s="242">
        <f>-'Scenario_Drivers'!G110</f>
        <v/>
      </c>
      <c r="H11" s="242">
        <f>-'Scenario_Drivers'!H110</f>
        <v/>
      </c>
      <c r="I11" s="242">
        <f>-'Scenario_Drivers'!I110</f>
        <v/>
      </c>
      <c r="J11" s="242">
        <f>-'Scenario_Drivers'!J110</f>
        <v/>
      </c>
      <c r="K11" s="242">
        <f>-'Scenario_Drivers'!K110</f>
        <v/>
      </c>
      <c r="L11" s="242">
        <f>-'Scenario_Drivers'!L110</f>
        <v/>
      </c>
      <c r="M11" s="242">
        <f>-'Scenario_Drivers'!M110</f>
        <v/>
      </c>
      <c r="N11" s="242">
        <f>-'Scenario_Drivers'!N110</f>
        <v/>
      </c>
      <c r="O11" s="242">
        <f>-'Scenario_Drivers'!O110</f>
        <v/>
      </c>
      <c r="P11" s="242">
        <f>-'Scenario_Drivers'!P110</f>
        <v/>
      </c>
      <c r="Q11" s="242">
        <f>-'Scenario_Drivers'!Q110</f>
        <v/>
      </c>
      <c r="R11" s="242">
        <f>-'Scenario_Drivers'!R110</f>
        <v/>
      </c>
      <c r="S11" s="242">
        <f>-'Scenario_Drivers'!S110</f>
        <v/>
      </c>
      <c r="T11" s="242">
        <f>-'Scenario_Drivers'!T110</f>
        <v/>
      </c>
      <c r="U11" s="242">
        <f>-'Scenario_Drivers'!U110</f>
        <v/>
      </c>
      <c r="V11" s="242">
        <f>-'Scenario_Drivers'!V110</f>
        <v/>
      </c>
    </row>
    <row r="12">
      <c r="A12" s="165" t="inlineStr">
        <is>
          <t>Reported EBITDA</t>
        </is>
      </c>
      <c r="B12" s="165" t="inlineStr">
        <is>
          <t>$mm</t>
        </is>
      </c>
      <c r="C12" s="242">
        <f>C10+C11</f>
        <v/>
      </c>
      <c r="D12" s="242">
        <f>D10+D11</f>
        <v/>
      </c>
      <c r="E12" s="242">
        <f>E10+E11</f>
        <v/>
      </c>
      <c r="F12" s="242">
        <f>F10+F11</f>
        <v/>
      </c>
      <c r="G12" s="242">
        <f>G10+G11</f>
        <v/>
      </c>
      <c r="H12" s="242">
        <f>H10+H11</f>
        <v/>
      </c>
      <c r="I12" s="242">
        <f>I10+I11</f>
        <v/>
      </c>
      <c r="J12" s="242">
        <f>J10+J11</f>
        <v/>
      </c>
      <c r="K12" s="242">
        <f>K10+K11</f>
        <v/>
      </c>
      <c r="L12" s="242">
        <f>L10+L11</f>
        <v/>
      </c>
      <c r="M12" s="242">
        <f>M10+M11</f>
        <v/>
      </c>
      <c r="N12" s="242">
        <f>N10+N11</f>
        <v/>
      </c>
      <c r="O12" s="242">
        <f>O10+O11</f>
        <v/>
      </c>
      <c r="P12" s="242">
        <f>P10+P11</f>
        <v/>
      </c>
      <c r="Q12" s="242">
        <f>Q10+Q11</f>
        <v/>
      </c>
      <c r="R12" s="242">
        <f>R10+R11</f>
        <v/>
      </c>
      <c r="S12" s="242">
        <f>S10+S11</f>
        <v/>
      </c>
      <c r="T12" s="242">
        <f>T10+T11</f>
        <v/>
      </c>
      <c r="U12" s="242">
        <f>U10+U11</f>
        <v/>
      </c>
      <c r="V12" s="242">
        <f>V10+V11</f>
        <v/>
      </c>
    </row>
    <row r="13">
      <c r="A13" s="165" t="inlineStr">
        <is>
          <t>Covenant add-backs</t>
        </is>
      </c>
      <c r="B13" s="165" t="inlineStr">
        <is>
          <t>$mm</t>
        </is>
      </c>
      <c r="C13" s="239">
        <f>'Scenario_Drivers'!C111</f>
        <v/>
      </c>
      <c r="D13" s="239">
        <f>'Scenario_Drivers'!D111</f>
        <v/>
      </c>
      <c r="E13" s="239">
        <f>'Scenario_Drivers'!E111</f>
        <v/>
      </c>
      <c r="F13" s="239">
        <f>'Scenario_Drivers'!F111</f>
        <v/>
      </c>
      <c r="G13" s="239">
        <f>'Scenario_Drivers'!G111</f>
        <v/>
      </c>
      <c r="H13" s="239">
        <f>'Scenario_Drivers'!H111</f>
        <v/>
      </c>
      <c r="I13" s="239">
        <f>'Scenario_Drivers'!I111</f>
        <v/>
      </c>
      <c r="J13" s="239">
        <f>'Scenario_Drivers'!J111</f>
        <v/>
      </c>
      <c r="K13" s="239">
        <f>'Scenario_Drivers'!K111</f>
        <v/>
      </c>
      <c r="L13" s="239">
        <f>'Scenario_Drivers'!L111</f>
        <v/>
      </c>
      <c r="M13" s="239">
        <f>'Scenario_Drivers'!M111</f>
        <v/>
      </c>
      <c r="N13" s="239">
        <f>'Scenario_Drivers'!N111</f>
        <v/>
      </c>
      <c r="O13" s="239">
        <f>'Scenario_Drivers'!O111</f>
        <v/>
      </c>
      <c r="P13" s="239">
        <f>'Scenario_Drivers'!P111</f>
        <v/>
      </c>
      <c r="Q13" s="239">
        <f>'Scenario_Drivers'!Q111</f>
        <v/>
      </c>
      <c r="R13" s="239">
        <f>'Scenario_Drivers'!R111</f>
        <v/>
      </c>
      <c r="S13" s="239">
        <f>'Scenario_Drivers'!S111</f>
        <v/>
      </c>
      <c r="T13" s="239">
        <f>'Scenario_Drivers'!T111</f>
        <v/>
      </c>
      <c r="U13" s="239">
        <f>'Scenario_Drivers'!U111</f>
        <v/>
      </c>
      <c r="V13" s="239">
        <f>'Scenario_Drivers'!V111</f>
        <v/>
      </c>
    </row>
    <row r="14">
      <c r="A14" s="165" t="inlineStr">
        <is>
          <t>Covenant EBITDA</t>
        </is>
      </c>
      <c r="B14" s="165" t="inlineStr">
        <is>
          <t>$mm</t>
        </is>
      </c>
      <c r="C14" s="242">
        <f>C12+C13</f>
        <v/>
      </c>
      <c r="D14" s="242">
        <f>D12+D13</f>
        <v/>
      </c>
      <c r="E14" s="242">
        <f>E12+E13</f>
        <v/>
      </c>
      <c r="F14" s="242">
        <f>F12+F13</f>
        <v/>
      </c>
      <c r="G14" s="242">
        <f>G12+G13</f>
        <v/>
      </c>
      <c r="H14" s="242">
        <f>H12+H13</f>
        <v/>
      </c>
      <c r="I14" s="242">
        <f>I12+I13</f>
        <v/>
      </c>
      <c r="J14" s="242">
        <f>J12+J13</f>
        <v/>
      </c>
      <c r="K14" s="242">
        <f>K12+K13</f>
        <v/>
      </c>
      <c r="L14" s="242">
        <f>L12+L13</f>
        <v/>
      </c>
      <c r="M14" s="242">
        <f>M12+M13</f>
        <v/>
      </c>
      <c r="N14" s="242">
        <f>N12+N13</f>
        <v/>
      </c>
      <c r="O14" s="242">
        <f>O12+O13</f>
        <v/>
      </c>
      <c r="P14" s="242">
        <f>P12+P13</f>
        <v/>
      </c>
      <c r="Q14" s="242">
        <f>Q12+Q13</f>
        <v/>
      </c>
      <c r="R14" s="242">
        <f>R12+R13</f>
        <v/>
      </c>
      <c r="S14" s="242">
        <f>S12+S13</f>
        <v/>
      </c>
      <c r="T14" s="242">
        <f>T12+T13</f>
        <v/>
      </c>
      <c r="U14" s="242">
        <f>U12+U13</f>
        <v/>
      </c>
      <c r="V14" s="242">
        <f>V12+V13</f>
        <v/>
      </c>
    </row>
    <row r="15">
      <c r="A15" s="165" t="inlineStr">
        <is>
          <t>Firm EBITDA margin</t>
        </is>
      </c>
      <c r="B15" s="165" t="inlineStr">
        <is>
          <t>%</t>
        </is>
      </c>
      <c r="C15" s="240">
        <f>C10/C5</f>
        <v/>
      </c>
      <c r="D15" s="240">
        <f>D10/D5</f>
        <v/>
      </c>
      <c r="E15" s="240">
        <f>E10/E5</f>
        <v/>
      </c>
      <c r="F15" s="240">
        <f>F10/F5</f>
        <v/>
      </c>
      <c r="G15" s="240">
        <f>G10/G5</f>
        <v/>
      </c>
      <c r="H15" s="240">
        <f>H10/H5</f>
        <v/>
      </c>
      <c r="I15" s="240">
        <f>I10/I5</f>
        <v/>
      </c>
      <c r="J15" s="240">
        <f>J10/J5</f>
        <v/>
      </c>
      <c r="K15" s="240">
        <f>K10/K5</f>
        <v/>
      </c>
      <c r="L15" s="240">
        <f>L10/L5</f>
        <v/>
      </c>
      <c r="M15" s="240">
        <f>M10/M5</f>
        <v/>
      </c>
      <c r="N15" s="240">
        <f>N10/N5</f>
        <v/>
      </c>
      <c r="O15" s="240">
        <f>O10/O5</f>
        <v/>
      </c>
      <c r="P15" s="240">
        <f>P10/P5</f>
        <v/>
      </c>
      <c r="Q15" s="240">
        <f>Q10/Q5</f>
        <v/>
      </c>
      <c r="R15" s="240">
        <f>R10/R5</f>
        <v/>
      </c>
      <c r="S15" s="240">
        <f>S10/S5</f>
        <v/>
      </c>
      <c r="T15" s="240">
        <f>T10/T5</f>
        <v/>
      </c>
      <c r="U15" s="240">
        <f>U10/U5</f>
        <v/>
      </c>
      <c r="V15" s="240">
        <f>V10/V5</f>
        <v/>
      </c>
    </row>
    <row r="16">
      <c r="A16" s="39" t="inlineStr">
        <is>
          <t>Income Statement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>
      <c r="A17" s="165" t="inlineStr">
        <is>
          <t>Depreciation</t>
        </is>
      </c>
      <c r="B17" s="165" t="inlineStr">
        <is>
          <t>$mm</t>
        </is>
      </c>
      <c r="C17" s="242">
        <f>C5*Inputs!$B$17</f>
        <v/>
      </c>
      <c r="D17" s="242">
        <f>D5*Inputs!$B$17</f>
        <v/>
      </c>
      <c r="E17" s="242">
        <f>E5*Inputs!$B$17</f>
        <v/>
      </c>
      <c r="F17" s="242">
        <f>F5*Inputs!$B$17</f>
        <v/>
      </c>
      <c r="G17" s="242">
        <f>G5*Inputs!$B$17</f>
        <v/>
      </c>
      <c r="H17" s="242">
        <f>H5*Inputs!$B$17</f>
        <v/>
      </c>
      <c r="I17" s="242">
        <f>I5*Inputs!$B$17</f>
        <v/>
      </c>
      <c r="J17" s="242">
        <f>J5*Inputs!$B$17</f>
        <v/>
      </c>
      <c r="K17" s="242">
        <f>K5*Inputs!$B$17</f>
        <v/>
      </c>
      <c r="L17" s="242">
        <f>L5*Inputs!$B$17</f>
        <v/>
      </c>
      <c r="M17" s="242">
        <f>M5*Inputs!$B$17</f>
        <v/>
      </c>
      <c r="N17" s="242">
        <f>N5*Inputs!$B$17</f>
        <v/>
      </c>
      <c r="O17" s="242">
        <f>O5*Inputs!$B$17</f>
        <v/>
      </c>
      <c r="P17" s="242">
        <f>P5*Inputs!$B$17</f>
        <v/>
      </c>
      <c r="Q17" s="242">
        <f>Q5*Inputs!$B$17</f>
        <v/>
      </c>
      <c r="R17" s="242">
        <f>R5*Inputs!$B$17</f>
        <v/>
      </c>
      <c r="S17" s="242">
        <f>S5*Inputs!$B$17</f>
        <v/>
      </c>
      <c r="T17" s="242">
        <f>T5*Inputs!$B$17</f>
        <v/>
      </c>
      <c r="U17" s="242">
        <f>U5*Inputs!$B$17</f>
        <v/>
      </c>
      <c r="V17" s="242">
        <f>V5*Inputs!$B$17</f>
        <v/>
      </c>
    </row>
    <row r="18">
      <c r="A18" s="165" t="inlineStr">
        <is>
          <t>Core PPA amortization</t>
        </is>
      </c>
      <c r="B18" s="165" t="inlineStr">
        <is>
          <t>$mm</t>
        </is>
      </c>
      <c r="C18" s="242">
        <f>'Scenario_Drivers'!C137</f>
        <v/>
      </c>
      <c r="D18" s="242">
        <f>'Scenario_Drivers'!D137</f>
        <v/>
      </c>
      <c r="E18" s="242">
        <f>'Scenario_Drivers'!E137</f>
        <v/>
      </c>
      <c r="F18" s="242">
        <f>'Scenario_Drivers'!F137</f>
        <v/>
      </c>
      <c r="G18" s="242">
        <f>'Scenario_Drivers'!G137</f>
        <v/>
      </c>
      <c r="H18" s="242">
        <f>'Scenario_Drivers'!H137</f>
        <v/>
      </c>
      <c r="I18" s="242">
        <f>'Scenario_Drivers'!I137</f>
        <v/>
      </c>
      <c r="J18" s="242">
        <f>'Scenario_Drivers'!J137</f>
        <v/>
      </c>
      <c r="K18" s="242">
        <f>'Scenario_Drivers'!K137</f>
        <v/>
      </c>
      <c r="L18" s="242">
        <f>'Scenario_Drivers'!L137</f>
        <v/>
      </c>
      <c r="M18" s="242">
        <f>'Scenario_Drivers'!M137</f>
        <v/>
      </c>
      <c r="N18" s="242">
        <f>'Scenario_Drivers'!N137</f>
        <v/>
      </c>
      <c r="O18" s="242">
        <f>'Scenario_Drivers'!O137</f>
        <v/>
      </c>
      <c r="P18" s="242">
        <f>'Scenario_Drivers'!P137</f>
        <v/>
      </c>
      <c r="Q18" s="242">
        <f>'Scenario_Drivers'!Q137</f>
        <v/>
      </c>
      <c r="R18" s="242">
        <f>'Scenario_Drivers'!R137</f>
        <v/>
      </c>
      <c r="S18" s="242">
        <f>'Scenario_Drivers'!S137</f>
        <v/>
      </c>
      <c r="T18" s="242">
        <f>'Scenario_Drivers'!T137</f>
        <v/>
      </c>
      <c r="U18" s="242">
        <f>'Scenario_Drivers'!U137</f>
        <v/>
      </c>
      <c r="V18" s="242">
        <f>'Scenario_Drivers'!V137</f>
        <v/>
      </c>
    </row>
    <row r="19">
      <c r="A19" s="165" t="inlineStr">
        <is>
          <t>Integration asset amortization</t>
        </is>
      </c>
      <c r="B19" s="165" t="inlineStr">
        <is>
          <t>$mm</t>
        </is>
      </c>
      <c r="C19" s="242">
        <f>0</f>
        <v/>
      </c>
      <c r="D19" s="242">
        <f>0</f>
        <v/>
      </c>
      <c r="E19" s="242">
        <f>0</f>
        <v/>
      </c>
      <c r="F19" s="242">
        <f>0</f>
        <v/>
      </c>
      <c r="G19" s="242">
        <f>0</f>
        <v/>
      </c>
      <c r="H19" s="242">
        <f>0</f>
        <v/>
      </c>
      <c r="I19" s="242">
        <f>0</f>
        <v/>
      </c>
      <c r="J19" s="242">
        <f>0</f>
        <v/>
      </c>
      <c r="K19" s="242">
        <f>0</f>
        <v/>
      </c>
      <c r="L19" s="242">
        <f>0</f>
        <v/>
      </c>
      <c r="M19" s="242">
        <f>0</f>
        <v/>
      </c>
      <c r="N19" s="242">
        <f>0</f>
        <v/>
      </c>
      <c r="O19" s="242">
        <f>0</f>
        <v/>
      </c>
      <c r="P19" s="242">
        <f>0</f>
        <v/>
      </c>
      <c r="Q19" s="242">
        <f>0</f>
        <v/>
      </c>
      <c r="R19" s="242">
        <f>0</f>
        <v/>
      </c>
      <c r="S19" s="242">
        <f>0</f>
        <v/>
      </c>
      <c r="T19" s="242">
        <f>0</f>
        <v/>
      </c>
      <c r="U19" s="242">
        <f>0</f>
        <v/>
      </c>
      <c r="V19" s="242">
        <f>0</f>
        <v/>
      </c>
    </row>
    <row r="20">
      <c r="A20" s="165" t="inlineStr">
        <is>
          <t>Total D&amp;A</t>
        </is>
      </c>
      <c r="B20" s="165" t="inlineStr">
        <is>
          <t>$mm</t>
        </is>
      </c>
      <c r="C20" s="242">
        <f>SUM(C17:C19)</f>
        <v/>
      </c>
      <c r="D20" s="242">
        <f>SUM(D17:D19)</f>
        <v/>
      </c>
      <c r="E20" s="242">
        <f>SUM(E17:E19)</f>
        <v/>
      </c>
      <c r="F20" s="242">
        <f>SUM(F17:F19)</f>
        <v/>
      </c>
      <c r="G20" s="242">
        <f>SUM(G17:G19)</f>
        <v/>
      </c>
      <c r="H20" s="242">
        <f>SUM(H17:H19)</f>
        <v/>
      </c>
      <c r="I20" s="242">
        <f>SUM(I17:I19)</f>
        <v/>
      </c>
      <c r="J20" s="242">
        <f>SUM(J17:J19)</f>
        <v/>
      </c>
      <c r="K20" s="242">
        <f>SUM(K17:K19)</f>
        <v/>
      </c>
      <c r="L20" s="242">
        <f>SUM(L17:L19)</f>
        <v/>
      </c>
      <c r="M20" s="242">
        <f>SUM(M17:M19)</f>
        <v/>
      </c>
      <c r="N20" s="242">
        <f>SUM(N17:N19)</f>
        <v/>
      </c>
      <c r="O20" s="242">
        <f>SUM(O17:O19)</f>
        <v/>
      </c>
      <c r="P20" s="242">
        <f>SUM(P17:P19)</f>
        <v/>
      </c>
      <c r="Q20" s="242">
        <f>SUM(Q17:Q19)</f>
        <v/>
      </c>
      <c r="R20" s="242">
        <f>SUM(R17:R19)</f>
        <v/>
      </c>
      <c r="S20" s="242">
        <f>SUM(S17:S19)</f>
        <v/>
      </c>
      <c r="T20" s="242">
        <f>SUM(T17:T19)</f>
        <v/>
      </c>
      <c r="U20" s="242">
        <f>SUM(U17:U19)</f>
        <v/>
      </c>
      <c r="V20" s="242">
        <f>SUM(V17:V19)</f>
        <v/>
      </c>
    </row>
    <row r="21">
      <c r="A21" s="165" t="inlineStr">
        <is>
          <t>EBIT</t>
        </is>
      </c>
      <c r="B21" s="165" t="inlineStr">
        <is>
          <t>$mm</t>
        </is>
      </c>
      <c r="C21" s="242">
        <f>C12-C20</f>
        <v/>
      </c>
      <c r="D21" s="242">
        <f>D12-D20</f>
        <v/>
      </c>
      <c r="E21" s="242">
        <f>E12-E20</f>
        <v/>
      </c>
      <c r="F21" s="242">
        <f>F12-F20</f>
        <v/>
      </c>
      <c r="G21" s="242">
        <f>G12-G20</f>
        <v/>
      </c>
      <c r="H21" s="242">
        <f>H12-H20</f>
        <v/>
      </c>
      <c r="I21" s="242">
        <f>I12-I20</f>
        <v/>
      </c>
      <c r="J21" s="242">
        <f>J12-J20</f>
        <v/>
      </c>
      <c r="K21" s="242">
        <f>K12-K20</f>
        <v/>
      </c>
      <c r="L21" s="242">
        <f>L12-L20</f>
        <v/>
      </c>
      <c r="M21" s="242">
        <f>M12-M20</f>
        <v/>
      </c>
      <c r="N21" s="242">
        <f>N12-N20</f>
        <v/>
      </c>
      <c r="O21" s="242">
        <f>O12-O20</f>
        <v/>
      </c>
      <c r="P21" s="242">
        <f>P12-P20</f>
        <v/>
      </c>
      <c r="Q21" s="242">
        <f>Q12-Q20</f>
        <v/>
      </c>
      <c r="R21" s="242">
        <f>R12-R20</f>
        <v/>
      </c>
      <c r="S21" s="242">
        <f>S12-S20</f>
        <v/>
      </c>
      <c r="T21" s="242">
        <f>T12-T20</f>
        <v/>
      </c>
      <c r="U21" s="242">
        <f>U12-U20</f>
        <v/>
      </c>
      <c r="V21" s="242">
        <f>V12-V20</f>
        <v/>
      </c>
    </row>
    <row r="22">
      <c r="A22" s="165" t="inlineStr">
        <is>
          <t>Cash interest</t>
        </is>
      </c>
      <c r="B22" s="165" t="inlineStr">
        <is>
          <t>$mm</t>
        </is>
      </c>
      <c r="C22" s="242">
        <f>-((('S&amp;U_Opening'!$E$18+MAX(0,'S&amp;U_Opening'!$E$18-(MIN(0.107,'S&amp;U_Opening'!$E$18))))/2)*(MAX('Scenario_Drivers'!C135,Inputs!$B$26)+Inputs!$B$23+'Scenario_Drivers'!C136)/4+((0+0+'Scenario_Drivers'!C127-(IF(0&gt;0,MIN(0.015,0),0)))/2)*(MAX('Scenario_Drivers'!C135,Inputs!$B$26)+Inputs!$B$25+'Scenario_Drivers'!C136)/4+0*(MAX('Scenario_Drivers'!C135,Inputs!$B$26)+Inputs!$B$24+'Scenario_Drivers'!C136)/4+MAX(0,Inputs!$B$20-0-'Scenario_Drivers'!C130)*Inputs!$B$29/4+0)</f>
        <v/>
      </c>
      <c r="D22" s="242">
        <f>-(((C76+MAX(0,C76-(MIN(0.107,C76))))/2)*(MAX('Scenario_Drivers'!D135,Inputs!$B$26)+Inputs!$B$23+'Scenario_Drivers'!D136)/4+((C77+C77+'Scenario_Drivers'!D127-(IF(C77&gt;0,MIN(0.015,C77),0)))/2)*(MAX('Scenario_Drivers'!D135,Inputs!$B$26)+Inputs!$B$25+'Scenario_Drivers'!D136)/4+C78*(MAX('Scenario_Drivers'!D135,Inputs!$B$26)+Inputs!$B$24+'Scenario_Drivers'!D136)/4+MAX(0,Inputs!$B$20-C78-'Scenario_Drivers'!D130)*Inputs!$B$29/4+MAX(0,Inputs!$B$21-C77-'Scenario_Drivers'!D127)*Inputs!$B$30/4)</f>
        <v/>
      </c>
      <c r="E22" s="242">
        <f>-(((D76+MAX(0,D76-(MIN(0.107,D76))))/2)*(MAX('Scenario_Drivers'!E135,Inputs!$B$26)+Inputs!$B$23+'Scenario_Drivers'!E136)/4+((D77+D77+'Scenario_Drivers'!E127-(IF(D77&gt;0,MIN(0.015,D77),0)))/2)*(MAX('Scenario_Drivers'!E135,Inputs!$B$26)+Inputs!$B$25+'Scenario_Drivers'!E136)/4+D78*(MAX('Scenario_Drivers'!E135,Inputs!$B$26)+Inputs!$B$24+'Scenario_Drivers'!E136)/4+MAX(0,Inputs!$B$20-D78-'Scenario_Drivers'!E130)*Inputs!$B$29/4+MAX(0,Inputs!$B$21-D77-'Scenario_Drivers'!E127)*Inputs!$B$30/4)</f>
        <v/>
      </c>
      <c r="F22" s="242">
        <f>-(((E76+MAX(0,E76-(MIN(0.107,E76))))/2)*(MAX('Scenario_Drivers'!F135,Inputs!$B$26)+Inputs!$B$23+'Scenario_Drivers'!F136)/4+((E77+E77+'Scenario_Drivers'!F127-(IF(E77&gt;0,MIN(0.015,E77),0)))/2)*(MAX('Scenario_Drivers'!F135,Inputs!$B$26)+Inputs!$B$25+'Scenario_Drivers'!F136)/4+E78*(MAX('Scenario_Drivers'!F135,Inputs!$B$26)+Inputs!$B$24+'Scenario_Drivers'!F136)/4+MAX(0,Inputs!$B$20-E78-'Scenario_Drivers'!F130)*Inputs!$B$29/4+MAX(0,Inputs!$B$21-E77-'Scenario_Drivers'!F127)*Inputs!$B$30/4)</f>
        <v/>
      </c>
      <c r="G22" s="242">
        <f>-(((F76+MAX(0,F76-(MIN(0.107,F76))))/2)*(MAX('Scenario_Drivers'!G135,Inputs!$B$26)+Inputs!$B$23+'Scenario_Drivers'!G136)/4+((F77+F77+'Scenario_Drivers'!G127-(IF(F77&gt;0,MIN(0.015,F77),0)))/2)*(MAX('Scenario_Drivers'!G135,Inputs!$B$26)+Inputs!$B$25+'Scenario_Drivers'!G136)/4+F78*(MAX('Scenario_Drivers'!G135,Inputs!$B$26)+Inputs!$B$24+'Scenario_Drivers'!G136)/4+MAX(0,Inputs!$B$20-F78-'Scenario_Drivers'!G130)*Inputs!$B$29/4+MAX(0,Inputs!$B$21-F77-'Scenario_Drivers'!G127)*Inputs!$B$30/4)</f>
        <v/>
      </c>
      <c r="H22" s="242">
        <f>-(((G76+MAX(0,G76-(MIN(0.107,G76))))/2)*(MAX('Scenario_Drivers'!H135,Inputs!$B$26)+Inputs!$B$23+'Scenario_Drivers'!H136)/4+((G77+G77+'Scenario_Drivers'!H127-(IF(G77&gt;0,MIN(0.015,G77),0)))/2)*(MAX('Scenario_Drivers'!H135,Inputs!$B$26)+Inputs!$B$25+'Scenario_Drivers'!H136)/4+G78*(MAX('Scenario_Drivers'!H135,Inputs!$B$26)+Inputs!$B$24+'Scenario_Drivers'!H136)/4+MAX(0,Inputs!$B$20-G78-'Scenario_Drivers'!H130)*Inputs!$B$29/4+MAX(0,Inputs!$B$21-G77-'Scenario_Drivers'!H127)*Inputs!$B$30/4)</f>
        <v/>
      </c>
      <c r="I22" s="242">
        <f>-(((H76+MAX(0,H76-(MIN(0.107,H76))))/2)*(MAX('Scenario_Drivers'!I135,Inputs!$B$26)+Inputs!$B$23+'Scenario_Drivers'!I136)/4+((H77+H77+'Scenario_Drivers'!I127-(IF(H77&gt;0,MIN(0.015,H77),0)))/2)*(MAX('Scenario_Drivers'!I135,Inputs!$B$26)+Inputs!$B$25+'Scenario_Drivers'!I136)/4+H78*(MAX('Scenario_Drivers'!I135,Inputs!$B$26)+Inputs!$B$24+'Scenario_Drivers'!I136)/4+MAX(0,Inputs!$B$20-H78-'Scenario_Drivers'!I130)*Inputs!$B$29/4+0)</f>
        <v/>
      </c>
      <c r="J22" s="242">
        <f>-(((I76+MAX(0,I76-(MIN(0.107,I76))))/2)*(MAX('Scenario_Drivers'!J135,Inputs!$B$26)+Inputs!$B$23+'Scenario_Drivers'!J136)/4+((I77+I77+'Scenario_Drivers'!J127-(IF(I77&gt;0,MIN(0.015,I77),0)))/2)*(MAX('Scenario_Drivers'!J135,Inputs!$B$26)+Inputs!$B$25+'Scenario_Drivers'!J136)/4+I78*(MAX('Scenario_Drivers'!J135,Inputs!$B$26)+Inputs!$B$24+'Scenario_Drivers'!J136)/4+MAX(0,Inputs!$B$20-I78-'Scenario_Drivers'!J130)*Inputs!$B$29/4+0)</f>
        <v/>
      </c>
      <c r="K22" s="242">
        <f>-(((J76+MAX(0,J76-(MIN(0.107,J76))))/2)*(MAX('Scenario_Drivers'!K135,Inputs!$B$26)+Inputs!$B$23+'Scenario_Drivers'!K136)/4+((J77+J77+'Scenario_Drivers'!K127-(IF(J77&gt;0,MIN(0.015,J77),0)))/2)*(MAX('Scenario_Drivers'!K135,Inputs!$B$26)+Inputs!$B$25+'Scenario_Drivers'!K136)/4+J78*(MAX('Scenario_Drivers'!K135,Inputs!$B$26)+Inputs!$B$24+'Scenario_Drivers'!K136)/4+MAX(0,Inputs!$B$20-J78-'Scenario_Drivers'!K130)*Inputs!$B$29/4+0)</f>
        <v/>
      </c>
      <c r="L22" s="242">
        <f>-(((K76+MAX(0,K76-(MIN(0.107,K76))))/2)*(MAX('Scenario_Drivers'!L135,Inputs!$B$26)+Inputs!$B$23+'Scenario_Drivers'!L136)/4+((K77+K77+'Scenario_Drivers'!L127-(IF(K77&gt;0,MIN(0.015,K77),0)))/2)*(MAX('Scenario_Drivers'!L135,Inputs!$B$26)+Inputs!$B$25+'Scenario_Drivers'!L136)/4+K78*(MAX('Scenario_Drivers'!L135,Inputs!$B$26)+Inputs!$B$24+'Scenario_Drivers'!L136)/4+MAX(0,Inputs!$B$20-K78-'Scenario_Drivers'!L130)*Inputs!$B$29/4+0)</f>
        <v/>
      </c>
      <c r="M22" s="242">
        <f>-(((L76+MAX(0,L76-(MIN(0.107,L76))))/2)*(MAX('Scenario_Drivers'!M135,Inputs!$B$26)+Inputs!$B$23+'Scenario_Drivers'!M136)/4+((L77+L77+'Scenario_Drivers'!M127-(IF(L77&gt;0,MIN(0.015,L77),0)))/2)*(MAX('Scenario_Drivers'!M135,Inputs!$B$26)+Inputs!$B$25+'Scenario_Drivers'!M136)/4+L78*(MAX('Scenario_Drivers'!M135,Inputs!$B$26)+Inputs!$B$24+'Scenario_Drivers'!M136)/4+MAX(0,Inputs!$B$20-L78-'Scenario_Drivers'!M130)*Inputs!$B$29/4+0)</f>
        <v/>
      </c>
      <c r="N22" s="242">
        <f>-(((M76+MAX(0,M76-(MIN(0.107,M76))))/2)*(MAX('Scenario_Drivers'!N135,Inputs!$B$26)+Inputs!$B$23+'Scenario_Drivers'!N136)/4+((M77+M77+'Scenario_Drivers'!N127-(IF(M77&gt;0,MIN(0.015,M77),0)))/2)*(MAX('Scenario_Drivers'!N135,Inputs!$B$26)+Inputs!$B$25+'Scenario_Drivers'!N136)/4+M78*(MAX('Scenario_Drivers'!N135,Inputs!$B$26)+Inputs!$B$24+'Scenario_Drivers'!N136)/4+MAX(0,Inputs!$B$20-M78-'Scenario_Drivers'!N130)*Inputs!$B$29/4+0)</f>
        <v/>
      </c>
      <c r="O22" s="242">
        <f>-(((N76+MAX(0,N76-(MIN(0.107,N76))))/2)*(MAX('Scenario_Drivers'!O135,Inputs!$B$26)+Inputs!$B$23+'Scenario_Drivers'!O136)/4+((N77+N77+'Scenario_Drivers'!O127-(IF(N77&gt;0,MIN(0.015,N77),0)))/2)*(MAX('Scenario_Drivers'!O135,Inputs!$B$26)+Inputs!$B$25+'Scenario_Drivers'!O136)/4+N78*(MAX('Scenario_Drivers'!O135,Inputs!$B$26)+Inputs!$B$24+'Scenario_Drivers'!O136)/4+MAX(0,Inputs!$B$20-N78-'Scenario_Drivers'!O130)*Inputs!$B$29/4+0)</f>
        <v/>
      </c>
      <c r="P22" s="242">
        <f>-(((O76+MAX(0,O76-(MIN(0.107,O76))))/2)*(MAX('Scenario_Drivers'!P135,Inputs!$B$26)+Inputs!$B$23+'Scenario_Drivers'!P136)/4+((O77+O77+'Scenario_Drivers'!P127-(IF(O77&gt;0,MIN(0.015,O77),0)))/2)*(MAX('Scenario_Drivers'!P135,Inputs!$B$26)+Inputs!$B$25+'Scenario_Drivers'!P136)/4+O78*(MAX('Scenario_Drivers'!P135,Inputs!$B$26)+Inputs!$B$24+'Scenario_Drivers'!P136)/4+MAX(0,Inputs!$B$20-O78-'Scenario_Drivers'!P130)*Inputs!$B$29/4+0)</f>
        <v/>
      </c>
      <c r="Q22" s="242">
        <f>-(((P76+MAX(0,P76-(MIN(0.107,P76))))/2)*(MAX('Scenario_Drivers'!Q135,Inputs!$B$26)+Inputs!$B$23+'Scenario_Drivers'!Q136)/4+((P77+P77+'Scenario_Drivers'!Q127-(IF(P77&gt;0,MIN(0.015,P77),0)))/2)*(MAX('Scenario_Drivers'!Q135,Inputs!$B$26)+Inputs!$B$25+'Scenario_Drivers'!Q136)/4+P78*(MAX('Scenario_Drivers'!Q135,Inputs!$B$26)+Inputs!$B$24+'Scenario_Drivers'!Q136)/4+MAX(0,Inputs!$B$20-P78-'Scenario_Drivers'!Q130)*Inputs!$B$29/4+0)</f>
        <v/>
      </c>
      <c r="R22" s="242">
        <f>-(((Q76+MAX(0,Q76-(MIN(0.107,Q76))))/2)*(MAX('Scenario_Drivers'!R135,Inputs!$B$26)+Inputs!$B$23+'Scenario_Drivers'!R136)/4+((Q77+Q77+'Scenario_Drivers'!R127-(IF(Q77&gt;0,MIN(0.015,Q77),0)))/2)*(MAX('Scenario_Drivers'!R135,Inputs!$B$26)+Inputs!$B$25+'Scenario_Drivers'!R136)/4+Q78*(MAX('Scenario_Drivers'!R135,Inputs!$B$26)+Inputs!$B$24+'Scenario_Drivers'!R136)/4+MAX(0,Inputs!$B$20-Q78-'Scenario_Drivers'!R130)*Inputs!$B$29/4+0)</f>
        <v/>
      </c>
      <c r="S22" s="242">
        <f>-(((R76+MAX(0,R76-(MIN(0.107,R76))))/2)*(MAX('Scenario_Drivers'!S135,Inputs!$B$26)+Inputs!$B$23+'Scenario_Drivers'!S136)/4+((R77+R77+'Scenario_Drivers'!S127-(IF(R77&gt;0,MIN(0.015,R77),0)))/2)*(MAX('Scenario_Drivers'!S135,Inputs!$B$26)+Inputs!$B$25+'Scenario_Drivers'!S136)/4+R78*(MAX('Scenario_Drivers'!S135,Inputs!$B$26)+Inputs!$B$24+'Scenario_Drivers'!S136)/4+MAX(0,Inputs!$B$20-R78-'Scenario_Drivers'!S130)*Inputs!$B$29/4+0)</f>
        <v/>
      </c>
      <c r="T22" s="242">
        <f>-(((S76+MAX(0,S76-(MIN(0.107,S76))))/2)*(MAX('Scenario_Drivers'!T135,Inputs!$B$26)+Inputs!$B$23+'Scenario_Drivers'!T136)/4+((S77+S77+'Scenario_Drivers'!T127-(IF(S77&gt;0,MIN(0.015,S77),0)))/2)*(MAX('Scenario_Drivers'!T135,Inputs!$B$26)+Inputs!$B$25+'Scenario_Drivers'!T136)/4+S78*(MAX('Scenario_Drivers'!T135,Inputs!$B$26)+Inputs!$B$24+'Scenario_Drivers'!T136)/4+MAX(0,Inputs!$B$20-S78-'Scenario_Drivers'!T130)*Inputs!$B$29/4+0)</f>
        <v/>
      </c>
      <c r="U22" s="242">
        <f>-(((T76+MAX(0,T76-(MIN(0.107,T76))))/2)*(MAX('Scenario_Drivers'!U135,Inputs!$B$26)+Inputs!$B$23+'Scenario_Drivers'!U136)/4+((T77+T77+'Scenario_Drivers'!U127-(IF(T77&gt;0,MIN(0.015,T77),0)))/2)*(MAX('Scenario_Drivers'!U135,Inputs!$B$26)+Inputs!$B$25+'Scenario_Drivers'!U136)/4+T78*(MAX('Scenario_Drivers'!U135,Inputs!$B$26)+Inputs!$B$24+'Scenario_Drivers'!U136)/4+MAX(0,Inputs!$B$20-T78-'Scenario_Drivers'!U130)*Inputs!$B$29/4+0)</f>
        <v/>
      </c>
      <c r="V22" s="242">
        <f>-(((U76+MAX(0,U76-(MIN(0.107,U76))))/2)*(MAX('Scenario_Drivers'!V135,Inputs!$B$26)+Inputs!$B$23+'Scenario_Drivers'!V136)/4+((U77+U77+'Scenario_Drivers'!V127-(IF(U77&gt;0,MIN(0.015,U77),0)))/2)*(MAX('Scenario_Drivers'!V135,Inputs!$B$26)+Inputs!$B$25+'Scenario_Drivers'!V136)/4+U78*(MAX('Scenario_Drivers'!V135,Inputs!$B$26)+Inputs!$B$24+'Scenario_Drivers'!V136)/4+MAX(0,Inputs!$B$20-U78-'Scenario_Drivers'!V130)*Inputs!$B$29/4+0)</f>
        <v/>
      </c>
    </row>
    <row r="23">
      <c r="A23" s="165" t="inlineStr">
        <is>
          <t>Financing fee amortization</t>
        </is>
      </c>
      <c r="B23" s="165" t="inlineStr">
        <is>
          <t>$mm</t>
        </is>
      </c>
      <c r="C23" s="242">
        <f>MIN('S&amp;U_Opening'!$B$24,1.4/24)</f>
        <v/>
      </c>
      <c r="D23" s="242">
        <f>MIN(C73,1.4/24)</f>
        <v/>
      </c>
      <c r="E23" s="242">
        <f>MIN(D73,1.4/24)</f>
        <v/>
      </c>
      <c r="F23" s="242">
        <f>MIN(E73,1.4/24)</f>
        <v/>
      </c>
      <c r="G23" s="242">
        <f>MIN(F73,1.4/24)</f>
        <v/>
      </c>
      <c r="H23" s="242">
        <f>MIN(G73,1.4/24)</f>
        <v/>
      </c>
      <c r="I23" s="242">
        <f>MIN(H73,1.4/24)</f>
        <v/>
      </c>
      <c r="J23" s="242">
        <f>MIN(I73,1.4/24)</f>
        <v/>
      </c>
      <c r="K23" s="242">
        <f>MIN(J73,1.4/24)</f>
        <v/>
      </c>
      <c r="L23" s="242">
        <f>MIN(K73,1.4/24)</f>
        <v/>
      </c>
      <c r="M23" s="242">
        <f>MIN(L73,1.4/24)</f>
        <v/>
      </c>
      <c r="N23" s="242">
        <f>MIN(M73,1.4/24)</f>
        <v/>
      </c>
      <c r="O23" s="242">
        <f>MIN(N73,1.4/24)</f>
        <v/>
      </c>
      <c r="P23" s="242">
        <f>MIN(O73,1.4/24)</f>
        <v/>
      </c>
      <c r="Q23" s="242">
        <f>MIN(P73,1.4/24)</f>
        <v/>
      </c>
      <c r="R23" s="242">
        <f>MIN(Q73,1.4/24)</f>
        <v/>
      </c>
      <c r="S23" s="242">
        <f>MIN(R73,1.4/24)</f>
        <v/>
      </c>
      <c r="T23" s="242">
        <f>MIN(S73,1.4/24)</f>
        <v/>
      </c>
      <c r="U23" s="242">
        <f>MIN(T73,1.4/24)</f>
        <v/>
      </c>
      <c r="V23" s="242">
        <f>MIN(U73,1.4/24)</f>
        <v/>
      </c>
    </row>
    <row r="24">
      <c r="A24" s="165" t="inlineStr">
        <is>
          <t>Interest income</t>
        </is>
      </c>
      <c r="B24" s="165" t="inlineStr">
        <is>
          <t>$mm</t>
        </is>
      </c>
      <c r="C24" s="242">
        <f>'S&amp;U_Opening'!$B$15*1.0%/4</f>
        <v/>
      </c>
      <c r="D24" s="242">
        <f>C67*1.0%/4</f>
        <v/>
      </c>
      <c r="E24" s="242">
        <f>D67*1.0%/4</f>
        <v/>
      </c>
      <c r="F24" s="242">
        <f>E67*1.0%/4</f>
        <v/>
      </c>
      <c r="G24" s="242">
        <f>F67*1.0%/4</f>
        <v/>
      </c>
      <c r="H24" s="242">
        <f>G67*1.0%/4</f>
        <v/>
      </c>
      <c r="I24" s="242">
        <f>H67*1.0%/4</f>
        <v/>
      </c>
      <c r="J24" s="242">
        <f>I67*1.0%/4</f>
        <v/>
      </c>
      <c r="K24" s="242">
        <f>J67*1.0%/4</f>
        <v/>
      </c>
      <c r="L24" s="242">
        <f>K67*1.0%/4</f>
        <v/>
      </c>
      <c r="M24" s="242">
        <f>L67*1.0%/4</f>
        <v/>
      </c>
      <c r="N24" s="242">
        <f>M67*1.0%/4</f>
        <v/>
      </c>
      <c r="O24" s="242">
        <f>N67*1.0%/4</f>
        <v/>
      </c>
      <c r="P24" s="242">
        <f>O67*1.0%/4</f>
        <v/>
      </c>
      <c r="Q24" s="242">
        <f>P67*1.0%/4</f>
        <v/>
      </c>
      <c r="R24" s="242">
        <f>Q67*1.0%/4</f>
        <v/>
      </c>
      <c r="S24" s="242">
        <f>R67*1.0%/4</f>
        <v/>
      </c>
      <c r="T24" s="242">
        <f>S67*1.0%/4</f>
        <v/>
      </c>
      <c r="U24" s="242">
        <f>T67*1.0%/4</f>
        <v/>
      </c>
      <c r="V24" s="242">
        <f>U67*1.0%/4</f>
        <v/>
      </c>
    </row>
    <row r="25">
      <c r="A25" s="165" t="inlineStr">
        <is>
          <t>Pre-tax income</t>
        </is>
      </c>
      <c r="B25" s="165" t="inlineStr">
        <is>
          <t>$mm</t>
        </is>
      </c>
      <c r="C25" s="242">
        <f>C21+C22-C23+C24</f>
        <v/>
      </c>
      <c r="D25" s="242">
        <f>D21+D22-D23+D24</f>
        <v/>
      </c>
      <c r="E25" s="242">
        <f>E21+E22-E23+E24</f>
        <v/>
      </c>
      <c r="F25" s="242">
        <f>F21+F22-F23+F24</f>
        <v/>
      </c>
      <c r="G25" s="242">
        <f>G21+G22-G23+G24</f>
        <v/>
      </c>
      <c r="H25" s="242">
        <f>H21+H22-H23+H24</f>
        <v/>
      </c>
      <c r="I25" s="242">
        <f>I21+I22-I23+I24</f>
        <v/>
      </c>
      <c r="J25" s="242">
        <f>J21+J22-J23+J24</f>
        <v/>
      </c>
      <c r="K25" s="242">
        <f>K21+K22-K23+K24</f>
        <v/>
      </c>
      <c r="L25" s="242">
        <f>L21+L22-L23+L24</f>
        <v/>
      </c>
      <c r="M25" s="242">
        <f>M21+M22-M23+M24</f>
        <v/>
      </c>
      <c r="N25" s="242">
        <f>N21+N22-N23+N24</f>
        <v/>
      </c>
      <c r="O25" s="242">
        <f>O21+O22-O23+O24</f>
        <v/>
      </c>
      <c r="P25" s="242">
        <f>P21+P22-P23+P24</f>
        <v/>
      </c>
      <c r="Q25" s="242">
        <f>Q21+Q22-Q23+Q24</f>
        <v/>
      </c>
      <c r="R25" s="242">
        <f>R21+R22-R23+R24</f>
        <v/>
      </c>
      <c r="S25" s="242">
        <f>S21+S22-S23+S24</f>
        <v/>
      </c>
      <c r="T25" s="242">
        <f>T21+T22-T23+T24</f>
        <v/>
      </c>
      <c r="U25" s="242">
        <f>U21+U22-U23+U24</f>
        <v/>
      </c>
      <c r="V25" s="242">
        <f>V21+V22-V23+V24</f>
        <v/>
      </c>
    </row>
    <row r="26">
      <c r="A26" s="165" t="inlineStr">
        <is>
          <t>Book tax expense</t>
        </is>
      </c>
      <c r="B26" s="165" t="inlineStr">
        <is>
          <t>$mm</t>
        </is>
      </c>
      <c r="C26" s="242">
        <f>-MAX(0,C25*Inputs!$B$15)</f>
        <v/>
      </c>
      <c r="D26" s="242">
        <f>-MAX(0,D25*Inputs!$B$15)</f>
        <v/>
      </c>
      <c r="E26" s="242">
        <f>-MAX(0,E25*Inputs!$B$15)</f>
        <v/>
      </c>
      <c r="F26" s="242">
        <f>-MAX(0,F25*Inputs!$B$15)</f>
        <v/>
      </c>
      <c r="G26" s="242">
        <f>-MAX(0,G25*Inputs!$B$15)</f>
        <v/>
      </c>
      <c r="H26" s="242">
        <f>-MAX(0,H25*Inputs!$B$15)</f>
        <v/>
      </c>
      <c r="I26" s="242">
        <f>-MAX(0,I25*Inputs!$B$15)</f>
        <v/>
      </c>
      <c r="J26" s="242">
        <f>-MAX(0,J25*Inputs!$B$15)</f>
        <v/>
      </c>
      <c r="K26" s="242">
        <f>-MAX(0,K25*Inputs!$B$15)</f>
        <v/>
      </c>
      <c r="L26" s="242">
        <f>-MAX(0,L25*Inputs!$B$15)</f>
        <v/>
      </c>
      <c r="M26" s="242">
        <f>-MAX(0,M25*Inputs!$B$15)</f>
        <v/>
      </c>
      <c r="N26" s="242">
        <f>-MAX(0,N25*Inputs!$B$15)</f>
        <v/>
      </c>
      <c r="O26" s="242">
        <f>-MAX(0,O25*Inputs!$B$15)</f>
        <v/>
      </c>
      <c r="P26" s="242">
        <f>-MAX(0,P25*Inputs!$B$15)</f>
        <v/>
      </c>
      <c r="Q26" s="242">
        <f>-MAX(0,Q25*Inputs!$B$15)</f>
        <v/>
      </c>
      <c r="R26" s="242">
        <f>-MAX(0,R25*Inputs!$B$15)</f>
        <v/>
      </c>
      <c r="S26" s="242">
        <f>-MAX(0,S25*Inputs!$B$15)</f>
        <v/>
      </c>
      <c r="T26" s="242">
        <f>-MAX(0,T25*Inputs!$B$15)</f>
        <v/>
      </c>
      <c r="U26" s="242">
        <f>-MAX(0,U25*Inputs!$B$15)</f>
        <v/>
      </c>
      <c r="V26" s="242">
        <f>-MAX(0,V25*Inputs!$B$15)</f>
        <v/>
      </c>
    </row>
    <row r="27">
      <c r="A27" s="165" t="inlineStr">
        <is>
          <t>Cash taxes</t>
        </is>
      </c>
      <c r="B27" s="165" t="inlineStr">
        <is>
          <t>$mm</t>
        </is>
      </c>
      <c r="C27" s="242">
        <f>-MAX(0,(C116-0)*Inputs!$B$15)</f>
        <v/>
      </c>
      <c r="D27" s="242">
        <f>-MAX(0,(D116-C115)*Inputs!$B$15)</f>
        <v/>
      </c>
      <c r="E27" s="242">
        <f>-MAX(0,(E116-D115)*Inputs!$B$15)</f>
        <v/>
      </c>
      <c r="F27" s="242">
        <f>-MAX(0,(F116-E115)*Inputs!$B$15)</f>
        <v/>
      </c>
      <c r="G27" s="242">
        <f>-MAX(0,(G116-F115)*Inputs!$B$15)</f>
        <v/>
      </c>
      <c r="H27" s="242">
        <f>-MAX(0,(H116-G115)*Inputs!$B$15)</f>
        <v/>
      </c>
      <c r="I27" s="242">
        <f>-MAX(0,(I116-H115)*Inputs!$B$15)</f>
        <v/>
      </c>
      <c r="J27" s="242">
        <f>-MAX(0,(J116-I115)*Inputs!$B$15)</f>
        <v/>
      </c>
      <c r="K27" s="242">
        <f>-MAX(0,(K116-J115)*Inputs!$B$15)</f>
        <v/>
      </c>
      <c r="L27" s="242">
        <f>-MAX(0,(L116-K115)*Inputs!$B$15)</f>
        <v/>
      </c>
      <c r="M27" s="242">
        <f>-MAX(0,(M116-L115)*Inputs!$B$15)</f>
        <v/>
      </c>
      <c r="N27" s="242">
        <f>-MAX(0,(N116-M115)*Inputs!$B$15)</f>
        <v/>
      </c>
      <c r="O27" s="242">
        <f>-MAX(0,(O116-N115)*Inputs!$B$15)</f>
        <v/>
      </c>
      <c r="P27" s="242">
        <f>-MAX(0,(P116-O115)*Inputs!$B$15)</f>
        <v/>
      </c>
      <c r="Q27" s="242">
        <f>-MAX(0,(Q116-P115)*Inputs!$B$15)</f>
        <v/>
      </c>
      <c r="R27" s="242">
        <f>-MAX(0,(R116-Q115)*Inputs!$B$15)</f>
        <v/>
      </c>
      <c r="S27" s="242">
        <f>-MAX(0,(S116-R115)*Inputs!$B$15)</f>
        <v/>
      </c>
      <c r="T27" s="242">
        <f>-MAX(0,(T116-S115)*Inputs!$B$15)</f>
        <v/>
      </c>
      <c r="U27" s="242">
        <f>-MAX(0,(U116-T115)*Inputs!$B$15)</f>
        <v/>
      </c>
      <c r="V27" s="242">
        <f>-MAX(0,(V116-U115)*Inputs!$B$15)</f>
        <v/>
      </c>
    </row>
    <row r="28">
      <c r="A28" s="165" t="inlineStr">
        <is>
          <t>Net income</t>
        </is>
      </c>
      <c r="B28" s="165" t="inlineStr">
        <is>
          <t>$mm</t>
        </is>
      </c>
      <c r="C28" s="242">
        <f>C25+C26</f>
        <v/>
      </c>
      <c r="D28" s="242">
        <f>D25+D26</f>
        <v/>
      </c>
      <c r="E28" s="242">
        <f>E25+E26</f>
        <v/>
      </c>
      <c r="F28" s="242">
        <f>F25+F26</f>
        <v/>
      </c>
      <c r="G28" s="242">
        <f>G25+G26</f>
        <v/>
      </c>
      <c r="H28" s="242">
        <f>H25+H26</f>
        <v/>
      </c>
      <c r="I28" s="242">
        <f>I25+I26</f>
        <v/>
      </c>
      <c r="J28" s="242">
        <f>J25+J26</f>
        <v/>
      </c>
      <c r="K28" s="242">
        <f>K25+K26</f>
        <v/>
      </c>
      <c r="L28" s="242">
        <f>L25+L26</f>
        <v/>
      </c>
      <c r="M28" s="242">
        <f>M25+M26</f>
        <v/>
      </c>
      <c r="N28" s="242">
        <f>N25+N26</f>
        <v/>
      </c>
      <c r="O28" s="242">
        <f>O25+O26</f>
        <v/>
      </c>
      <c r="P28" s="242">
        <f>P25+P26</f>
        <v/>
      </c>
      <c r="Q28" s="242">
        <f>Q25+Q26</f>
        <v/>
      </c>
      <c r="R28" s="242">
        <f>R25+R26</f>
        <v/>
      </c>
      <c r="S28" s="242">
        <f>S25+S26</f>
        <v/>
      </c>
      <c r="T28" s="242">
        <f>T25+T26</f>
        <v/>
      </c>
      <c r="U28" s="242">
        <f>U25+U26</f>
        <v/>
      </c>
      <c r="V28" s="242">
        <f>V25+V26</f>
        <v/>
      </c>
    </row>
    <row r="29">
      <c r="A29" s="39" t="inlineStr">
        <is>
          <t>Working Capital and Capital Expenditure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>
      <c r="A30" s="165" t="inlineStr">
        <is>
          <t>Accounts receivable</t>
        </is>
      </c>
      <c r="B30" s="165" t="inlineStr">
        <is>
          <t>$mm</t>
        </is>
      </c>
      <c r="C30" s="242">
        <f>(C5/'Scenario_Drivers'!C138)*'Scenario_Drivers'!C112/365</f>
        <v/>
      </c>
      <c r="D30" s="242">
        <f>(D5/'Scenario_Drivers'!D138)*'Scenario_Drivers'!D112/365</f>
        <v/>
      </c>
      <c r="E30" s="242">
        <f>(E5/'Scenario_Drivers'!E138)*'Scenario_Drivers'!E112/365</f>
        <v/>
      </c>
      <c r="F30" s="242">
        <f>(F5/'Scenario_Drivers'!F138)*'Scenario_Drivers'!F112/365</f>
        <v/>
      </c>
      <c r="G30" s="242">
        <f>(G5/'Scenario_Drivers'!G138)*'Scenario_Drivers'!G112/365</f>
        <v/>
      </c>
      <c r="H30" s="242">
        <f>(H5/'Scenario_Drivers'!H138)*'Scenario_Drivers'!H112/365</f>
        <v/>
      </c>
      <c r="I30" s="242">
        <f>(I5/'Scenario_Drivers'!I138)*'Scenario_Drivers'!I112/365</f>
        <v/>
      </c>
      <c r="J30" s="242">
        <f>(J5/'Scenario_Drivers'!J138)*'Scenario_Drivers'!J112/365</f>
        <v/>
      </c>
      <c r="K30" s="242">
        <f>(K5/'Scenario_Drivers'!K138)*'Scenario_Drivers'!K112/365</f>
        <v/>
      </c>
      <c r="L30" s="242">
        <f>(L5/'Scenario_Drivers'!L138)*'Scenario_Drivers'!L112/365</f>
        <v/>
      </c>
      <c r="M30" s="242">
        <f>(M5/'Scenario_Drivers'!M138)*'Scenario_Drivers'!M112/365</f>
        <v/>
      </c>
      <c r="N30" s="242">
        <f>(N5/'Scenario_Drivers'!N138)*'Scenario_Drivers'!N112/365</f>
        <v/>
      </c>
      <c r="O30" s="242">
        <f>(O5/'Scenario_Drivers'!O138)*'Scenario_Drivers'!O112/365</f>
        <v/>
      </c>
      <c r="P30" s="242">
        <f>(P5/'Scenario_Drivers'!P138)*'Scenario_Drivers'!P112/365</f>
        <v/>
      </c>
      <c r="Q30" s="242">
        <f>(Q5/'Scenario_Drivers'!Q138)*'Scenario_Drivers'!Q112/365</f>
        <v/>
      </c>
      <c r="R30" s="242">
        <f>(R5/'Scenario_Drivers'!R138)*'Scenario_Drivers'!R112/365</f>
        <v/>
      </c>
      <c r="S30" s="242">
        <f>(S5/'Scenario_Drivers'!S138)*'Scenario_Drivers'!S112/365</f>
        <v/>
      </c>
      <c r="T30" s="242">
        <f>(T5/'Scenario_Drivers'!T138)*'Scenario_Drivers'!T112/365</f>
        <v/>
      </c>
      <c r="U30" s="242">
        <f>(U5/'Scenario_Drivers'!U138)*'Scenario_Drivers'!U112/365</f>
        <v/>
      </c>
      <c r="V30" s="242">
        <f>(V5/'Scenario_Drivers'!V138)*'Scenario_Drivers'!V112/365</f>
        <v/>
      </c>
    </row>
    <row r="31">
      <c r="A31" s="165" t="inlineStr">
        <is>
          <t>Unbilled WIP</t>
        </is>
      </c>
      <c r="B31" s="165" t="inlineStr">
        <is>
          <t>$mm</t>
        </is>
      </c>
      <c r="C31" s="242">
        <f>(C5/'Scenario_Drivers'!C138)*'Scenario_Drivers'!C113</f>
        <v/>
      </c>
      <c r="D31" s="242">
        <f>(D5/'Scenario_Drivers'!D138)*'Scenario_Drivers'!D113</f>
        <v/>
      </c>
      <c r="E31" s="242">
        <f>(E5/'Scenario_Drivers'!E138)*'Scenario_Drivers'!E113</f>
        <v/>
      </c>
      <c r="F31" s="242">
        <f>(F5/'Scenario_Drivers'!F138)*'Scenario_Drivers'!F113</f>
        <v/>
      </c>
      <c r="G31" s="242">
        <f>(G5/'Scenario_Drivers'!G138)*'Scenario_Drivers'!G113</f>
        <v/>
      </c>
      <c r="H31" s="242">
        <f>(H5/'Scenario_Drivers'!H138)*'Scenario_Drivers'!H113</f>
        <v/>
      </c>
      <c r="I31" s="242">
        <f>(I5/'Scenario_Drivers'!I138)*'Scenario_Drivers'!I113</f>
        <v/>
      </c>
      <c r="J31" s="242">
        <f>(J5/'Scenario_Drivers'!J138)*'Scenario_Drivers'!J113</f>
        <v/>
      </c>
      <c r="K31" s="242">
        <f>(K5/'Scenario_Drivers'!K138)*'Scenario_Drivers'!K113</f>
        <v/>
      </c>
      <c r="L31" s="242">
        <f>(L5/'Scenario_Drivers'!L138)*'Scenario_Drivers'!L113</f>
        <v/>
      </c>
      <c r="M31" s="242">
        <f>(M5/'Scenario_Drivers'!M138)*'Scenario_Drivers'!M113</f>
        <v/>
      </c>
      <c r="N31" s="242">
        <f>(N5/'Scenario_Drivers'!N138)*'Scenario_Drivers'!N113</f>
        <v/>
      </c>
      <c r="O31" s="242">
        <f>(O5/'Scenario_Drivers'!O138)*'Scenario_Drivers'!O113</f>
        <v/>
      </c>
      <c r="P31" s="242">
        <f>(P5/'Scenario_Drivers'!P138)*'Scenario_Drivers'!P113</f>
        <v/>
      </c>
      <c r="Q31" s="242">
        <f>(Q5/'Scenario_Drivers'!Q138)*'Scenario_Drivers'!Q113</f>
        <v/>
      </c>
      <c r="R31" s="242">
        <f>(R5/'Scenario_Drivers'!R138)*'Scenario_Drivers'!R113</f>
        <v/>
      </c>
      <c r="S31" s="242">
        <f>(S5/'Scenario_Drivers'!S138)*'Scenario_Drivers'!S113</f>
        <v/>
      </c>
      <c r="T31" s="242">
        <f>(T5/'Scenario_Drivers'!T138)*'Scenario_Drivers'!T113</f>
        <v/>
      </c>
      <c r="U31" s="242">
        <f>(U5/'Scenario_Drivers'!U138)*'Scenario_Drivers'!U113</f>
        <v/>
      </c>
      <c r="V31" s="242">
        <f>(V5/'Scenario_Drivers'!V138)*'Scenario_Drivers'!V113</f>
        <v/>
      </c>
    </row>
    <row r="32">
      <c r="A32" s="165" t="inlineStr">
        <is>
          <t>Prepaids</t>
        </is>
      </c>
      <c r="B32" s="165" t="inlineStr">
        <is>
          <t>$mm</t>
        </is>
      </c>
      <c r="C32" s="242">
        <f>(C5/'Scenario_Drivers'!C138)*'Scenario_Drivers'!C114</f>
        <v/>
      </c>
      <c r="D32" s="242">
        <f>(D5/'Scenario_Drivers'!D138)*'Scenario_Drivers'!D114</f>
        <v/>
      </c>
      <c r="E32" s="242">
        <f>(E5/'Scenario_Drivers'!E138)*'Scenario_Drivers'!E114</f>
        <v/>
      </c>
      <c r="F32" s="242">
        <f>(F5/'Scenario_Drivers'!F138)*'Scenario_Drivers'!F114</f>
        <v/>
      </c>
      <c r="G32" s="242">
        <f>(G5/'Scenario_Drivers'!G138)*'Scenario_Drivers'!G114</f>
        <v/>
      </c>
      <c r="H32" s="242">
        <f>(H5/'Scenario_Drivers'!H138)*'Scenario_Drivers'!H114</f>
        <v/>
      </c>
      <c r="I32" s="242">
        <f>(I5/'Scenario_Drivers'!I138)*'Scenario_Drivers'!I114</f>
        <v/>
      </c>
      <c r="J32" s="242">
        <f>(J5/'Scenario_Drivers'!J138)*'Scenario_Drivers'!J114</f>
        <v/>
      </c>
      <c r="K32" s="242">
        <f>(K5/'Scenario_Drivers'!K138)*'Scenario_Drivers'!K114</f>
        <v/>
      </c>
      <c r="L32" s="242">
        <f>(L5/'Scenario_Drivers'!L138)*'Scenario_Drivers'!L114</f>
        <v/>
      </c>
      <c r="M32" s="242">
        <f>(M5/'Scenario_Drivers'!M138)*'Scenario_Drivers'!M114</f>
        <v/>
      </c>
      <c r="N32" s="242">
        <f>(N5/'Scenario_Drivers'!N138)*'Scenario_Drivers'!N114</f>
        <v/>
      </c>
      <c r="O32" s="242">
        <f>(O5/'Scenario_Drivers'!O138)*'Scenario_Drivers'!O114</f>
        <v/>
      </c>
      <c r="P32" s="242">
        <f>(P5/'Scenario_Drivers'!P138)*'Scenario_Drivers'!P114</f>
        <v/>
      </c>
      <c r="Q32" s="242">
        <f>(Q5/'Scenario_Drivers'!Q138)*'Scenario_Drivers'!Q114</f>
        <v/>
      </c>
      <c r="R32" s="242">
        <f>(R5/'Scenario_Drivers'!R138)*'Scenario_Drivers'!R114</f>
        <v/>
      </c>
      <c r="S32" s="242">
        <f>(S5/'Scenario_Drivers'!S138)*'Scenario_Drivers'!S114</f>
        <v/>
      </c>
      <c r="T32" s="242">
        <f>(T5/'Scenario_Drivers'!T138)*'Scenario_Drivers'!T114</f>
        <v/>
      </c>
      <c r="U32" s="242">
        <f>(U5/'Scenario_Drivers'!U138)*'Scenario_Drivers'!U114</f>
        <v/>
      </c>
      <c r="V32" s="242">
        <f>(V5/'Scenario_Drivers'!V138)*'Scenario_Drivers'!V114</f>
        <v/>
      </c>
    </row>
    <row r="33">
      <c r="A33" s="165" t="inlineStr">
        <is>
          <t>Accounts payable</t>
        </is>
      </c>
      <c r="B33" s="165" t="inlineStr">
        <is>
          <t>$mm</t>
        </is>
      </c>
      <c r="C33" s="242">
        <f>(C5/'Scenario_Drivers'!C138)*'Scenario_Drivers'!C115</f>
        <v/>
      </c>
      <c r="D33" s="242">
        <f>(D5/'Scenario_Drivers'!D138)*'Scenario_Drivers'!D115</f>
        <v/>
      </c>
      <c r="E33" s="242">
        <f>(E5/'Scenario_Drivers'!E138)*'Scenario_Drivers'!E115</f>
        <v/>
      </c>
      <c r="F33" s="242">
        <f>(F5/'Scenario_Drivers'!F138)*'Scenario_Drivers'!F115</f>
        <v/>
      </c>
      <c r="G33" s="242">
        <f>(G5/'Scenario_Drivers'!G138)*'Scenario_Drivers'!G115</f>
        <v/>
      </c>
      <c r="H33" s="242">
        <f>(H5/'Scenario_Drivers'!H138)*'Scenario_Drivers'!H115</f>
        <v/>
      </c>
      <c r="I33" s="242">
        <f>(I5/'Scenario_Drivers'!I138)*'Scenario_Drivers'!I115</f>
        <v/>
      </c>
      <c r="J33" s="242">
        <f>(J5/'Scenario_Drivers'!J138)*'Scenario_Drivers'!J115</f>
        <v/>
      </c>
      <c r="K33" s="242">
        <f>(K5/'Scenario_Drivers'!K138)*'Scenario_Drivers'!K115</f>
        <v/>
      </c>
      <c r="L33" s="242">
        <f>(L5/'Scenario_Drivers'!L138)*'Scenario_Drivers'!L115</f>
        <v/>
      </c>
      <c r="M33" s="242">
        <f>(M5/'Scenario_Drivers'!M138)*'Scenario_Drivers'!M115</f>
        <v/>
      </c>
      <c r="N33" s="242">
        <f>(N5/'Scenario_Drivers'!N138)*'Scenario_Drivers'!N115</f>
        <v/>
      </c>
      <c r="O33" s="242">
        <f>(O5/'Scenario_Drivers'!O138)*'Scenario_Drivers'!O115</f>
        <v/>
      </c>
      <c r="P33" s="242">
        <f>(P5/'Scenario_Drivers'!P138)*'Scenario_Drivers'!P115</f>
        <v/>
      </c>
      <c r="Q33" s="242">
        <f>(Q5/'Scenario_Drivers'!Q138)*'Scenario_Drivers'!Q115</f>
        <v/>
      </c>
      <c r="R33" s="242">
        <f>(R5/'Scenario_Drivers'!R138)*'Scenario_Drivers'!R115</f>
        <v/>
      </c>
      <c r="S33" s="242">
        <f>(S5/'Scenario_Drivers'!S138)*'Scenario_Drivers'!S115</f>
        <v/>
      </c>
      <c r="T33" s="242">
        <f>(T5/'Scenario_Drivers'!T138)*'Scenario_Drivers'!T115</f>
        <v/>
      </c>
      <c r="U33" s="242">
        <f>(U5/'Scenario_Drivers'!U138)*'Scenario_Drivers'!U115</f>
        <v/>
      </c>
      <c r="V33" s="242">
        <f>(V5/'Scenario_Drivers'!V138)*'Scenario_Drivers'!V115</f>
        <v/>
      </c>
    </row>
    <row r="34">
      <c r="A34" s="165" t="inlineStr">
        <is>
          <t>Accrued liabilities</t>
        </is>
      </c>
      <c r="B34" s="165" t="inlineStr">
        <is>
          <t>$mm</t>
        </is>
      </c>
      <c r="C34" s="242">
        <f>(C5/'Scenario_Drivers'!C138)*'Scenario_Drivers'!C116</f>
        <v/>
      </c>
      <c r="D34" s="242">
        <f>(D5/'Scenario_Drivers'!D138)*'Scenario_Drivers'!D116</f>
        <v/>
      </c>
      <c r="E34" s="242">
        <f>(E5/'Scenario_Drivers'!E138)*'Scenario_Drivers'!E116</f>
        <v/>
      </c>
      <c r="F34" s="242">
        <f>(F5/'Scenario_Drivers'!F138)*'Scenario_Drivers'!F116</f>
        <v/>
      </c>
      <c r="G34" s="242">
        <f>(G5/'Scenario_Drivers'!G138)*'Scenario_Drivers'!G116</f>
        <v/>
      </c>
      <c r="H34" s="242">
        <f>(H5/'Scenario_Drivers'!H138)*'Scenario_Drivers'!H116</f>
        <v/>
      </c>
      <c r="I34" s="242">
        <f>(I5/'Scenario_Drivers'!I138)*'Scenario_Drivers'!I116</f>
        <v/>
      </c>
      <c r="J34" s="242">
        <f>(J5/'Scenario_Drivers'!J138)*'Scenario_Drivers'!J116</f>
        <v/>
      </c>
      <c r="K34" s="242">
        <f>(K5/'Scenario_Drivers'!K138)*'Scenario_Drivers'!K116</f>
        <v/>
      </c>
      <c r="L34" s="242">
        <f>(L5/'Scenario_Drivers'!L138)*'Scenario_Drivers'!L116</f>
        <v/>
      </c>
      <c r="M34" s="242">
        <f>(M5/'Scenario_Drivers'!M138)*'Scenario_Drivers'!M116</f>
        <v/>
      </c>
      <c r="N34" s="242">
        <f>(N5/'Scenario_Drivers'!N138)*'Scenario_Drivers'!N116</f>
        <v/>
      </c>
      <c r="O34" s="242">
        <f>(O5/'Scenario_Drivers'!O138)*'Scenario_Drivers'!O116</f>
        <v/>
      </c>
      <c r="P34" s="242">
        <f>(P5/'Scenario_Drivers'!P138)*'Scenario_Drivers'!P116</f>
        <v/>
      </c>
      <c r="Q34" s="242">
        <f>(Q5/'Scenario_Drivers'!Q138)*'Scenario_Drivers'!Q116</f>
        <v/>
      </c>
      <c r="R34" s="242">
        <f>(R5/'Scenario_Drivers'!R138)*'Scenario_Drivers'!R116</f>
        <v/>
      </c>
      <c r="S34" s="242">
        <f>(S5/'Scenario_Drivers'!S138)*'Scenario_Drivers'!S116</f>
        <v/>
      </c>
      <c r="T34" s="242">
        <f>(T5/'Scenario_Drivers'!T138)*'Scenario_Drivers'!T116</f>
        <v/>
      </c>
      <c r="U34" s="242">
        <f>(U5/'Scenario_Drivers'!U138)*'Scenario_Drivers'!U116</f>
        <v/>
      </c>
      <c r="V34" s="242">
        <f>(V5/'Scenario_Drivers'!V138)*'Scenario_Drivers'!V116</f>
        <v/>
      </c>
    </row>
    <row r="35">
      <c r="A35" s="165" t="inlineStr">
        <is>
          <t>Deferred revenue</t>
        </is>
      </c>
      <c r="B35" s="165" t="inlineStr">
        <is>
          <t>$mm</t>
        </is>
      </c>
      <c r="C35" s="242">
        <f>(C5/'Scenario_Drivers'!C138)*'Scenario_Drivers'!C117</f>
        <v/>
      </c>
      <c r="D35" s="242">
        <f>(D5/'Scenario_Drivers'!D138)*'Scenario_Drivers'!D117</f>
        <v/>
      </c>
      <c r="E35" s="242">
        <f>(E5/'Scenario_Drivers'!E138)*'Scenario_Drivers'!E117</f>
        <v/>
      </c>
      <c r="F35" s="242">
        <f>(F5/'Scenario_Drivers'!F138)*'Scenario_Drivers'!F117</f>
        <v/>
      </c>
      <c r="G35" s="242">
        <f>(G5/'Scenario_Drivers'!G138)*'Scenario_Drivers'!G117</f>
        <v/>
      </c>
      <c r="H35" s="242">
        <f>(H5/'Scenario_Drivers'!H138)*'Scenario_Drivers'!H117</f>
        <v/>
      </c>
      <c r="I35" s="242">
        <f>(I5/'Scenario_Drivers'!I138)*'Scenario_Drivers'!I117</f>
        <v/>
      </c>
      <c r="J35" s="242">
        <f>(J5/'Scenario_Drivers'!J138)*'Scenario_Drivers'!J117</f>
        <v/>
      </c>
      <c r="K35" s="242">
        <f>(K5/'Scenario_Drivers'!K138)*'Scenario_Drivers'!K117</f>
        <v/>
      </c>
      <c r="L35" s="242">
        <f>(L5/'Scenario_Drivers'!L138)*'Scenario_Drivers'!L117</f>
        <v/>
      </c>
      <c r="M35" s="242">
        <f>(M5/'Scenario_Drivers'!M138)*'Scenario_Drivers'!M117</f>
        <v/>
      </c>
      <c r="N35" s="242">
        <f>(N5/'Scenario_Drivers'!N138)*'Scenario_Drivers'!N117</f>
        <v/>
      </c>
      <c r="O35" s="242">
        <f>(O5/'Scenario_Drivers'!O138)*'Scenario_Drivers'!O117</f>
        <v/>
      </c>
      <c r="P35" s="242">
        <f>(P5/'Scenario_Drivers'!P138)*'Scenario_Drivers'!P117</f>
        <v/>
      </c>
      <c r="Q35" s="242">
        <f>(Q5/'Scenario_Drivers'!Q138)*'Scenario_Drivers'!Q117</f>
        <v/>
      </c>
      <c r="R35" s="242">
        <f>(R5/'Scenario_Drivers'!R138)*'Scenario_Drivers'!R117</f>
        <v/>
      </c>
      <c r="S35" s="242">
        <f>(S5/'Scenario_Drivers'!S138)*'Scenario_Drivers'!S117</f>
        <v/>
      </c>
      <c r="T35" s="242">
        <f>(T5/'Scenario_Drivers'!T138)*'Scenario_Drivers'!T117</f>
        <v/>
      </c>
      <c r="U35" s="242">
        <f>(U5/'Scenario_Drivers'!U138)*'Scenario_Drivers'!U117</f>
        <v/>
      </c>
      <c r="V35" s="242">
        <f>(V5/'Scenario_Drivers'!V138)*'Scenario_Drivers'!V117</f>
        <v/>
      </c>
    </row>
    <row r="36">
      <c r="A36" s="165" t="inlineStr">
        <is>
          <t>Operating NWC</t>
        </is>
      </c>
      <c r="B36" s="165" t="inlineStr">
        <is>
          <t>$mm</t>
        </is>
      </c>
      <c r="C36" s="242">
        <f>C30+C31+C32-C33-C34-C35</f>
        <v/>
      </c>
      <c r="D36" s="242">
        <f>D30+D31+D32-D33-D34-D35</f>
        <v/>
      </c>
      <c r="E36" s="242">
        <f>E30+E31+E32-E33-E34-E35</f>
        <v/>
      </c>
      <c r="F36" s="242">
        <f>F30+F31+F32-F33-F34-F35</f>
        <v/>
      </c>
      <c r="G36" s="242">
        <f>G30+G31+G32-G33-G34-G35</f>
        <v/>
      </c>
      <c r="H36" s="242">
        <f>H30+H31+H32-H33-H34-H35</f>
        <v/>
      </c>
      <c r="I36" s="242">
        <f>I30+I31+I32-I33-I34-I35</f>
        <v/>
      </c>
      <c r="J36" s="242">
        <f>J30+J31+J32-J33-J34-J35</f>
        <v/>
      </c>
      <c r="K36" s="242">
        <f>K30+K31+K32-K33-K34-K35</f>
        <v/>
      </c>
      <c r="L36" s="242">
        <f>L30+L31+L32-L33-L34-L35</f>
        <v/>
      </c>
      <c r="M36" s="242">
        <f>M30+M31+M32-M33-M34-M35</f>
        <v/>
      </c>
      <c r="N36" s="242">
        <f>N30+N31+N32-N33-N34-N35</f>
        <v/>
      </c>
      <c r="O36" s="242">
        <f>O30+O31+O32-O33-O34-O35</f>
        <v/>
      </c>
      <c r="P36" s="242">
        <f>P30+P31+P32-P33-P34-P35</f>
        <v/>
      </c>
      <c r="Q36" s="242">
        <f>Q30+Q31+Q32-Q33-Q34-Q35</f>
        <v/>
      </c>
      <c r="R36" s="242">
        <f>R30+R31+R32-R33-R34-R35</f>
        <v/>
      </c>
      <c r="S36" s="242">
        <f>S30+S31+S32-S33-S34-S35</f>
        <v/>
      </c>
      <c r="T36" s="242">
        <f>T30+T31+T32-T33-T34-T35</f>
        <v/>
      </c>
      <c r="U36" s="242">
        <f>U30+U31+U32-U33-U34-U35</f>
        <v/>
      </c>
      <c r="V36" s="242">
        <f>V30+V31+V32-V33-V34-V35</f>
        <v/>
      </c>
    </row>
    <row r="37">
      <c r="A37" s="165" t="inlineStr">
        <is>
          <t>Acquired NWC</t>
        </is>
      </c>
      <c r="B37" s="165" t="inlineStr">
        <is>
          <t>$mm</t>
        </is>
      </c>
      <c r="C37" s="239">
        <f>'Scenario_Drivers'!C119</f>
        <v/>
      </c>
      <c r="D37" s="239">
        <f>'Scenario_Drivers'!D119</f>
        <v/>
      </c>
      <c r="E37" s="239">
        <f>'Scenario_Drivers'!E119</f>
        <v/>
      </c>
      <c r="F37" s="239">
        <f>'Scenario_Drivers'!F119</f>
        <v/>
      </c>
      <c r="G37" s="239">
        <f>'Scenario_Drivers'!G119</f>
        <v/>
      </c>
      <c r="H37" s="239">
        <f>'Scenario_Drivers'!H119</f>
        <v/>
      </c>
      <c r="I37" s="239">
        <f>'Scenario_Drivers'!I119</f>
        <v/>
      </c>
      <c r="J37" s="239">
        <f>'Scenario_Drivers'!J119</f>
        <v/>
      </c>
      <c r="K37" s="239">
        <f>'Scenario_Drivers'!K119</f>
        <v/>
      </c>
      <c r="L37" s="239">
        <f>'Scenario_Drivers'!L119</f>
        <v/>
      </c>
      <c r="M37" s="239">
        <f>'Scenario_Drivers'!M119</f>
        <v/>
      </c>
      <c r="N37" s="239">
        <f>'Scenario_Drivers'!N119</f>
        <v/>
      </c>
      <c r="O37" s="239">
        <f>'Scenario_Drivers'!O119</f>
        <v/>
      </c>
      <c r="P37" s="239">
        <f>'Scenario_Drivers'!P119</f>
        <v/>
      </c>
      <c r="Q37" s="239">
        <f>'Scenario_Drivers'!Q119</f>
        <v/>
      </c>
      <c r="R37" s="239">
        <f>'Scenario_Drivers'!R119</f>
        <v/>
      </c>
      <c r="S37" s="239">
        <f>'Scenario_Drivers'!S119</f>
        <v/>
      </c>
      <c r="T37" s="239">
        <f>'Scenario_Drivers'!T119</f>
        <v/>
      </c>
      <c r="U37" s="239">
        <f>'Scenario_Drivers'!U119</f>
        <v/>
      </c>
      <c r="V37" s="239">
        <f>'Scenario_Drivers'!V119</f>
        <v/>
      </c>
    </row>
    <row r="38">
      <c r="A38" s="165" t="inlineStr">
        <is>
          <t>Organic change in NWC</t>
        </is>
      </c>
      <c r="B38" s="165" t="inlineStr">
        <is>
          <t>$mm</t>
        </is>
      </c>
      <c r="C38" s="242">
        <f>C36-('S&amp;U_Opening'!$B$16+'S&amp;U_Opening'!$B$17+'S&amp;U_Opening'!$B$18-'S&amp;U_Opening'!$E$15-'S&amp;U_Opening'!$E$16-'S&amp;U_Opening'!$E$17)-C37</f>
        <v/>
      </c>
      <c r="D38" s="242">
        <f>D36-(C36)-D37</f>
        <v/>
      </c>
      <c r="E38" s="242">
        <f>E36-(D36)-E37</f>
        <v/>
      </c>
      <c r="F38" s="242">
        <f>F36-(E36)-F37</f>
        <v/>
      </c>
      <c r="G38" s="242">
        <f>G36-(F36)-G37</f>
        <v/>
      </c>
      <c r="H38" s="242">
        <f>H36-(G36)-H37</f>
        <v/>
      </c>
      <c r="I38" s="242">
        <f>I36-(H36)-I37</f>
        <v/>
      </c>
      <c r="J38" s="242">
        <f>J36-(I36)-J37</f>
        <v/>
      </c>
      <c r="K38" s="242">
        <f>K36-(J36)-K37</f>
        <v/>
      </c>
      <c r="L38" s="242">
        <f>L36-(K36)-L37</f>
        <v/>
      </c>
      <c r="M38" s="242">
        <f>M36-(L36)-M37</f>
        <v/>
      </c>
      <c r="N38" s="242">
        <f>N36-(M36)-N37</f>
        <v/>
      </c>
      <c r="O38" s="242">
        <f>O36-(N36)-O37</f>
        <v/>
      </c>
      <c r="P38" s="242">
        <f>P36-(O36)-P37</f>
        <v/>
      </c>
      <c r="Q38" s="242">
        <f>Q36-(P36)-Q37</f>
        <v/>
      </c>
      <c r="R38" s="242">
        <f>R36-(Q36)-R37</f>
        <v/>
      </c>
      <c r="S38" s="242">
        <f>S36-(R36)-S37</f>
        <v/>
      </c>
      <c r="T38" s="242">
        <f>T36-(S36)-T37</f>
        <v/>
      </c>
      <c r="U38" s="242">
        <f>U36-(T36)-U37</f>
        <v/>
      </c>
      <c r="V38" s="242">
        <f>V36-(U36)-V37</f>
        <v/>
      </c>
    </row>
    <row r="39">
      <c r="A39" s="165" t="inlineStr">
        <is>
          <t>Maintenance capex</t>
        </is>
      </c>
      <c r="B39" s="165" t="inlineStr">
        <is>
          <t>$mm</t>
        </is>
      </c>
      <c r="C39" s="242">
        <f>C5*'Scenario_Drivers'!C118*Inputs!$B$18</f>
        <v/>
      </c>
      <c r="D39" s="242">
        <f>D5*'Scenario_Drivers'!D118*Inputs!$B$18</f>
        <v/>
      </c>
      <c r="E39" s="242">
        <f>E5*'Scenario_Drivers'!E118*Inputs!$B$18</f>
        <v/>
      </c>
      <c r="F39" s="242">
        <f>F5*'Scenario_Drivers'!F118*Inputs!$B$18</f>
        <v/>
      </c>
      <c r="G39" s="242">
        <f>G5*'Scenario_Drivers'!G118*Inputs!$B$18</f>
        <v/>
      </c>
      <c r="H39" s="242">
        <f>H5*'Scenario_Drivers'!H118*Inputs!$B$18</f>
        <v/>
      </c>
      <c r="I39" s="242">
        <f>I5*'Scenario_Drivers'!I118*Inputs!$B$18</f>
        <v/>
      </c>
      <c r="J39" s="242">
        <f>J5*'Scenario_Drivers'!J118*Inputs!$B$18</f>
        <v/>
      </c>
      <c r="K39" s="242">
        <f>K5*'Scenario_Drivers'!K118*Inputs!$B$18</f>
        <v/>
      </c>
      <c r="L39" s="242">
        <f>L5*'Scenario_Drivers'!L118*Inputs!$B$18</f>
        <v/>
      </c>
      <c r="M39" s="242">
        <f>M5*'Scenario_Drivers'!M118*Inputs!$B$18</f>
        <v/>
      </c>
      <c r="N39" s="242">
        <f>N5*'Scenario_Drivers'!N118*Inputs!$B$18</f>
        <v/>
      </c>
      <c r="O39" s="242">
        <f>O5*'Scenario_Drivers'!O118*Inputs!$B$18</f>
        <v/>
      </c>
      <c r="P39" s="242">
        <f>P5*'Scenario_Drivers'!P118*Inputs!$B$18</f>
        <v/>
      </c>
      <c r="Q39" s="242">
        <f>Q5*'Scenario_Drivers'!Q118*Inputs!$B$18</f>
        <v/>
      </c>
      <c r="R39" s="242">
        <f>R5*'Scenario_Drivers'!R118*Inputs!$B$18</f>
        <v/>
      </c>
      <c r="S39" s="242">
        <f>S5*'Scenario_Drivers'!S118*Inputs!$B$18</f>
        <v/>
      </c>
      <c r="T39" s="242">
        <f>T5*'Scenario_Drivers'!T118*Inputs!$B$18</f>
        <v/>
      </c>
      <c r="U39" s="242">
        <f>U5*'Scenario_Drivers'!U118*Inputs!$B$18</f>
        <v/>
      </c>
      <c r="V39" s="242">
        <f>V5*'Scenario_Drivers'!V118*Inputs!$B$18</f>
        <v/>
      </c>
    </row>
    <row r="40">
      <c r="A40" s="165" t="inlineStr">
        <is>
          <t>Growth capex</t>
        </is>
      </c>
      <c r="B40" s="165" t="inlineStr">
        <is>
          <t>$mm</t>
        </is>
      </c>
      <c r="C40" s="242">
        <f>C5*'Scenario_Drivers'!C118*(1-Inputs!$B$18)</f>
        <v/>
      </c>
      <c r="D40" s="242">
        <f>D5*'Scenario_Drivers'!D118*(1-Inputs!$B$18)</f>
        <v/>
      </c>
      <c r="E40" s="242">
        <f>E5*'Scenario_Drivers'!E118*(1-Inputs!$B$18)</f>
        <v/>
      </c>
      <c r="F40" s="242">
        <f>F5*'Scenario_Drivers'!F118*(1-Inputs!$B$18)</f>
        <v/>
      </c>
      <c r="G40" s="242">
        <f>G5*'Scenario_Drivers'!G118*(1-Inputs!$B$18)</f>
        <v/>
      </c>
      <c r="H40" s="242">
        <f>H5*'Scenario_Drivers'!H118*(1-Inputs!$B$18)</f>
        <v/>
      </c>
      <c r="I40" s="242">
        <f>I5*'Scenario_Drivers'!I118*(1-Inputs!$B$18)</f>
        <v/>
      </c>
      <c r="J40" s="242">
        <f>J5*'Scenario_Drivers'!J118*(1-Inputs!$B$18)</f>
        <v/>
      </c>
      <c r="K40" s="242">
        <f>K5*'Scenario_Drivers'!K118*(1-Inputs!$B$18)</f>
        <v/>
      </c>
      <c r="L40" s="242">
        <f>L5*'Scenario_Drivers'!L118*(1-Inputs!$B$18)</f>
        <v/>
      </c>
      <c r="M40" s="242">
        <f>M5*'Scenario_Drivers'!M118*(1-Inputs!$B$18)</f>
        <v/>
      </c>
      <c r="N40" s="242">
        <f>N5*'Scenario_Drivers'!N118*(1-Inputs!$B$18)</f>
        <v/>
      </c>
      <c r="O40" s="242">
        <f>O5*'Scenario_Drivers'!O118*(1-Inputs!$B$18)</f>
        <v/>
      </c>
      <c r="P40" s="242">
        <f>P5*'Scenario_Drivers'!P118*(1-Inputs!$B$18)</f>
        <v/>
      </c>
      <c r="Q40" s="242">
        <f>Q5*'Scenario_Drivers'!Q118*(1-Inputs!$B$18)</f>
        <v/>
      </c>
      <c r="R40" s="242">
        <f>R5*'Scenario_Drivers'!R118*(1-Inputs!$B$18)</f>
        <v/>
      </c>
      <c r="S40" s="242">
        <f>S5*'Scenario_Drivers'!S118*(1-Inputs!$B$18)</f>
        <v/>
      </c>
      <c r="T40" s="242">
        <f>T5*'Scenario_Drivers'!T118*(1-Inputs!$B$18)</f>
        <v/>
      </c>
      <c r="U40" s="242">
        <f>U5*'Scenario_Drivers'!U118*(1-Inputs!$B$18)</f>
        <v/>
      </c>
      <c r="V40" s="242">
        <f>V5*'Scenario_Drivers'!V118*(1-Inputs!$B$18)</f>
        <v/>
      </c>
    </row>
    <row r="41">
      <c r="A41" s="165" t="inlineStr">
        <is>
          <t>Total capex</t>
        </is>
      </c>
      <c r="B41" s="165" t="inlineStr">
        <is>
          <t>$mm</t>
        </is>
      </c>
      <c r="C41" s="242">
        <f>SUM(C39:C40)</f>
        <v/>
      </c>
      <c r="D41" s="242">
        <f>SUM(D39:D40)</f>
        <v/>
      </c>
      <c r="E41" s="242">
        <f>SUM(E39:E40)</f>
        <v/>
      </c>
      <c r="F41" s="242">
        <f>SUM(F39:F40)</f>
        <v/>
      </c>
      <c r="G41" s="242">
        <f>SUM(G39:G40)</f>
        <v/>
      </c>
      <c r="H41" s="242">
        <f>SUM(H39:H40)</f>
        <v/>
      </c>
      <c r="I41" s="242">
        <f>SUM(I39:I40)</f>
        <v/>
      </c>
      <c r="J41" s="242">
        <f>SUM(J39:J40)</f>
        <v/>
      </c>
      <c r="K41" s="242">
        <f>SUM(K39:K40)</f>
        <v/>
      </c>
      <c r="L41" s="242">
        <f>SUM(L39:L40)</f>
        <v/>
      </c>
      <c r="M41" s="242">
        <f>SUM(M39:M40)</f>
        <v/>
      </c>
      <c r="N41" s="242">
        <f>SUM(N39:N40)</f>
        <v/>
      </c>
      <c r="O41" s="242">
        <f>SUM(O39:O40)</f>
        <v/>
      </c>
      <c r="P41" s="242">
        <f>SUM(P39:P40)</f>
        <v/>
      </c>
      <c r="Q41" s="242">
        <f>SUM(Q39:Q40)</f>
        <v/>
      </c>
      <c r="R41" s="242">
        <f>SUM(R39:R40)</f>
        <v/>
      </c>
      <c r="S41" s="242">
        <f>SUM(S39:S40)</f>
        <v/>
      </c>
      <c r="T41" s="242">
        <f>SUM(T39:T40)</f>
        <v/>
      </c>
      <c r="U41" s="242">
        <f>SUM(U39:U40)</f>
        <v/>
      </c>
      <c r="V41" s="242">
        <f>SUM(V39:V40)</f>
        <v/>
      </c>
    </row>
    <row r="42">
      <c r="A42" s="165" t="inlineStr">
        <is>
          <t>Acquired PP&amp;E</t>
        </is>
      </c>
      <c r="B42" s="165" t="inlineStr">
        <is>
          <t>$mm</t>
        </is>
      </c>
      <c r="C42" s="239">
        <f>'Scenario_Drivers'!C120</f>
        <v/>
      </c>
      <c r="D42" s="239">
        <f>'Scenario_Drivers'!D120</f>
        <v/>
      </c>
      <c r="E42" s="239">
        <f>'Scenario_Drivers'!E120</f>
        <v/>
      </c>
      <c r="F42" s="239">
        <f>'Scenario_Drivers'!F120</f>
        <v/>
      </c>
      <c r="G42" s="239">
        <f>'Scenario_Drivers'!G120</f>
        <v/>
      </c>
      <c r="H42" s="239">
        <f>'Scenario_Drivers'!H120</f>
        <v/>
      </c>
      <c r="I42" s="239">
        <f>'Scenario_Drivers'!I120</f>
        <v/>
      </c>
      <c r="J42" s="239">
        <f>'Scenario_Drivers'!J120</f>
        <v/>
      </c>
      <c r="K42" s="239">
        <f>'Scenario_Drivers'!K120</f>
        <v/>
      </c>
      <c r="L42" s="239">
        <f>'Scenario_Drivers'!L120</f>
        <v/>
      </c>
      <c r="M42" s="239">
        <f>'Scenario_Drivers'!M120</f>
        <v/>
      </c>
      <c r="N42" s="239">
        <f>'Scenario_Drivers'!N120</f>
        <v/>
      </c>
      <c r="O42" s="239">
        <f>'Scenario_Drivers'!O120</f>
        <v/>
      </c>
      <c r="P42" s="239">
        <f>'Scenario_Drivers'!P120</f>
        <v/>
      </c>
      <c r="Q42" s="239">
        <f>'Scenario_Drivers'!Q120</f>
        <v/>
      </c>
      <c r="R42" s="239">
        <f>'Scenario_Drivers'!R120</f>
        <v/>
      </c>
      <c r="S42" s="239">
        <f>'Scenario_Drivers'!S120</f>
        <v/>
      </c>
      <c r="T42" s="239">
        <f>'Scenario_Drivers'!T120</f>
        <v/>
      </c>
      <c r="U42" s="239">
        <f>'Scenario_Drivers'!U120</f>
        <v/>
      </c>
      <c r="V42" s="239">
        <f>'Scenario_Drivers'!V120</f>
        <v/>
      </c>
    </row>
    <row r="43">
      <c r="A43" s="165" t="inlineStr">
        <is>
          <t>Acquisition EV</t>
        </is>
      </c>
      <c r="B43" s="165" t="inlineStr">
        <is>
          <t>$mm</t>
        </is>
      </c>
      <c r="C43" s="239">
        <f>'Scenario_Drivers'!C121</f>
        <v/>
      </c>
      <c r="D43" s="239">
        <f>'Scenario_Drivers'!D121</f>
        <v/>
      </c>
      <c r="E43" s="239">
        <f>'Scenario_Drivers'!E121</f>
        <v/>
      </c>
      <c r="F43" s="239">
        <f>'Scenario_Drivers'!F121</f>
        <v/>
      </c>
      <c r="G43" s="239">
        <f>'Scenario_Drivers'!G121</f>
        <v/>
      </c>
      <c r="H43" s="239">
        <f>'Scenario_Drivers'!H121</f>
        <v/>
      </c>
      <c r="I43" s="239">
        <f>'Scenario_Drivers'!I121</f>
        <v/>
      </c>
      <c r="J43" s="239">
        <f>'Scenario_Drivers'!J121</f>
        <v/>
      </c>
      <c r="K43" s="239">
        <f>'Scenario_Drivers'!K121</f>
        <v/>
      </c>
      <c r="L43" s="239">
        <f>'Scenario_Drivers'!L121</f>
        <v/>
      </c>
      <c r="M43" s="239">
        <f>'Scenario_Drivers'!M121</f>
        <v/>
      </c>
      <c r="N43" s="239">
        <f>'Scenario_Drivers'!N121</f>
        <v/>
      </c>
      <c r="O43" s="239">
        <f>'Scenario_Drivers'!O121</f>
        <v/>
      </c>
      <c r="P43" s="239">
        <f>'Scenario_Drivers'!P121</f>
        <v/>
      </c>
      <c r="Q43" s="239">
        <f>'Scenario_Drivers'!Q121</f>
        <v/>
      </c>
      <c r="R43" s="239">
        <f>'Scenario_Drivers'!R121</f>
        <v/>
      </c>
      <c r="S43" s="239">
        <f>'Scenario_Drivers'!S121</f>
        <v/>
      </c>
      <c r="T43" s="239">
        <f>'Scenario_Drivers'!T121</f>
        <v/>
      </c>
      <c r="U43" s="239">
        <f>'Scenario_Drivers'!U121</f>
        <v/>
      </c>
      <c r="V43" s="239">
        <f>'Scenario_Drivers'!V121</f>
        <v/>
      </c>
    </row>
    <row r="44">
      <c r="A44" s="165" t="inlineStr">
        <is>
          <t>Acquisition fees</t>
        </is>
      </c>
      <c r="B44" s="165" t="inlineStr">
        <is>
          <t>$mm</t>
        </is>
      </c>
      <c r="C44" s="239">
        <f>'Scenario_Drivers'!C122</f>
        <v/>
      </c>
      <c r="D44" s="239">
        <f>'Scenario_Drivers'!D122</f>
        <v/>
      </c>
      <c r="E44" s="239">
        <f>'Scenario_Drivers'!E122</f>
        <v/>
      </c>
      <c r="F44" s="239">
        <f>'Scenario_Drivers'!F122</f>
        <v/>
      </c>
      <c r="G44" s="239">
        <f>'Scenario_Drivers'!G122</f>
        <v/>
      </c>
      <c r="H44" s="239">
        <f>'Scenario_Drivers'!H122</f>
        <v/>
      </c>
      <c r="I44" s="239">
        <f>'Scenario_Drivers'!I122</f>
        <v/>
      </c>
      <c r="J44" s="239">
        <f>'Scenario_Drivers'!J122</f>
        <v/>
      </c>
      <c r="K44" s="239">
        <f>'Scenario_Drivers'!K122</f>
        <v/>
      </c>
      <c r="L44" s="239">
        <f>'Scenario_Drivers'!L122</f>
        <v/>
      </c>
      <c r="M44" s="239">
        <f>'Scenario_Drivers'!M122</f>
        <v/>
      </c>
      <c r="N44" s="239">
        <f>'Scenario_Drivers'!N122</f>
        <v/>
      </c>
      <c r="O44" s="239">
        <f>'Scenario_Drivers'!O122</f>
        <v/>
      </c>
      <c r="P44" s="239">
        <f>'Scenario_Drivers'!P122</f>
        <v/>
      </c>
      <c r="Q44" s="239">
        <f>'Scenario_Drivers'!Q122</f>
        <v/>
      </c>
      <c r="R44" s="239">
        <f>'Scenario_Drivers'!R122</f>
        <v/>
      </c>
      <c r="S44" s="239">
        <f>'Scenario_Drivers'!S122</f>
        <v/>
      </c>
      <c r="T44" s="239">
        <f>'Scenario_Drivers'!T122</f>
        <v/>
      </c>
      <c r="U44" s="239">
        <f>'Scenario_Drivers'!U122</f>
        <v/>
      </c>
      <c r="V44" s="239">
        <f>'Scenario_Drivers'!V122</f>
        <v/>
      </c>
    </row>
    <row r="45">
      <c r="A45" s="165" t="inlineStr">
        <is>
          <t>Capitalized integration spend</t>
        </is>
      </c>
      <c r="B45" s="165" t="inlineStr">
        <is>
          <t>$mm</t>
        </is>
      </c>
      <c r="C45" s="239">
        <f>'Scenario_Drivers'!C129</f>
        <v/>
      </c>
      <c r="D45" s="239">
        <f>'Scenario_Drivers'!D129</f>
        <v/>
      </c>
      <c r="E45" s="239">
        <f>'Scenario_Drivers'!E129</f>
        <v/>
      </c>
      <c r="F45" s="239">
        <f>'Scenario_Drivers'!F129</f>
        <v/>
      </c>
      <c r="G45" s="239">
        <f>'Scenario_Drivers'!G129</f>
        <v/>
      </c>
      <c r="H45" s="239">
        <f>'Scenario_Drivers'!H129</f>
        <v/>
      </c>
      <c r="I45" s="239">
        <f>'Scenario_Drivers'!I129</f>
        <v/>
      </c>
      <c r="J45" s="239">
        <f>'Scenario_Drivers'!J129</f>
        <v/>
      </c>
      <c r="K45" s="239">
        <f>'Scenario_Drivers'!K129</f>
        <v/>
      </c>
      <c r="L45" s="239">
        <f>'Scenario_Drivers'!L129</f>
        <v/>
      </c>
      <c r="M45" s="239">
        <f>'Scenario_Drivers'!M129</f>
        <v/>
      </c>
      <c r="N45" s="239">
        <f>'Scenario_Drivers'!N129</f>
        <v/>
      </c>
      <c r="O45" s="239">
        <f>'Scenario_Drivers'!O129</f>
        <v/>
      </c>
      <c r="P45" s="239">
        <f>'Scenario_Drivers'!P129</f>
        <v/>
      </c>
      <c r="Q45" s="239">
        <f>'Scenario_Drivers'!Q129</f>
        <v/>
      </c>
      <c r="R45" s="239">
        <f>'Scenario_Drivers'!R129</f>
        <v/>
      </c>
      <c r="S45" s="239">
        <f>'Scenario_Drivers'!S129</f>
        <v/>
      </c>
      <c r="T45" s="239">
        <f>'Scenario_Drivers'!T129</f>
        <v/>
      </c>
      <c r="U45" s="239">
        <f>'Scenario_Drivers'!U129</f>
        <v/>
      </c>
      <c r="V45" s="239">
        <f>'Scenario_Drivers'!V129</f>
        <v/>
      </c>
    </row>
    <row r="46">
      <c r="A46" s="39" t="inlineStr">
        <is>
          <t>Cash Flow Statement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</row>
    <row r="47">
      <c r="A47" s="165" t="inlineStr">
        <is>
          <t>Net income - CF</t>
        </is>
      </c>
      <c r="B47" s="165" t="inlineStr">
        <is>
          <t>$mm</t>
        </is>
      </c>
      <c r="C47" s="242">
        <f>C28</f>
        <v/>
      </c>
      <c r="D47" s="242">
        <f>D28</f>
        <v/>
      </c>
      <c r="E47" s="242">
        <f>E28</f>
        <v/>
      </c>
      <c r="F47" s="242">
        <f>F28</f>
        <v/>
      </c>
      <c r="G47" s="242">
        <f>G28</f>
        <v/>
      </c>
      <c r="H47" s="242">
        <f>H28</f>
        <v/>
      </c>
      <c r="I47" s="242">
        <f>I28</f>
        <v/>
      </c>
      <c r="J47" s="242">
        <f>J28</f>
        <v/>
      </c>
      <c r="K47" s="242">
        <f>K28</f>
        <v/>
      </c>
      <c r="L47" s="242">
        <f>L28</f>
        <v/>
      </c>
      <c r="M47" s="242">
        <f>M28</f>
        <v/>
      </c>
      <c r="N47" s="242">
        <f>N28</f>
        <v/>
      </c>
      <c r="O47" s="242">
        <f>O28</f>
        <v/>
      </c>
      <c r="P47" s="242">
        <f>P28</f>
        <v/>
      </c>
      <c r="Q47" s="242">
        <f>Q28</f>
        <v/>
      </c>
      <c r="R47" s="242">
        <f>R28</f>
        <v/>
      </c>
      <c r="S47" s="242">
        <f>S28</f>
        <v/>
      </c>
      <c r="T47" s="242">
        <f>T28</f>
        <v/>
      </c>
      <c r="U47" s="242">
        <f>U28</f>
        <v/>
      </c>
      <c r="V47" s="242">
        <f>V28</f>
        <v/>
      </c>
    </row>
    <row r="48">
      <c r="A48" s="165" t="inlineStr">
        <is>
          <t>Total D&amp;A - CF</t>
        </is>
      </c>
      <c r="B48" s="165" t="inlineStr">
        <is>
          <t>$mm</t>
        </is>
      </c>
      <c r="C48" s="242">
        <f>C20</f>
        <v/>
      </c>
      <c r="D48" s="242">
        <f>D20</f>
        <v/>
      </c>
      <c r="E48" s="242">
        <f>E20</f>
        <v/>
      </c>
      <c r="F48" s="242">
        <f>F20</f>
        <v/>
      </c>
      <c r="G48" s="242">
        <f>G20</f>
        <v/>
      </c>
      <c r="H48" s="242">
        <f>H20</f>
        <v/>
      </c>
      <c r="I48" s="242">
        <f>I20</f>
        <v/>
      </c>
      <c r="J48" s="242">
        <f>J20</f>
        <v/>
      </c>
      <c r="K48" s="242">
        <f>K20</f>
        <v/>
      </c>
      <c r="L48" s="242">
        <f>L20</f>
        <v/>
      </c>
      <c r="M48" s="242">
        <f>M20</f>
        <v/>
      </c>
      <c r="N48" s="242">
        <f>N20</f>
        <v/>
      </c>
      <c r="O48" s="242">
        <f>O20</f>
        <v/>
      </c>
      <c r="P48" s="242">
        <f>P20</f>
        <v/>
      </c>
      <c r="Q48" s="242">
        <f>Q20</f>
        <v/>
      </c>
      <c r="R48" s="242">
        <f>R20</f>
        <v/>
      </c>
      <c r="S48" s="242">
        <f>S20</f>
        <v/>
      </c>
      <c r="T48" s="242">
        <f>T20</f>
        <v/>
      </c>
      <c r="U48" s="242">
        <f>U20</f>
        <v/>
      </c>
      <c r="V48" s="242">
        <f>V20</f>
        <v/>
      </c>
    </row>
    <row r="49">
      <c r="A49" s="165" t="inlineStr">
        <is>
          <t>Financing fee amortization - CF</t>
        </is>
      </c>
      <c r="B49" s="165" t="inlineStr">
        <is>
          <t>$mm</t>
        </is>
      </c>
      <c r="C49" s="242">
        <f>C23</f>
        <v/>
      </c>
      <c r="D49" s="242">
        <f>D23</f>
        <v/>
      </c>
      <c r="E49" s="242">
        <f>E23</f>
        <v/>
      </c>
      <c r="F49" s="242">
        <f>F23</f>
        <v/>
      </c>
      <c r="G49" s="242">
        <f>G23</f>
        <v/>
      </c>
      <c r="H49" s="242">
        <f>H23</f>
        <v/>
      </c>
      <c r="I49" s="242">
        <f>I23</f>
        <v/>
      </c>
      <c r="J49" s="242">
        <f>J23</f>
        <v/>
      </c>
      <c r="K49" s="242">
        <f>K23</f>
        <v/>
      </c>
      <c r="L49" s="242">
        <f>L23</f>
        <v/>
      </c>
      <c r="M49" s="242">
        <f>M23</f>
        <v/>
      </c>
      <c r="N49" s="242">
        <f>N23</f>
        <v/>
      </c>
      <c r="O49" s="242">
        <f>O23</f>
        <v/>
      </c>
      <c r="P49" s="242">
        <f>P23</f>
        <v/>
      </c>
      <c r="Q49" s="242">
        <f>Q23</f>
        <v/>
      </c>
      <c r="R49" s="242">
        <f>R23</f>
        <v/>
      </c>
      <c r="S49" s="242">
        <f>S23</f>
        <v/>
      </c>
      <c r="T49" s="242">
        <f>T23</f>
        <v/>
      </c>
      <c r="U49" s="242">
        <f>U23</f>
        <v/>
      </c>
      <c r="V49" s="242">
        <f>V23</f>
        <v/>
      </c>
    </row>
    <row r="50">
      <c r="A50" s="165" t="inlineStr">
        <is>
          <t>Deferred tax / non-cash tax</t>
        </is>
      </c>
      <c r="B50" s="165" t="inlineStr">
        <is>
          <t>$mm</t>
        </is>
      </c>
      <c r="C50" s="242">
        <f>-C26+C27</f>
        <v/>
      </c>
      <c r="D50" s="242">
        <f>-D26+D27</f>
        <v/>
      </c>
      <c r="E50" s="242">
        <f>-E26+E27</f>
        <v/>
      </c>
      <c r="F50" s="242">
        <f>-F26+F27</f>
        <v/>
      </c>
      <c r="G50" s="242">
        <f>-G26+G27</f>
        <v/>
      </c>
      <c r="H50" s="242">
        <f>-H26+H27</f>
        <v/>
      </c>
      <c r="I50" s="242">
        <f>-I26+I27</f>
        <v/>
      </c>
      <c r="J50" s="242">
        <f>-J26+J27</f>
        <v/>
      </c>
      <c r="K50" s="242">
        <f>-K26+K27</f>
        <v/>
      </c>
      <c r="L50" s="242">
        <f>-L26+L27</f>
        <v/>
      </c>
      <c r="M50" s="242">
        <f>-M26+M27</f>
        <v/>
      </c>
      <c r="N50" s="242">
        <f>-N26+N27</f>
        <v/>
      </c>
      <c r="O50" s="242">
        <f>-O26+O27</f>
        <v/>
      </c>
      <c r="P50" s="242">
        <f>-P26+P27</f>
        <v/>
      </c>
      <c r="Q50" s="242">
        <f>-Q26+Q27</f>
        <v/>
      </c>
      <c r="R50" s="242">
        <f>-R26+R27</f>
        <v/>
      </c>
      <c r="S50" s="242">
        <f>-S26+S27</f>
        <v/>
      </c>
      <c r="T50" s="242">
        <f>-T26+T27</f>
        <v/>
      </c>
      <c r="U50" s="242">
        <f>-U26+U27</f>
        <v/>
      </c>
      <c r="V50" s="242">
        <f>-V26+V27</f>
        <v/>
      </c>
    </row>
    <row r="51">
      <c r="A51" s="165" t="inlineStr">
        <is>
          <t>Change in NWC - CF</t>
        </is>
      </c>
      <c r="B51" s="165" t="inlineStr">
        <is>
          <t>$mm</t>
        </is>
      </c>
      <c r="C51" s="242">
        <f>-C38</f>
        <v/>
      </c>
      <c r="D51" s="242">
        <f>-D38</f>
        <v/>
      </c>
      <c r="E51" s="242">
        <f>-E38</f>
        <v/>
      </c>
      <c r="F51" s="242">
        <f>-F38</f>
        <v/>
      </c>
      <c r="G51" s="242">
        <f>-G38</f>
        <v/>
      </c>
      <c r="H51" s="242">
        <f>-H38</f>
        <v/>
      </c>
      <c r="I51" s="242">
        <f>-I38</f>
        <v/>
      </c>
      <c r="J51" s="242">
        <f>-J38</f>
        <v/>
      </c>
      <c r="K51" s="242">
        <f>-K38</f>
        <v/>
      </c>
      <c r="L51" s="242">
        <f>-L38</f>
        <v/>
      </c>
      <c r="M51" s="242">
        <f>-M38</f>
        <v/>
      </c>
      <c r="N51" s="242">
        <f>-N38</f>
        <v/>
      </c>
      <c r="O51" s="242">
        <f>-O38</f>
        <v/>
      </c>
      <c r="P51" s="242">
        <f>-P38</f>
        <v/>
      </c>
      <c r="Q51" s="242">
        <f>-Q38</f>
        <v/>
      </c>
      <c r="R51" s="242">
        <f>-R38</f>
        <v/>
      </c>
      <c r="S51" s="242">
        <f>-S38</f>
        <v/>
      </c>
      <c r="T51" s="242">
        <f>-T38</f>
        <v/>
      </c>
      <c r="U51" s="242">
        <f>-U38</f>
        <v/>
      </c>
      <c r="V51" s="242">
        <f>-V38</f>
        <v/>
      </c>
    </row>
    <row r="52">
      <c r="A52" s="165" t="inlineStr">
        <is>
          <t>Cash from operations</t>
        </is>
      </c>
      <c r="B52" s="165" t="inlineStr">
        <is>
          <t>$mm</t>
        </is>
      </c>
      <c r="C52" s="242">
        <f>SUM(C47:C51)</f>
        <v/>
      </c>
      <c r="D52" s="242">
        <f>SUM(D47:D51)</f>
        <v/>
      </c>
      <c r="E52" s="242">
        <f>SUM(E47:E51)</f>
        <v/>
      </c>
      <c r="F52" s="242">
        <f>SUM(F47:F51)</f>
        <v/>
      </c>
      <c r="G52" s="242">
        <f>SUM(G47:G51)</f>
        <v/>
      </c>
      <c r="H52" s="242">
        <f>SUM(H47:H51)</f>
        <v/>
      </c>
      <c r="I52" s="242">
        <f>SUM(I47:I51)</f>
        <v/>
      </c>
      <c r="J52" s="242">
        <f>SUM(J47:J51)</f>
        <v/>
      </c>
      <c r="K52" s="242">
        <f>SUM(K47:K51)</f>
        <v/>
      </c>
      <c r="L52" s="242">
        <f>SUM(L47:L51)</f>
        <v/>
      </c>
      <c r="M52" s="242">
        <f>SUM(M47:M51)</f>
        <v/>
      </c>
      <c r="N52" s="242">
        <f>SUM(N47:N51)</f>
        <v/>
      </c>
      <c r="O52" s="242">
        <f>SUM(O47:O51)</f>
        <v/>
      </c>
      <c r="P52" s="242">
        <f>SUM(P47:P51)</f>
        <v/>
      </c>
      <c r="Q52" s="242">
        <f>SUM(Q47:Q51)</f>
        <v/>
      </c>
      <c r="R52" s="242">
        <f>SUM(R47:R51)</f>
        <v/>
      </c>
      <c r="S52" s="242">
        <f>SUM(S47:S51)</f>
        <v/>
      </c>
      <c r="T52" s="242">
        <f>SUM(T47:T51)</f>
        <v/>
      </c>
      <c r="U52" s="242">
        <f>SUM(U47:U51)</f>
        <v/>
      </c>
      <c r="V52" s="242">
        <f>SUM(V47:V51)</f>
        <v/>
      </c>
    </row>
    <row r="53">
      <c r="A53" s="165" t="inlineStr">
        <is>
          <t>Capital expenditure - CF</t>
        </is>
      </c>
      <c r="B53" s="165" t="inlineStr">
        <is>
          <t>$mm</t>
        </is>
      </c>
      <c r="C53" s="242">
        <f>-C41</f>
        <v/>
      </c>
      <c r="D53" s="242">
        <f>-D41</f>
        <v/>
      </c>
      <c r="E53" s="242">
        <f>-E41</f>
        <v/>
      </c>
      <c r="F53" s="242">
        <f>-F41</f>
        <v/>
      </c>
      <c r="G53" s="242">
        <f>-G41</f>
        <v/>
      </c>
      <c r="H53" s="242">
        <f>-H41</f>
        <v/>
      </c>
      <c r="I53" s="242">
        <f>-I41</f>
        <v/>
      </c>
      <c r="J53" s="242">
        <f>-J41</f>
        <v/>
      </c>
      <c r="K53" s="242">
        <f>-K41</f>
        <v/>
      </c>
      <c r="L53" s="242">
        <f>-L41</f>
        <v/>
      </c>
      <c r="M53" s="242">
        <f>-M41</f>
        <v/>
      </c>
      <c r="N53" s="242">
        <f>-N41</f>
        <v/>
      </c>
      <c r="O53" s="242">
        <f>-O41</f>
        <v/>
      </c>
      <c r="P53" s="242">
        <f>-P41</f>
        <v/>
      </c>
      <c r="Q53" s="242">
        <f>-Q41</f>
        <v/>
      </c>
      <c r="R53" s="242">
        <f>-R41</f>
        <v/>
      </c>
      <c r="S53" s="242">
        <f>-S41</f>
        <v/>
      </c>
      <c r="T53" s="242">
        <f>-T41</f>
        <v/>
      </c>
      <c r="U53" s="242">
        <f>-U41</f>
        <v/>
      </c>
      <c r="V53" s="242">
        <f>-V41</f>
        <v/>
      </c>
    </row>
    <row r="54">
      <c r="A54" s="165" t="inlineStr">
        <is>
          <t>Acquisition EV - CF</t>
        </is>
      </c>
      <c r="B54" s="165" t="inlineStr">
        <is>
          <t>$mm</t>
        </is>
      </c>
      <c r="C54" s="242">
        <f>-C43</f>
        <v/>
      </c>
      <c r="D54" s="242">
        <f>-D43</f>
        <v/>
      </c>
      <c r="E54" s="242">
        <f>-E43</f>
        <v/>
      </c>
      <c r="F54" s="242">
        <f>-F43</f>
        <v/>
      </c>
      <c r="G54" s="242">
        <f>-G43</f>
        <v/>
      </c>
      <c r="H54" s="242">
        <f>-H43</f>
        <v/>
      </c>
      <c r="I54" s="242">
        <f>-I43</f>
        <v/>
      </c>
      <c r="J54" s="242">
        <f>-J43</f>
        <v/>
      </c>
      <c r="K54" s="242">
        <f>-K43</f>
        <v/>
      </c>
      <c r="L54" s="242">
        <f>-L43</f>
        <v/>
      </c>
      <c r="M54" s="242">
        <f>-M43</f>
        <v/>
      </c>
      <c r="N54" s="242">
        <f>-N43</f>
        <v/>
      </c>
      <c r="O54" s="242">
        <f>-O43</f>
        <v/>
      </c>
      <c r="P54" s="242">
        <f>-P43</f>
        <v/>
      </c>
      <c r="Q54" s="242">
        <f>-Q43</f>
        <v/>
      </c>
      <c r="R54" s="242">
        <f>-R43</f>
        <v/>
      </c>
      <c r="S54" s="242">
        <f>-S43</f>
        <v/>
      </c>
      <c r="T54" s="242">
        <f>-T43</f>
        <v/>
      </c>
      <c r="U54" s="242">
        <f>-U43</f>
        <v/>
      </c>
      <c r="V54" s="242">
        <f>-V43</f>
        <v/>
      </c>
    </row>
    <row r="55">
      <c r="A55" s="165" t="inlineStr">
        <is>
          <t>Capitalized integration spend - CF</t>
        </is>
      </c>
      <c r="B55" s="165" t="inlineStr">
        <is>
          <t>$mm</t>
        </is>
      </c>
      <c r="C55" s="242">
        <f>-C45</f>
        <v/>
      </c>
      <c r="D55" s="242">
        <f>-D45</f>
        <v/>
      </c>
      <c r="E55" s="242">
        <f>-E45</f>
        <v/>
      </c>
      <c r="F55" s="242">
        <f>-F45</f>
        <v/>
      </c>
      <c r="G55" s="242">
        <f>-G45</f>
        <v/>
      </c>
      <c r="H55" s="242">
        <f>-H45</f>
        <v/>
      </c>
      <c r="I55" s="242">
        <f>-I45</f>
        <v/>
      </c>
      <c r="J55" s="242">
        <f>-J45</f>
        <v/>
      </c>
      <c r="K55" s="242">
        <f>-K45</f>
        <v/>
      </c>
      <c r="L55" s="242">
        <f>-L45</f>
        <v/>
      </c>
      <c r="M55" s="242">
        <f>-M45</f>
        <v/>
      </c>
      <c r="N55" s="242">
        <f>-N45</f>
        <v/>
      </c>
      <c r="O55" s="242">
        <f>-O45</f>
        <v/>
      </c>
      <c r="P55" s="242">
        <f>-P45</f>
        <v/>
      </c>
      <c r="Q55" s="242">
        <f>-Q45</f>
        <v/>
      </c>
      <c r="R55" s="242">
        <f>-R45</f>
        <v/>
      </c>
      <c r="S55" s="242">
        <f>-S45</f>
        <v/>
      </c>
      <c r="T55" s="242">
        <f>-T45</f>
        <v/>
      </c>
      <c r="U55" s="242">
        <f>-U45</f>
        <v/>
      </c>
      <c r="V55" s="242">
        <f>-V45</f>
        <v/>
      </c>
    </row>
    <row r="56">
      <c r="A56" s="165" t="inlineStr">
        <is>
          <t>Cash from investing</t>
        </is>
      </c>
      <c r="B56" s="165" t="inlineStr">
        <is>
          <t>$mm</t>
        </is>
      </c>
      <c r="C56" s="242">
        <f>SUM(C53:C55)</f>
        <v/>
      </c>
      <c r="D56" s="242">
        <f>SUM(D53:D55)</f>
        <v/>
      </c>
      <c r="E56" s="242">
        <f>SUM(E53:E55)</f>
        <v/>
      </c>
      <c r="F56" s="242">
        <f>SUM(F53:F55)</f>
        <v/>
      </c>
      <c r="G56" s="242">
        <f>SUM(G53:G55)</f>
        <v/>
      </c>
      <c r="H56" s="242">
        <f>SUM(H53:H55)</f>
        <v/>
      </c>
      <c r="I56" s="242">
        <f>SUM(I53:I55)</f>
        <v/>
      </c>
      <c r="J56" s="242">
        <f>SUM(J53:J55)</f>
        <v/>
      </c>
      <c r="K56" s="242">
        <f>SUM(K53:K55)</f>
        <v/>
      </c>
      <c r="L56" s="242">
        <f>SUM(L53:L55)</f>
        <v/>
      </c>
      <c r="M56" s="242">
        <f>SUM(M53:M55)</f>
        <v/>
      </c>
      <c r="N56" s="242">
        <f>SUM(N53:N55)</f>
        <v/>
      </c>
      <c r="O56" s="242">
        <f>SUM(O53:O55)</f>
        <v/>
      </c>
      <c r="P56" s="242">
        <f>SUM(P53:P55)</f>
        <v/>
      </c>
      <c r="Q56" s="242">
        <f>SUM(Q53:Q55)</f>
        <v/>
      </c>
      <c r="R56" s="242">
        <f>SUM(R53:R55)</f>
        <v/>
      </c>
      <c r="S56" s="242">
        <f>SUM(S53:S55)</f>
        <v/>
      </c>
      <c r="T56" s="242">
        <f>SUM(T53:T55)</f>
        <v/>
      </c>
      <c r="U56" s="242">
        <f>SUM(U53:U55)</f>
        <v/>
      </c>
      <c r="V56" s="242">
        <f>SUM(V53:V55)</f>
        <v/>
      </c>
    </row>
    <row r="57">
      <c r="A57" s="165" t="inlineStr">
        <is>
          <t>Sponsor equity contribution</t>
        </is>
      </c>
      <c r="B57" s="165" t="inlineStr">
        <is>
          <t>$mm</t>
        </is>
      </c>
      <c r="C57" s="239">
        <f>'Scenario_Drivers'!C128</f>
        <v/>
      </c>
      <c r="D57" s="239">
        <f>'Scenario_Drivers'!D128</f>
        <v/>
      </c>
      <c r="E57" s="239">
        <f>'Scenario_Drivers'!E128</f>
        <v/>
      </c>
      <c r="F57" s="239">
        <f>'Scenario_Drivers'!F128</f>
        <v/>
      </c>
      <c r="G57" s="239">
        <f>'Scenario_Drivers'!G128</f>
        <v/>
      </c>
      <c r="H57" s="239">
        <f>'Scenario_Drivers'!H128</f>
        <v/>
      </c>
      <c r="I57" s="239">
        <f>'Scenario_Drivers'!I128</f>
        <v/>
      </c>
      <c r="J57" s="239">
        <f>'Scenario_Drivers'!J128</f>
        <v/>
      </c>
      <c r="K57" s="239">
        <f>'Scenario_Drivers'!K128</f>
        <v/>
      </c>
      <c r="L57" s="239">
        <f>'Scenario_Drivers'!L128</f>
        <v/>
      </c>
      <c r="M57" s="239">
        <f>'Scenario_Drivers'!M128</f>
        <v/>
      </c>
      <c r="N57" s="239">
        <f>'Scenario_Drivers'!N128</f>
        <v/>
      </c>
      <c r="O57" s="239">
        <f>'Scenario_Drivers'!O128</f>
        <v/>
      </c>
      <c r="P57" s="239">
        <f>'Scenario_Drivers'!P128</f>
        <v/>
      </c>
      <c r="Q57" s="239">
        <f>'Scenario_Drivers'!Q128</f>
        <v/>
      </c>
      <c r="R57" s="239">
        <f>'Scenario_Drivers'!R128</f>
        <v/>
      </c>
      <c r="S57" s="239">
        <f>'Scenario_Drivers'!S128</f>
        <v/>
      </c>
      <c r="T57" s="239">
        <f>'Scenario_Drivers'!T128</f>
        <v/>
      </c>
      <c r="U57" s="239">
        <f>'Scenario_Drivers'!U128</f>
        <v/>
      </c>
      <c r="V57" s="239">
        <f>'Scenario_Drivers'!V128</f>
        <v/>
      </c>
    </row>
    <row r="58">
      <c r="A58" s="165" t="inlineStr">
        <is>
          <t>DDTL draw</t>
        </is>
      </c>
      <c r="B58" s="165" t="inlineStr">
        <is>
          <t>$mm</t>
        </is>
      </c>
      <c r="C58" s="239">
        <f>'Scenario_Drivers'!C127</f>
        <v/>
      </c>
      <c r="D58" s="239">
        <f>'Scenario_Drivers'!D127</f>
        <v/>
      </c>
      <c r="E58" s="239">
        <f>'Scenario_Drivers'!E127</f>
        <v/>
      </c>
      <c r="F58" s="239">
        <f>'Scenario_Drivers'!F127</f>
        <v/>
      </c>
      <c r="G58" s="239">
        <f>'Scenario_Drivers'!G127</f>
        <v/>
      </c>
      <c r="H58" s="239">
        <f>'Scenario_Drivers'!H127</f>
        <v/>
      </c>
      <c r="I58" s="239">
        <f>'Scenario_Drivers'!I127</f>
        <v/>
      </c>
      <c r="J58" s="239">
        <f>'Scenario_Drivers'!J127</f>
        <v/>
      </c>
      <c r="K58" s="239">
        <f>'Scenario_Drivers'!K127</f>
        <v/>
      </c>
      <c r="L58" s="239">
        <f>'Scenario_Drivers'!L127</f>
        <v/>
      </c>
      <c r="M58" s="239">
        <f>'Scenario_Drivers'!M127</f>
        <v/>
      </c>
      <c r="N58" s="239">
        <f>'Scenario_Drivers'!N127</f>
        <v/>
      </c>
      <c r="O58" s="239">
        <f>'Scenario_Drivers'!O127</f>
        <v/>
      </c>
      <c r="P58" s="239">
        <f>'Scenario_Drivers'!P127</f>
        <v/>
      </c>
      <c r="Q58" s="239">
        <f>'Scenario_Drivers'!Q127</f>
        <v/>
      </c>
      <c r="R58" s="239">
        <f>'Scenario_Drivers'!R127</f>
        <v/>
      </c>
      <c r="S58" s="239">
        <f>'Scenario_Drivers'!S127</f>
        <v/>
      </c>
      <c r="T58" s="239">
        <f>'Scenario_Drivers'!T127</f>
        <v/>
      </c>
      <c r="U58" s="239">
        <f>'Scenario_Drivers'!U127</f>
        <v/>
      </c>
      <c r="V58" s="239">
        <f>'Scenario_Drivers'!V127</f>
        <v/>
      </c>
    </row>
    <row r="59">
      <c r="A59" s="165" t="inlineStr">
        <is>
          <t>Revolver draw</t>
        </is>
      </c>
      <c r="B59" s="165" t="inlineStr">
        <is>
          <t>$mm</t>
        </is>
      </c>
      <c r="C59" s="242">
        <f>IF('Scenario_Drivers'!C132&gt;=0,MAX(0,'Scenario_Drivers'!C132-0),IF('S&amp;U_Opening'!$B$15+C52+C56+C57+C58+C61+C62&lt;'Scenario_Drivers'!C131,MIN((MAX(0,Inputs!$B$20-'Scenario_Drivers'!C130))-0,'Scenario_Drivers'!C131-('S&amp;U_Opening'!$B$15+C52+C56+C57+C58+C61+C62)),0))</f>
        <v/>
      </c>
      <c r="D59" s="242">
        <f>IF('Scenario_Drivers'!D132&gt;=0,MAX(0,'Scenario_Drivers'!D132-C78),IF(C67+D52+D56+D57+D58+D61+D62&lt;'Scenario_Drivers'!D131,MIN((MAX(0,Inputs!$B$20-'Scenario_Drivers'!D130))-C78,'Scenario_Drivers'!D131-(C67+D52+D56+D57+D58+D61+D62)),0))</f>
        <v/>
      </c>
      <c r="E59" s="242">
        <f>IF('Scenario_Drivers'!E132&gt;=0,MAX(0,'Scenario_Drivers'!E132-D78),IF(D67+E52+E56+E57+E58+E61+E62&lt;'Scenario_Drivers'!E131,MIN((MAX(0,Inputs!$B$20-'Scenario_Drivers'!E130))-D78,'Scenario_Drivers'!E131-(D67+E52+E56+E57+E58+E61+E62)),0))</f>
        <v/>
      </c>
      <c r="F59" s="242">
        <f>IF('Scenario_Drivers'!F132&gt;=0,MAX(0,'Scenario_Drivers'!F132-E78),IF(E67+F52+F56+F57+F58+F61+F62&lt;'Scenario_Drivers'!F131,MIN((MAX(0,Inputs!$B$20-'Scenario_Drivers'!F130))-E78,'Scenario_Drivers'!F131-(E67+F52+F56+F57+F58+F61+F62)),0))</f>
        <v/>
      </c>
      <c r="G59" s="242">
        <f>IF('Scenario_Drivers'!G132&gt;=0,MAX(0,'Scenario_Drivers'!G132-F78),IF(F67+G52+G56+G57+G58+G61+G62&lt;'Scenario_Drivers'!G131,MIN((MAX(0,Inputs!$B$20-'Scenario_Drivers'!G130))-F78,'Scenario_Drivers'!G131-(F67+G52+G56+G57+G58+G61+G62)),0))</f>
        <v/>
      </c>
      <c r="H59" s="242">
        <f>IF('Scenario_Drivers'!H132&gt;=0,MAX(0,'Scenario_Drivers'!H132-G78),IF(G67+H52+H56+H57+H58+H61+H62&lt;'Scenario_Drivers'!H131,MIN((MAX(0,Inputs!$B$20-'Scenario_Drivers'!H130))-G78,'Scenario_Drivers'!H131-(G67+H52+H56+H57+H58+H61+H62)),0))</f>
        <v/>
      </c>
      <c r="I59" s="242">
        <f>IF('Scenario_Drivers'!I132&gt;=0,MAX(0,'Scenario_Drivers'!I132-H78),IF(H67+I52+I56+I57+I58+I61+I62&lt;'Scenario_Drivers'!I131,MIN((MAX(0,Inputs!$B$20-'Scenario_Drivers'!I130))-H78,'Scenario_Drivers'!I131-(H67+I52+I56+I57+I58+I61+I62)),0))</f>
        <v/>
      </c>
      <c r="J59" s="242">
        <f>IF('Scenario_Drivers'!J132&gt;=0,MAX(0,'Scenario_Drivers'!J132-I78),IF(I67+J52+J56+J57+J58+J61+J62&lt;'Scenario_Drivers'!J131,MIN((MAX(0,Inputs!$B$20-'Scenario_Drivers'!J130))-I78,'Scenario_Drivers'!J131-(I67+J52+J56+J57+J58+J61+J62)),0))</f>
        <v/>
      </c>
      <c r="K59" s="242">
        <f>IF('Scenario_Drivers'!K132&gt;=0,MAX(0,'Scenario_Drivers'!K132-J78),IF(J67+K52+K56+K57+K58+K61+K62&lt;'Scenario_Drivers'!K131,MIN((MAX(0,Inputs!$B$20-'Scenario_Drivers'!K130))-J78,'Scenario_Drivers'!K131-(J67+K52+K56+K57+K58+K61+K62)),0))</f>
        <v/>
      </c>
      <c r="L59" s="242">
        <f>IF('Scenario_Drivers'!L132&gt;=0,MAX(0,'Scenario_Drivers'!L132-K78),IF(K67+L52+L56+L57+L58+L61+L62&lt;'Scenario_Drivers'!L131,MIN((MAX(0,Inputs!$B$20-'Scenario_Drivers'!L130))-K78,'Scenario_Drivers'!L131-(K67+L52+L56+L57+L58+L61+L62)),0))</f>
        <v/>
      </c>
      <c r="M59" s="242">
        <f>IF('Scenario_Drivers'!M132&gt;=0,MAX(0,'Scenario_Drivers'!M132-L78),IF(L67+M52+M56+M57+M58+M61+M62&lt;'Scenario_Drivers'!M131,MIN((MAX(0,Inputs!$B$20-'Scenario_Drivers'!M130))-L78,'Scenario_Drivers'!M131-(L67+M52+M56+M57+M58+M61+M62)),0))</f>
        <v/>
      </c>
      <c r="N59" s="242">
        <f>IF('Scenario_Drivers'!N132&gt;=0,MAX(0,'Scenario_Drivers'!N132-M78),IF(M67+N52+N56+N57+N58+N61+N62&lt;'Scenario_Drivers'!N131,MIN((MAX(0,Inputs!$B$20-'Scenario_Drivers'!N130))-M78,'Scenario_Drivers'!N131-(M67+N52+N56+N57+N58+N61+N62)),0))</f>
        <v/>
      </c>
      <c r="O59" s="242">
        <f>IF('Scenario_Drivers'!O132&gt;=0,MAX(0,'Scenario_Drivers'!O132-N78),IF(N67+O52+O56+O57+O58+O61+O62&lt;'Scenario_Drivers'!O131,MIN((MAX(0,Inputs!$B$20-'Scenario_Drivers'!O130))-N78,'Scenario_Drivers'!O131-(N67+O52+O56+O57+O58+O61+O62)),0))</f>
        <v/>
      </c>
      <c r="P59" s="242">
        <f>IF('Scenario_Drivers'!P132&gt;=0,MAX(0,'Scenario_Drivers'!P132-O78),IF(O67+P52+P56+P57+P58+P61+P62&lt;'Scenario_Drivers'!P131,MIN((MAX(0,Inputs!$B$20-'Scenario_Drivers'!P130))-O78,'Scenario_Drivers'!P131-(O67+P52+P56+P57+P58+P61+P62)),0))</f>
        <v/>
      </c>
      <c r="Q59" s="242">
        <f>IF('Scenario_Drivers'!Q132&gt;=0,MAX(0,'Scenario_Drivers'!Q132-P78),IF(P67+Q52+Q56+Q57+Q58+Q61+Q62&lt;'Scenario_Drivers'!Q131,MIN((MAX(0,Inputs!$B$20-'Scenario_Drivers'!Q130))-P78,'Scenario_Drivers'!Q131-(P67+Q52+Q56+Q57+Q58+Q61+Q62)),0))</f>
        <v/>
      </c>
      <c r="R59" s="242">
        <f>IF('Scenario_Drivers'!R132&gt;=0,MAX(0,'Scenario_Drivers'!R132-Q78),IF(Q67+R52+R56+R57+R58+R61+R62&lt;'Scenario_Drivers'!R131,MIN((MAX(0,Inputs!$B$20-'Scenario_Drivers'!R130))-Q78,'Scenario_Drivers'!R131-(Q67+R52+R56+R57+R58+R61+R62)),0))</f>
        <v/>
      </c>
      <c r="S59" s="242">
        <f>IF('Scenario_Drivers'!S132&gt;=0,MAX(0,'Scenario_Drivers'!S132-R78),IF(R67+S52+S56+S57+S58+S61+S62&lt;'Scenario_Drivers'!S131,MIN((MAX(0,Inputs!$B$20-'Scenario_Drivers'!S130))-R78,'Scenario_Drivers'!S131-(R67+S52+S56+S57+S58+S61+S62)),0))</f>
        <v/>
      </c>
      <c r="T59" s="242">
        <f>IF('Scenario_Drivers'!T132&gt;=0,MAX(0,'Scenario_Drivers'!T132-S78),IF(S67+T52+T56+T57+T58+T61+T62&lt;'Scenario_Drivers'!T131,MIN((MAX(0,Inputs!$B$20-'Scenario_Drivers'!T130))-S78,'Scenario_Drivers'!T131-(S67+T52+T56+T57+T58+T61+T62)),0))</f>
        <v/>
      </c>
      <c r="U59" s="242">
        <f>IF('Scenario_Drivers'!U132&gt;=0,MAX(0,'Scenario_Drivers'!U132-T78),IF(T67+U52+U56+U57+U58+U61+U62&lt;'Scenario_Drivers'!U131,MIN((MAX(0,Inputs!$B$20-'Scenario_Drivers'!U130))-T78,'Scenario_Drivers'!U131-(T67+U52+U56+U57+U58+U61+U62)),0))</f>
        <v/>
      </c>
      <c r="V59" s="242">
        <f>IF('Scenario_Drivers'!V132&gt;=0,MAX(0,'Scenario_Drivers'!V132-U78),IF(U67+V52+V56+V57+V58+V61+V62&lt;'Scenario_Drivers'!V131,MIN((MAX(0,Inputs!$B$20-'Scenario_Drivers'!V130))-U78,'Scenario_Drivers'!V131-(U67+V52+V56+V57+V58+V61+V62)),0))</f>
        <v/>
      </c>
    </row>
    <row r="60">
      <c r="A60" s="165" t="inlineStr">
        <is>
          <t>Revolver repayment</t>
        </is>
      </c>
      <c r="B60" s="165" t="inlineStr">
        <is>
          <t>$mm</t>
        </is>
      </c>
      <c r="C60" s="242">
        <f>-(IF('Scenario_Drivers'!C133=1,0,IF('Scenario_Drivers'!C132&gt;=0,MAX(0,0-'Scenario_Drivers'!C132),IF('S&amp;U_Opening'!$B$15+C52+C56+C57+C58+C61+C62&gt;'Scenario_Drivers'!C131,MIN(0,('S&amp;U_Opening'!$B$15+C52+C56+C57+C58+C61+C62)-'Scenario_Drivers'!C131),0))))</f>
        <v/>
      </c>
      <c r="D60" s="242">
        <f>-(IF('Scenario_Drivers'!D133=1,C78,IF('Scenario_Drivers'!D132&gt;=0,MAX(0,C78-'Scenario_Drivers'!D132),IF(C67+D52+D56+D57+D58+D61+D62&gt;'Scenario_Drivers'!D131,MIN(C78,(C67+D52+D56+D57+D58+D61+D62)-'Scenario_Drivers'!D131),0))))</f>
        <v/>
      </c>
      <c r="E60" s="242">
        <f>-(IF('Scenario_Drivers'!E133=1,D78,IF('Scenario_Drivers'!E132&gt;=0,MAX(0,D78-'Scenario_Drivers'!E132),IF(D67+E52+E56+E57+E58+E61+E62&gt;'Scenario_Drivers'!E131,MIN(D78,(D67+E52+E56+E57+E58+E61+E62)-'Scenario_Drivers'!E131),0))))</f>
        <v/>
      </c>
      <c r="F60" s="242">
        <f>-(IF('Scenario_Drivers'!F133=1,E78,IF('Scenario_Drivers'!F132&gt;=0,MAX(0,E78-'Scenario_Drivers'!F132),IF(E67+F52+F56+F57+F58+F61+F62&gt;'Scenario_Drivers'!F131,MIN(E78,(E67+F52+F56+F57+F58+F61+F62)-'Scenario_Drivers'!F131),0))))</f>
        <v/>
      </c>
      <c r="G60" s="242">
        <f>-(IF('Scenario_Drivers'!G133=1,F78,IF('Scenario_Drivers'!G132&gt;=0,MAX(0,F78-'Scenario_Drivers'!G132),IF(F67+G52+G56+G57+G58+G61+G62&gt;'Scenario_Drivers'!G131,MIN(F78,(F67+G52+G56+G57+G58+G61+G62)-'Scenario_Drivers'!G131),0))))</f>
        <v/>
      </c>
      <c r="H60" s="242">
        <f>-(IF('Scenario_Drivers'!H133=1,G78,IF('Scenario_Drivers'!H132&gt;=0,MAX(0,G78-'Scenario_Drivers'!H132),IF(G67+H52+H56+H57+H58+H61+H62&gt;'Scenario_Drivers'!H131,MIN(G78,(G67+H52+H56+H57+H58+H61+H62)-'Scenario_Drivers'!H131),0))))</f>
        <v/>
      </c>
      <c r="I60" s="242">
        <f>-(IF('Scenario_Drivers'!I133=1,H78,IF('Scenario_Drivers'!I132&gt;=0,MAX(0,H78-'Scenario_Drivers'!I132),IF(H67+I52+I56+I57+I58+I61+I62&gt;'Scenario_Drivers'!I131,MIN(H78,(H67+I52+I56+I57+I58+I61+I62)-'Scenario_Drivers'!I131),0))))</f>
        <v/>
      </c>
      <c r="J60" s="242">
        <f>-(IF('Scenario_Drivers'!J133=1,I78,IF('Scenario_Drivers'!J132&gt;=0,MAX(0,I78-'Scenario_Drivers'!J132),IF(I67+J52+J56+J57+J58+J61+J62&gt;'Scenario_Drivers'!J131,MIN(I78,(I67+J52+J56+J57+J58+J61+J62)-'Scenario_Drivers'!J131),0))))</f>
        <v/>
      </c>
      <c r="K60" s="242">
        <f>-(IF('Scenario_Drivers'!K133=1,J78,IF('Scenario_Drivers'!K132&gt;=0,MAX(0,J78-'Scenario_Drivers'!K132),IF(J67+K52+K56+K57+K58+K61+K62&gt;'Scenario_Drivers'!K131,MIN(J78,(J67+K52+K56+K57+K58+K61+K62)-'Scenario_Drivers'!K131),0))))</f>
        <v/>
      </c>
      <c r="L60" s="242">
        <f>-(IF('Scenario_Drivers'!L133=1,K78,IF('Scenario_Drivers'!L132&gt;=0,MAX(0,K78-'Scenario_Drivers'!L132),IF(K67+L52+L56+L57+L58+L61+L62&gt;'Scenario_Drivers'!L131,MIN(K78,(K67+L52+L56+L57+L58+L61+L62)-'Scenario_Drivers'!L131),0))))</f>
        <v/>
      </c>
      <c r="M60" s="242">
        <f>-(IF('Scenario_Drivers'!M133=1,L78,IF('Scenario_Drivers'!M132&gt;=0,MAX(0,L78-'Scenario_Drivers'!M132),IF(L67+M52+M56+M57+M58+M61+M62&gt;'Scenario_Drivers'!M131,MIN(L78,(L67+M52+M56+M57+M58+M61+M62)-'Scenario_Drivers'!M131),0))))</f>
        <v/>
      </c>
      <c r="N60" s="242">
        <f>-(IF('Scenario_Drivers'!N133=1,M78,IF('Scenario_Drivers'!N132&gt;=0,MAX(0,M78-'Scenario_Drivers'!N132),IF(M67+N52+N56+N57+N58+N61+N62&gt;'Scenario_Drivers'!N131,MIN(M78,(M67+N52+N56+N57+N58+N61+N62)-'Scenario_Drivers'!N131),0))))</f>
        <v/>
      </c>
      <c r="O60" s="242">
        <f>-(IF('Scenario_Drivers'!O133=1,N78,IF('Scenario_Drivers'!O132&gt;=0,MAX(0,N78-'Scenario_Drivers'!O132),IF(N67+O52+O56+O57+O58+O61+O62&gt;'Scenario_Drivers'!O131,MIN(N78,(N67+O52+O56+O57+O58+O61+O62)-'Scenario_Drivers'!O131),0))))</f>
        <v/>
      </c>
      <c r="P60" s="242">
        <f>-(IF('Scenario_Drivers'!P133=1,O78,IF('Scenario_Drivers'!P132&gt;=0,MAX(0,O78-'Scenario_Drivers'!P132),IF(O67+P52+P56+P57+P58+P61+P62&gt;'Scenario_Drivers'!P131,MIN(O78,(O67+P52+P56+P57+P58+P61+P62)-'Scenario_Drivers'!P131),0))))</f>
        <v/>
      </c>
      <c r="Q60" s="242">
        <f>-(IF('Scenario_Drivers'!Q133=1,P78,IF('Scenario_Drivers'!Q132&gt;=0,MAX(0,P78-'Scenario_Drivers'!Q132),IF(P67+Q52+Q56+Q57+Q58+Q61+Q62&gt;'Scenario_Drivers'!Q131,MIN(P78,(P67+Q52+Q56+Q57+Q58+Q61+Q62)-'Scenario_Drivers'!Q131),0))))</f>
        <v/>
      </c>
      <c r="R60" s="242">
        <f>-(IF('Scenario_Drivers'!R133=1,Q78,IF('Scenario_Drivers'!R132&gt;=0,MAX(0,Q78-'Scenario_Drivers'!R132),IF(Q67+R52+R56+R57+R58+R61+R62&gt;'Scenario_Drivers'!R131,MIN(Q78,(Q67+R52+R56+R57+R58+R61+R62)-'Scenario_Drivers'!R131),0))))</f>
        <v/>
      </c>
      <c r="S60" s="242">
        <f>-(IF('Scenario_Drivers'!S133=1,R78,IF('Scenario_Drivers'!S132&gt;=0,MAX(0,R78-'Scenario_Drivers'!S132),IF(R67+S52+S56+S57+S58+S61+S62&gt;'Scenario_Drivers'!S131,MIN(R78,(R67+S52+S56+S57+S58+S61+S62)-'Scenario_Drivers'!S131),0))))</f>
        <v/>
      </c>
      <c r="T60" s="242">
        <f>-(IF('Scenario_Drivers'!T133=1,S78,IF('Scenario_Drivers'!T132&gt;=0,MAX(0,S78-'Scenario_Drivers'!T132),IF(S67+T52+T56+T57+T58+T61+T62&gt;'Scenario_Drivers'!T131,MIN(S78,(S67+T52+T56+T57+T58+T61+T62)-'Scenario_Drivers'!T131),0))))</f>
        <v/>
      </c>
      <c r="U60" s="242">
        <f>-(IF('Scenario_Drivers'!U133=1,T78,IF('Scenario_Drivers'!U132&gt;=0,MAX(0,T78-'Scenario_Drivers'!U132),IF(T67+U52+U56+U57+U58+U61+U62&gt;'Scenario_Drivers'!U131,MIN(T78,(T67+U52+U56+U57+U58+U61+U62)-'Scenario_Drivers'!U131),0))))</f>
        <v/>
      </c>
      <c r="V60" s="242">
        <f>-(IF('Scenario_Drivers'!V133=1,U78,IF('Scenario_Drivers'!V132&gt;=0,MAX(0,U78-'Scenario_Drivers'!V132),IF(U67+V52+V56+V57+V58+V61+V62&gt;'Scenario_Drivers'!V131,MIN(U78,(U67+V52+V56+V57+V58+V61+V62)-'Scenario_Drivers'!V131),0))))</f>
        <v/>
      </c>
    </row>
    <row r="61">
      <c r="A61" s="165" t="inlineStr">
        <is>
          <t>Scheduled term amortization</t>
        </is>
      </c>
      <c r="B61" s="165" t="inlineStr">
        <is>
          <t>$mm</t>
        </is>
      </c>
      <c r="C61" s="242">
        <f>-(MIN(0.107,'S&amp;U_Opening'!$E$18))</f>
        <v/>
      </c>
      <c r="D61" s="242">
        <f>-(MIN(0.107,C76))</f>
        <v/>
      </c>
      <c r="E61" s="242">
        <f>-(MIN(0.107,D76))</f>
        <v/>
      </c>
      <c r="F61" s="242">
        <f>-(MIN(0.107,E76))</f>
        <v/>
      </c>
      <c r="G61" s="242">
        <f>-(MIN(0.107,F76))</f>
        <v/>
      </c>
      <c r="H61" s="242">
        <f>-(MIN(0.107,G76))</f>
        <v/>
      </c>
      <c r="I61" s="242">
        <f>-(MIN(0.107,H76))</f>
        <v/>
      </c>
      <c r="J61" s="242">
        <f>-(MIN(0.107,I76))</f>
        <v/>
      </c>
      <c r="K61" s="242">
        <f>-(MIN(0.107,J76))</f>
        <v/>
      </c>
      <c r="L61" s="242">
        <f>-(MIN(0.107,K76))</f>
        <v/>
      </c>
      <c r="M61" s="242">
        <f>-(MIN(0.107,L76))</f>
        <v/>
      </c>
      <c r="N61" s="242">
        <f>-(MIN(0.107,M76))</f>
        <v/>
      </c>
      <c r="O61" s="242">
        <f>-(MIN(0.107,N76))</f>
        <v/>
      </c>
      <c r="P61" s="242">
        <f>-(MIN(0.107,O76))</f>
        <v/>
      </c>
      <c r="Q61" s="242">
        <f>-(MIN(0.107,P76))</f>
        <v/>
      </c>
      <c r="R61" s="242">
        <f>-(MIN(0.107,Q76))</f>
        <v/>
      </c>
      <c r="S61" s="242">
        <f>-(MIN(0.107,R76))</f>
        <v/>
      </c>
      <c r="T61" s="242">
        <f>-(MIN(0.107,S76))</f>
        <v/>
      </c>
      <c r="U61" s="242">
        <f>-(MIN(0.107,T76))</f>
        <v/>
      </c>
      <c r="V61" s="242">
        <f>-(MIN(0.107,U76))</f>
        <v/>
      </c>
    </row>
    <row r="62">
      <c r="A62" s="165" t="inlineStr">
        <is>
          <t>Scheduled DDTL amortization</t>
        </is>
      </c>
      <c r="B62" s="165" t="inlineStr">
        <is>
          <t>$mm</t>
        </is>
      </c>
      <c r="C62" s="242">
        <f>-(IF(0&gt;0,MIN(0.015,0),0))</f>
        <v/>
      </c>
      <c r="D62" s="242">
        <f>-(IF(C77&gt;0,MIN(0.015,C77),0))</f>
        <v/>
      </c>
      <c r="E62" s="242">
        <f>-(IF(D77&gt;0,MIN(0.015,D77),0))</f>
        <v/>
      </c>
      <c r="F62" s="242">
        <f>-(IF(E77&gt;0,MIN(0.015,E77),0))</f>
        <v/>
      </c>
      <c r="G62" s="242">
        <f>-(IF(F77&gt;0,MIN(0.015,F77),0))</f>
        <v/>
      </c>
      <c r="H62" s="242">
        <f>-(IF(G77&gt;0,MIN(0.015,G77),0))</f>
        <v/>
      </c>
      <c r="I62" s="242">
        <f>-(IF(H77&gt;0,MIN(0.015,H77),0))</f>
        <v/>
      </c>
      <c r="J62" s="242">
        <f>-(IF(I77&gt;0,MIN(0.015,I77),0))</f>
        <v/>
      </c>
      <c r="K62" s="242">
        <f>-(IF(J77&gt;0,MIN(0.015,J77),0))</f>
        <v/>
      </c>
      <c r="L62" s="242">
        <f>-(IF(K77&gt;0,MIN(0.015,K77),0))</f>
        <v/>
      </c>
      <c r="M62" s="242">
        <f>-(IF(L77&gt;0,MIN(0.015,L77),0))</f>
        <v/>
      </c>
      <c r="N62" s="242">
        <f>-(IF(M77&gt;0,MIN(0.015,M77),0))</f>
        <v/>
      </c>
      <c r="O62" s="242">
        <f>-(IF(N77&gt;0,MIN(0.015,N77),0))</f>
        <v/>
      </c>
      <c r="P62" s="242">
        <f>-(IF(O77&gt;0,MIN(0.015,O77),0))</f>
        <v/>
      </c>
      <c r="Q62" s="242">
        <f>-(IF(P77&gt;0,MIN(0.015,P77),0))</f>
        <v/>
      </c>
      <c r="R62" s="242">
        <f>-(IF(Q77&gt;0,MIN(0.015,Q77),0))</f>
        <v/>
      </c>
      <c r="S62" s="242">
        <f>-(IF(R77&gt;0,MIN(0.015,R77),0))</f>
        <v/>
      </c>
      <c r="T62" s="242">
        <f>-(IF(S77&gt;0,MIN(0.015,S77),0))</f>
        <v/>
      </c>
      <c r="U62" s="242">
        <f>-(IF(T77&gt;0,MIN(0.015,T77),0))</f>
        <v/>
      </c>
      <c r="V62" s="242">
        <f>-(IF(U77&gt;0,MIN(0.015,U77),0))</f>
        <v/>
      </c>
    </row>
    <row r="63">
      <c r="A63" s="165" t="inlineStr">
        <is>
          <t>ECF sweep</t>
        </is>
      </c>
      <c r="B63" s="165" t="inlineStr">
        <is>
          <t>$mm</t>
        </is>
      </c>
      <c r="C63" s="242">
        <f>-(0)</f>
        <v/>
      </c>
      <c r="D63" s="242">
        <f>-(0)</f>
        <v/>
      </c>
      <c r="E63" s="242">
        <f>-(MIN((MAX(0,D76+E61)),MAX(0,((D67+E52+E56+E57+E58+E61+E62)+E59+E60)-'Scenario_Drivers'!E131))*(IF((((MAX(0,D76+E61))+(MAX(0,D77+E58+E62))+(D78+E59+E60)-MIN(((D67+E52+E56+E57+E58+E61+E62)+E59+E60),Inputs!$B$19))/MAX(0.001,(SUM(C14:E14))))&gt;3.0,50%,IF((((MAX(0,D76+E61))+(MAX(0,D77+E58+E62))+(D78+E59+E60)-MIN(((D67+E52+E56+E57+E58+E61+E62)+E59+E60),Inputs!$B$19))/MAX(0.001,(SUM(C14:E14))))&gt;2.5,25%,0%))))</f>
        <v/>
      </c>
      <c r="F63" s="242">
        <f>-(0)</f>
        <v/>
      </c>
      <c r="G63" s="242">
        <f>-(0)</f>
        <v/>
      </c>
      <c r="H63" s="242">
        <f>-(0)</f>
        <v/>
      </c>
      <c r="I63" s="242">
        <f>-(MIN((MAX(0,H76+I61)),MAX(0,((H67+I52+I56+I57+I58+I61+I62)+I59+I60)-'Scenario_Drivers'!I131))*(IF((((MAX(0,H76+I61))+(MAX(0,H77+I58+I62))+(H78+I59+I60)-MIN(((H67+I52+I56+I57+I58+I61+I62)+I59+I60),Inputs!$B$19))/MAX(0.001,(SUM(F14:I14))))&gt;3.0,50%,IF((((MAX(0,H76+I61))+(MAX(0,H77+I58+I62))+(H78+I59+I60)-MIN(((H67+I52+I56+I57+I58+I61+I62)+I59+I60),Inputs!$B$19))/MAX(0.001,(SUM(F14:I14))))&gt;2.5,25%,0%))))</f>
        <v/>
      </c>
      <c r="J63" s="242">
        <f>-(0)</f>
        <v/>
      </c>
      <c r="K63" s="242">
        <f>-(0)</f>
        <v/>
      </c>
      <c r="L63" s="242">
        <f>-(0)</f>
        <v/>
      </c>
      <c r="M63" s="242">
        <f>-(MIN((MAX(0,L76+M61)),MAX(0,((L67+M52+M56+M57+M58+M61+M62)+M59+M60)-'Scenario_Drivers'!M131))*(IF((((MAX(0,L76+M61))+(MAX(0,L77+M58+M62))+(L78+M59+M60)-MIN(((L67+M52+M56+M57+M58+M61+M62)+M59+M60),Inputs!$B$19))/MAX(0.001,(SUM(J14:M14))))&gt;3.0,50%,IF((((MAX(0,L76+M61))+(MAX(0,L77+M58+M62))+(L78+M59+M60)-MIN(((L67+M52+M56+M57+M58+M61+M62)+M59+M60),Inputs!$B$19))/MAX(0.001,(SUM(J14:M14))))&gt;2.5,25%,0%))))</f>
        <v/>
      </c>
      <c r="N63" s="242">
        <f>-(0)</f>
        <v/>
      </c>
      <c r="O63" s="242">
        <f>-(0)</f>
        <v/>
      </c>
      <c r="P63" s="242">
        <f>-(0)</f>
        <v/>
      </c>
      <c r="Q63" s="242">
        <f>-(MIN((MAX(0,P76+Q61)),MAX(0,((P67+Q52+Q56+Q57+Q58+Q61+Q62)+Q59+Q60)-'Scenario_Drivers'!Q131))*(IF((((MAX(0,P76+Q61))+(MAX(0,P77+Q58+Q62))+(P78+Q59+Q60)-MIN(((P67+Q52+Q56+Q57+Q58+Q61+Q62)+Q59+Q60),Inputs!$B$19))/MAX(0.001,(SUM(N14:Q14))))&gt;3.0,50%,IF((((MAX(0,P76+Q61))+(MAX(0,P77+Q58+Q62))+(P78+Q59+Q60)-MIN(((P67+Q52+Q56+Q57+Q58+Q61+Q62)+Q59+Q60),Inputs!$B$19))/MAX(0.001,(SUM(N14:Q14))))&gt;2.5,25%,0%))))</f>
        <v/>
      </c>
      <c r="R63" s="242">
        <f>-(0)</f>
        <v/>
      </c>
      <c r="S63" s="242">
        <f>-(0)</f>
        <v/>
      </c>
      <c r="T63" s="242">
        <f>-(0)</f>
        <v/>
      </c>
      <c r="U63" s="242">
        <f>-(MIN((MAX(0,T76+U61)),MAX(0,((T67+U52+U56+U57+U58+U61+U62)+U59+U60)-'Scenario_Drivers'!U131))*(IF((((MAX(0,T76+U61))+(MAX(0,T77+U58+U62))+(T78+U59+U60)-MIN(((T67+U52+U56+U57+U58+U61+U62)+U59+U60),Inputs!$B$19))/MAX(0.001,(SUM(R14:U14))))&gt;3.0,50%,IF((((MAX(0,T76+U61))+(MAX(0,T77+U58+U62))+(T78+U59+U60)-MIN(((T67+U52+U56+U57+U58+U61+U62)+U59+U60),Inputs!$B$19))/MAX(0.001,(SUM(R14:U14))))&gt;2.5,25%,0%))))</f>
        <v/>
      </c>
      <c r="V63" s="242">
        <f>-(0)</f>
        <v/>
      </c>
    </row>
    <row r="64">
      <c r="A64" s="165" t="inlineStr">
        <is>
          <t>Cash from financing</t>
        </is>
      </c>
      <c r="B64" s="165" t="inlineStr">
        <is>
          <t>$mm</t>
        </is>
      </c>
      <c r="C64" s="242">
        <f>SUM(C57:C63)</f>
        <v/>
      </c>
      <c r="D64" s="242">
        <f>SUM(D57:D63)</f>
        <v/>
      </c>
      <c r="E64" s="242">
        <f>SUM(E57:E63)</f>
        <v/>
      </c>
      <c r="F64" s="242">
        <f>SUM(F57:F63)</f>
        <v/>
      </c>
      <c r="G64" s="242">
        <f>SUM(G57:G63)</f>
        <v/>
      </c>
      <c r="H64" s="242">
        <f>SUM(H57:H63)</f>
        <v/>
      </c>
      <c r="I64" s="242">
        <f>SUM(I57:I63)</f>
        <v/>
      </c>
      <c r="J64" s="242">
        <f>SUM(J57:J63)</f>
        <v/>
      </c>
      <c r="K64" s="242">
        <f>SUM(K57:K63)</f>
        <v/>
      </c>
      <c r="L64" s="242">
        <f>SUM(L57:L63)</f>
        <v/>
      </c>
      <c r="M64" s="242">
        <f>SUM(M57:M63)</f>
        <v/>
      </c>
      <c r="N64" s="242">
        <f>SUM(N57:N63)</f>
        <v/>
      </c>
      <c r="O64" s="242">
        <f>SUM(O57:O63)</f>
        <v/>
      </c>
      <c r="P64" s="242">
        <f>SUM(P57:P63)</f>
        <v/>
      </c>
      <c r="Q64" s="242">
        <f>SUM(Q57:Q63)</f>
        <v/>
      </c>
      <c r="R64" s="242">
        <f>SUM(R57:R63)</f>
        <v/>
      </c>
      <c r="S64" s="242">
        <f>SUM(S57:S63)</f>
        <v/>
      </c>
      <c r="T64" s="242">
        <f>SUM(T57:T63)</f>
        <v/>
      </c>
      <c r="U64" s="242">
        <f>SUM(U57:U63)</f>
        <v/>
      </c>
      <c r="V64" s="242">
        <f>SUM(V57:V63)</f>
        <v/>
      </c>
    </row>
    <row r="65">
      <c r="A65" s="165" t="inlineStr">
        <is>
          <t>Net change in cash</t>
        </is>
      </c>
      <c r="B65" s="165" t="inlineStr">
        <is>
          <t>$mm</t>
        </is>
      </c>
      <c r="C65" s="242">
        <f>C52+C56+C64</f>
        <v/>
      </c>
      <c r="D65" s="242">
        <f>D52+D56+D64</f>
        <v/>
      </c>
      <c r="E65" s="242">
        <f>E52+E56+E64</f>
        <v/>
      </c>
      <c r="F65" s="242">
        <f>F52+F56+F64</f>
        <v/>
      </c>
      <c r="G65" s="242">
        <f>G52+G56+G64</f>
        <v/>
      </c>
      <c r="H65" s="242">
        <f>H52+H56+H64</f>
        <v/>
      </c>
      <c r="I65" s="242">
        <f>I52+I56+I64</f>
        <v/>
      </c>
      <c r="J65" s="242">
        <f>J52+J56+J64</f>
        <v/>
      </c>
      <c r="K65" s="242">
        <f>K52+K56+K64</f>
        <v/>
      </c>
      <c r="L65" s="242">
        <f>L52+L56+L64</f>
        <v/>
      </c>
      <c r="M65" s="242">
        <f>M52+M56+M64</f>
        <v/>
      </c>
      <c r="N65" s="242">
        <f>N52+N56+N64</f>
        <v/>
      </c>
      <c r="O65" s="242">
        <f>O52+O56+O64</f>
        <v/>
      </c>
      <c r="P65" s="242">
        <f>P52+P56+P64</f>
        <v/>
      </c>
      <c r="Q65" s="242">
        <f>Q52+Q56+Q64</f>
        <v/>
      </c>
      <c r="R65" s="242">
        <f>R52+R56+R64</f>
        <v/>
      </c>
      <c r="S65" s="242">
        <f>S52+S56+S64</f>
        <v/>
      </c>
      <c r="T65" s="242">
        <f>T52+T56+T64</f>
        <v/>
      </c>
      <c r="U65" s="242">
        <f>U52+U56+U64</f>
        <v/>
      </c>
      <c r="V65" s="242">
        <f>V52+V56+V64</f>
        <v/>
      </c>
    </row>
    <row r="66">
      <c r="A66" s="165" t="inlineStr">
        <is>
          <t>Beginning cash</t>
        </is>
      </c>
      <c r="B66" s="165" t="inlineStr">
        <is>
          <t>$mm</t>
        </is>
      </c>
      <c r="C66" s="242">
        <f>'S&amp;U_Opening'!$B$15</f>
        <v/>
      </c>
      <c r="D66" s="242">
        <f>C67</f>
        <v/>
      </c>
      <c r="E66" s="242">
        <f>D67</f>
        <v/>
      </c>
      <c r="F66" s="242">
        <f>E67</f>
        <v/>
      </c>
      <c r="G66" s="242">
        <f>F67</f>
        <v/>
      </c>
      <c r="H66" s="242">
        <f>G67</f>
        <v/>
      </c>
      <c r="I66" s="242">
        <f>H67</f>
        <v/>
      </c>
      <c r="J66" s="242">
        <f>I67</f>
        <v/>
      </c>
      <c r="K66" s="242">
        <f>J67</f>
        <v/>
      </c>
      <c r="L66" s="242">
        <f>K67</f>
        <v/>
      </c>
      <c r="M66" s="242">
        <f>L67</f>
        <v/>
      </c>
      <c r="N66" s="242">
        <f>M67</f>
        <v/>
      </c>
      <c r="O66" s="242">
        <f>N67</f>
        <v/>
      </c>
      <c r="P66" s="242">
        <f>O67</f>
        <v/>
      </c>
      <c r="Q66" s="242">
        <f>P67</f>
        <v/>
      </c>
      <c r="R66" s="242">
        <f>Q67</f>
        <v/>
      </c>
      <c r="S66" s="242">
        <f>R67</f>
        <v/>
      </c>
      <c r="T66" s="242">
        <f>S67</f>
        <v/>
      </c>
      <c r="U66" s="242">
        <f>T67</f>
        <v/>
      </c>
      <c r="V66" s="242">
        <f>U67</f>
        <v/>
      </c>
    </row>
    <row r="67">
      <c r="A67" s="165" t="inlineStr">
        <is>
          <t>Ending cash</t>
        </is>
      </c>
      <c r="B67" s="165" t="inlineStr">
        <is>
          <t>$mm</t>
        </is>
      </c>
      <c r="C67" s="242">
        <f>C66+C65</f>
        <v/>
      </c>
      <c r="D67" s="242">
        <f>D66+D65</f>
        <v/>
      </c>
      <c r="E67" s="242">
        <f>E66+E65</f>
        <v/>
      </c>
      <c r="F67" s="242">
        <f>F66+F65</f>
        <v/>
      </c>
      <c r="G67" s="242">
        <f>G66+G65</f>
        <v/>
      </c>
      <c r="H67" s="242">
        <f>H66+H65</f>
        <v/>
      </c>
      <c r="I67" s="242">
        <f>I66+I65</f>
        <v/>
      </c>
      <c r="J67" s="242">
        <f>J66+J65</f>
        <v/>
      </c>
      <c r="K67" s="242">
        <f>K66+K65</f>
        <v/>
      </c>
      <c r="L67" s="242">
        <f>L66+L65</f>
        <v/>
      </c>
      <c r="M67" s="242">
        <f>M66+M65</f>
        <v/>
      </c>
      <c r="N67" s="242">
        <f>N66+N65</f>
        <v/>
      </c>
      <c r="O67" s="242">
        <f>O66+O65</f>
        <v/>
      </c>
      <c r="P67" s="242">
        <f>P66+P65</f>
        <v/>
      </c>
      <c r="Q67" s="242">
        <f>Q66+Q65</f>
        <v/>
      </c>
      <c r="R67" s="242">
        <f>R66+R65</f>
        <v/>
      </c>
      <c r="S67" s="242">
        <f>S66+S65</f>
        <v/>
      </c>
      <c r="T67" s="242">
        <f>T66+T65</f>
        <v/>
      </c>
      <c r="U67" s="242">
        <f>U66+U65</f>
        <v/>
      </c>
      <c r="V67" s="242">
        <f>V66+V65</f>
        <v/>
      </c>
    </row>
    <row r="68">
      <c r="A68" s="39" t="inlineStr">
        <is>
          <t>Balance Sheet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</row>
    <row r="69">
      <c r="A69" s="165" t="inlineStr">
        <is>
          <t>PP&amp;E, net</t>
        </is>
      </c>
      <c r="B69" s="165" t="inlineStr">
        <is>
          <t>$mm</t>
        </is>
      </c>
      <c r="C69" s="242">
        <f>'S&amp;U_Opening'!$B$19+C41+C42-C17</f>
        <v/>
      </c>
      <c r="D69" s="242">
        <f>C69+D41+D42-D17</f>
        <v/>
      </c>
      <c r="E69" s="242">
        <f>D69+E41+E42-E17</f>
        <v/>
      </c>
      <c r="F69" s="242">
        <f>E69+F41+F42-F17</f>
        <v/>
      </c>
      <c r="G69" s="242">
        <f>F69+G41+G42-G17</f>
        <v/>
      </c>
      <c r="H69" s="242">
        <f>G69+H41+H42-H17</f>
        <v/>
      </c>
      <c r="I69" s="242">
        <f>H69+I41+I42-I17</f>
        <v/>
      </c>
      <c r="J69" s="242">
        <f>I69+J41+J42-J17</f>
        <v/>
      </c>
      <c r="K69" s="242">
        <f>J69+K41+K42-K17</f>
        <v/>
      </c>
      <c r="L69" s="242">
        <f>K69+L41+L42-L17</f>
        <v/>
      </c>
      <c r="M69" s="242">
        <f>L69+M41+M42-M17</f>
        <v/>
      </c>
      <c r="N69" s="242">
        <f>M69+N41+N42-N17</f>
        <v/>
      </c>
      <c r="O69" s="242">
        <f>N69+O41+O42-O17</f>
        <v/>
      </c>
      <c r="P69" s="242">
        <f>O69+P41+P42-P17</f>
        <v/>
      </c>
      <c r="Q69" s="242">
        <f>P69+Q41+Q42-Q17</f>
        <v/>
      </c>
      <c r="R69" s="242">
        <f>Q69+R41+R42-R17</f>
        <v/>
      </c>
      <c r="S69" s="242">
        <f>R69+S41+S42-S17</f>
        <v/>
      </c>
      <c r="T69" s="242">
        <f>S69+T41+T42-T17</f>
        <v/>
      </c>
      <c r="U69" s="242">
        <f>T69+U41+U42-U17</f>
        <v/>
      </c>
      <c r="V69" s="242">
        <f>U69+V41+V42-V17</f>
        <v/>
      </c>
    </row>
    <row r="70">
      <c r="A70" s="165" t="inlineStr">
        <is>
          <t>Goodwill</t>
        </is>
      </c>
      <c r="B70" s="165" t="inlineStr">
        <is>
          <t>$mm</t>
        </is>
      </c>
      <c r="C70" s="242">
        <f>'S&amp;U_Opening'!$B$20+'Scenario_Drivers'!C124</f>
        <v/>
      </c>
      <c r="D70" s="242">
        <f>C70+'Scenario_Drivers'!D124</f>
        <v/>
      </c>
      <c r="E70" s="242">
        <f>D70+'Scenario_Drivers'!E124</f>
        <v/>
      </c>
      <c r="F70" s="242">
        <f>E70+'Scenario_Drivers'!F124</f>
        <v/>
      </c>
      <c r="G70" s="242">
        <f>F70+'Scenario_Drivers'!G124</f>
        <v/>
      </c>
      <c r="H70" s="242">
        <f>G70+'Scenario_Drivers'!H124</f>
        <v/>
      </c>
      <c r="I70" s="242">
        <f>H70+'Scenario_Drivers'!I124</f>
        <v/>
      </c>
      <c r="J70" s="242">
        <f>I70+'Scenario_Drivers'!J124</f>
        <v/>
      </c>
      <c r="K70" s="242">
        <f>J70+'Scenario_Drivers'!K124</f>
        <v/>
      </c>
      <c r="L70" s="242">
        <f>K70+'Scenario_Drivers'!L124</f>
        <v/>
      </c>
      <c r="M70" s="242">
        <f>L70+'Scenario_Drivers'!M124</f>
        <v/>
      </c>
      <c r="N70" s="242">
        <f>M70+'Scenario_Drivers'!N124</f>
        <v/>
      </c>
      <c r="O70" s="242">
        <f>N70+'Scenario_Drivers'!O124</f>
        <v/>
      </c>
      <c r="P70" s="242">
        <f>O70+'Scenario_Drivers'!P124</f>
        <v/>
      </c>
      <c r="Q70" s="242">
        <f>P70+'Scenario_Drivers'!Q124</f>
        <v/>
      </c>
      <c r="R70" s="242">
        <f>Q70+'Scenario_Drivers'!R124</f>
        <v/>
      </c>
      <c r="S70" s="242">
        <f>R70+'Scenario_Drivers'!S124</f>
        <v/>
      </c>
      <c r="T70" s="242">
        <f>S70+'Scenario_Drivers'!T124</f>
        <v/>
      </c>
      <c r="U70" s="242">
        <f>T70+'Scenario_Drivers'!U124</f>
        <v/>
      </c>
      <c r="V70" s="242">
        <f>U70+'Scenario_Drivers'!V124</f>
        <v/>
      </c>
    </row>
    <row r="71">
      <c r="A71" s="165" t="inlineStr">
        <is>
          <t>Intangibles, net</t>
        </is>
      </c>
      <c r="B71" s="165" t="inlineStr">
        <is>
          <t>$mm</t>
        </is>
      </c>
      <c r="C71" s="242">
        <f>MAX(0,SUM('S&amp;U_Opening'!$B$21:$B$23)+'Scenario_Drivers'!C123-C18)</f>
        <v/>
      </c>
      <c r="D71" s="242">
        <f>MAX(0,C71+'Scenario_Drivers'!D123-D18)</f>
        <v/>
      </c>
      <c r="E71" s="242">
        <f>MAX(0,D71+'Scenario_Drivers'!E123-E18)</f>
        <v/>
      </c>
      <c r="F71" s="242">
        <f>MAX(0,E71+'Scenario_Drivers'!F123-F18)</f>
        <v/>
      </c>
      <c r="G71" s="242">
        <f>MAX(0,F71+'Scenario_Drivers'!G123-G18)</f>
        <v/>
      </c>
      <c r="H71" s="242">
        <f>MAX(0,G71+'Scenario_Drivers'!H123-H18)</f>
        <v/>
      </c>
      <c r="I71" s="242">
        <f>MAX(0,H71+'Scenario_Drivers'!I123-I18)</f>
        <v/>
      </c>
      <c r="J71" s="242">
        <f>MAX(0,I71+'Scenario_Drivers'!J123-J18)</f>
        <v/>
      </c>
      <c r="K71" s="242">
        <f>MAX(0,J71+'Scenario_Drivers'!K123-K18)</f>
        <v/>
      </c>
      <c r="L71" s="242">
        <f>MAX(0,K71+'Scenario_Drivers'!L123-L18)</f>
        <v/>
      </c>
      <c r="M71" s="242">
        <f>MAX(0,L71+'Scenario_Drivers'!M123-M18)</f>
        <v/>
      </c>
      <c r="N71" s="242">
        <f>MAX(0,M71+'Scenario_Drivers'!N123-N18)</f>
        <v/>
      </c>
      <c r="O71" s="242">
        <f>MAX(0,N71+'Scenario_Drivers'!O123-O18)</f>
        <v/>
      </c>
      <c r="P71" s="242">
        <f>MAX(0,O71+'Scenario_Drivers'!P123-P18)</f>
        <v/>
      </c>
      <c r="Q71" s="242">
        <f>MAX(0,P71+'Scenario_Drivers'!Q123-Q18)</f>
        <v/>
      </c>
      <c r="R71" s="242">
        <f>MAX(0,Q71+'Scenario_Drivers'!R123-R18)</f>
        <v/>
      </c>
      <c r="S71" s="242">
        <f>MAX(0,R71+'Scenario_Drivers'!S123-S18)</f>
        <v/>
      </c>
      <c r="T71" s="242">
        <f>MAX(0,S71+'Scenario_Drivers'!T123-T18)</f>
        <v/>
      </c>
      <c r="U71" s="242">
        <f>MAX(0,T71+'Scenario_Drivers'!U123-U18)</f>
        <v/>
      </c>
      <c r="V71" s="242">
        <f>MAX(0,U71+'Scenario_Drivers'!V123-V18)</f>
        <v/>
      </c>
    </row>
    <row r="72">
      <c r="A72" s="165" t="inlineStr">
        <is>
          <t>Integration asset</t>
        </is>
      </c>
      <c r="B72" s="165" t="inlineStr">
        <is>
          <t>$mm</t>
        </is>
      </c>
      <c r="C72" s="242">
        <f>MAX(0,0+C45-C19)</f>
        <v/>
      </c>
      <c r="D72" s="242">
        <f>MAX(0,C72+D45-D19)</f>
        <v/>
      </c>
      <c r="E72" s="242">
        <f>MAX(0,D72+E45-E19)</f>
        <v/>
      </c>
      <c r="F72" s="242">
        <f>MAX(0,E72+F45-F19)</f>
        <v/>
      </c>
      <c r="G72" s="242">
        <f>MAX(0,F72+G45-G19)</f>
        <v/>
      </c>
      <c r="H72" s="242">
        <f>MAX(0,G72+H45-H19)</f>
        <v/>
      </c>
      <c r="I72" s="242">
        <f>MAX(0,H72+I45-I19)</f>
        <v/>
      </c>
      <c r="J72" s="242">
        <f>MAX(0,I72+J45-J19)</f>
        <v/>
      </c>
      <c r="K72" s="242">
        <f>MAX(0,J72+K45-K19)</f>
        <v/>
      </c>
      <c r="L72" s="242">
        <f>MAX(0,K72+L45-L19)</f>
        <v/>
      </c>
      <c r="M72" s="242">
        <f>MAX(0,L72+M45-M19)</f>
        <v/>
      </c>
      <c r="N72" s="242">
        <f>MAX(0,M72+N45-N19)</f>
        <v/>
      </c>
      <c r="O72" s="242">
        <f>MAX(0,N72+O45-O19)</f>
        <v/>
      </c>
      <c r="P72" s="242">
        <f>MAX(0,O72+P45-P19)</f>
        <v/>
      </c>
      <c r="Q72" s="242">
        <f>MAX(0,P72+Q45-Q19)</f>
        <v/>
      </c>
      <c r="R72" s="242">
        <f>MAX(0,Q72+R45-R19)</f>
        <v/>
      </c>
      <c r="S72" s="242">
        <f>MAX(0,R72+S45-S19)</f>
        <v/>
      </c>
      <c r="T72" s="242">
        <f>MAX(0,S72+T45-T19)</f>
        <v/>
      </c>
      <c r="U72" s="242">
        <f>MAX(0,T72+U45-U19)</f>
        <v/>
      </c>
      <c r="V72" s="242">
        <f>MAX(0,U72+V45-V19)</f>
        <v/>
      </c>
    </row>
    <row r="73">
      <c r="A73" s="165" t="inlineStr">
        <is>
          <t>Deferred financing fees</t>
        </is>
      </c>
      <c r="B73" s="165" t="inlineStr">
        <is>
          <t>$mm</t>
        </is>
      </c>
      <c r="C73" s="242">
        <f>MAX(0,'S&amp;U_Opening'!$B$24-C23)</f>
        <v/>
      </c>
      <c r="D73" s="242">
        <f>MAX(0,C73-D23)</f>
        <v/>
      </c>
      <c r="E73" s="242">
        <f>MAX(0,D73-E23)</f>
        <v/>
      </c>
      <c r="F73" s="242">
        <f>MAX(0,E73-F23)</f>
        <v/>
      </c>
      <c r="G73" s="242">
        <f>MAX(0,F73-G23)</f>
        <v/>
      </c>
      <c r="H73" s="242">
        <f>MAX(0,G73-H23)</f>
        <v/>
      </c>
      <c r="I73" s="242">
        <f>MAX(0,H73-I23)</f>
        <v/>
      </c>
      <c r="J73" s="242">
        <f>MAX(0,I73-J23)</f>
        <v/>
      </c>
      <c r="K73" s="242">
        <f>MAX(0,J73-K23)</f>
        <v/>
      </c>
      <c r="L73" s="242">
        <f>MAX(0,K73-L23)</f>
        <v/>
      </c>
      <c r="M73" s="242">
        <f>MAX(0,L73-M23)</f>
        <v/>
      </c>
      <c r="N73" s="242">
        <f>MAX(0,M73-N23)</f>
        <v/>
      </c>
      <c r="O73" s="242">
        <f>MAX(0,N73-O23)</f>
        <v/>
      </c>
      <c r="P73" s="242">
        <f>MAX(0,O73-P23)</f>
        <v/>
      </c>
      <c r="Q73" s="242">
        <f>MAX(0,P73-Q23)</f>
        <v/>
      </c>
      <c r="R73" s="242">
        <f>MAX(0,Q73-R23)</f>
        <v/>
      </c>
      <c r="S73" s="242">
        <f>MAX(0,R73-S23)</f>
        <v/>
      </c>
      <c r="T73" s="242">
        <f>MAX(0,S73-T23)</f>
        <v/>
      </c>
      <c r="U73" s="242">
        <f>MAX(0,T73-U23)</f>
        <v/>
      </c>
      <c r="V73" s="242">
        <f>MAX(0,U73-V23)</f>
        <v/>
      </c>
    </row>
    <row r="74">
      <c r="A74" s="165" t="inlineStr">
        <is>
          <t>Other assets</t>
        </is>
      </c>
      <c r="B74" s="165" t="inlineStr">
        <is>
          <t>$mm</t>
        </is>
      </c>
      <c r="C74" s="242">
        <f>1.3</f>
        <v/>
      </c>
      <c r="D74" s="242">
        <f>1.3</f>
        <v/>
      </c>
      <c r="E74" s="242">
        <f>1.3</f>
        <v/>
      </c>
      <c r="F74" s="242">
        <f>1.3</f>
        <v/>
      </c>
      <c r="G74" s="242">
        <f>1.3</f>
        <v/>
      </c>
      <c r="H74" s="242">
        <f>1.3</f>
        <v/>
      </c>
      <c r="I74" s="242">
        <f>1.3</f>
        <v/>
      </c>
      <c r="J74" s="242">
        <f>1.3</f>
        <v/>
      </c>
      <c r="K74" s="242">
        <f>1.3</f>
        <v/>
      </c>
      <c r="L74" s="242">
        <f>1.3</f>
        <v/>
      </c>
      <c r="M74" s="242">
        <f>1.3</f>
        <v/>
      </c>
      <c r="N74" s="242">
        <f>1.3</f>
        <v/>
      </c>
      <c r="O74" s="242">
        <f>1.3</f>
        <v/>
      </c>
      <c r="P74" s="242">
        <f>1.3</f>
        <v/>
      </c>
      <c r="Q74" s="242">
        <f>1.3</f>
        <v/>
      </c>
      <c r="R74" s="242">
        <f>1.3</f>
        <v/>
      </c>
      <c r="S74" s="242">
        <f>1.3</f>
        <v/>
      </c>
      <c r="T74" s="242">
        <f>1.3</f>
        <v/>
      </c>
      <c r="U74" s="242">
        <f>1.3</f>
        <v/>
      </c>
      <c r="V74" s="242">
        <f>1.3</f>
        <v/>
      </c>
    </row>
    <row r="75">
      <c r="A75" s="165" t="inlineStr">
        <is>
          <t>Total assets</t>
        </is>
      </c>
      <c r="B75" s="165" t="inlineStr">
        <is>
          <t>$mm</t>
        </is>
      </c>
      <c r="C75" s="242">
        <f>SUM(C67,C30,C31,C32,C69,C70,C71,C72,C73,C74)</f>
        <v/>
      </c>
      <c r="D75" s="242">
        <f>SUM(D67,D30,D31,D32,D69,D70,D71,D72,D73,D74)</f>
        <v/>
      </c>
      <c r="E75" s="242">
        <f>SUM(E67,E30,E31,E32,E69,E70,E71,E72,E73,E74)</f>
        <v/>
      </c>
      <c r="F75" s="242">
        <f>SUM(F67,F30,F31,F32,F69,F70,F71,F72,F73,F74)</f>
        <v/>
      </c>
      <c r="G75" s="242">
        <f>SUM(G67,G30,G31,G32,G69,G70,G71,G72,G73,G74)</f>
        <v/>
      </c>
      <c r="H75" s="242">
        <f>SUM(H67,H30,H31,H32,H69,H70,H71,H72,H73,H74)</f>
        <v/>
      </c>
      <c r="I75" s="242">
        <f>SUM(I67,I30,I31,I32,I69,I70,I71,I72,I73,I74)</f>
        <v/>
      </c>
      <c r="J75" s="242">
        <f>SUM(J67,J30,J31,J32,J69,J70,J71,J72,J73,J74)</f>
        <v/>
      </c>
      <c r="K75" s="242">
        <f>SUM(K67,K30,K31,K32,K69,K70,K71,K72,K73,K74)</f>
        <v/>
      </c>
      <c r="L75" s="242">
        <f>SUM(L67,L30,L31,L32,L69,L70,L71,L72,L73,L74)</f>
        <v/>
      </c>
      <c r="M75" s="242">
        <f>SUM(M67,M30,M31,M32,M69,M70,M71,M72,M73,M74)</f>
        <v/>
      </c>
      <c r="N75" s="242">
        <f>SUM(N67,N30,N31,N32,N69,N70,N71,N72,N73,N74)</f>
        <v/>
      </c>
      <c r="O75" s="242">
        <f>SUM(O67,O30,O31,O32,O69,O70,O71,O72,O73,O74)</f>
        <v/>
      </c>
      <c r="P75" s="242">
        <f>SUM(P67,P30,P31,P32,P69,P70,P71,P72,P73,P74)</f>
        <v/>
      </c>
      <c r="Q75" s="242">
        <f>SUM(Q67,Q30,Q31,Q32,Q69,Q70,Q71,Q72,Q73,Q74)</f>
        <v/>
      </c>
      <c r="R75" s="242">
        <f>SUM(R67,R30,R31,R32,R69,R70,R71,R72,R73,R74)</f>
        <v/>
      </c>
      <c r="S75" s="242">
        <f>SUM(S67,S30,S31,S32,S69,S70,S71,S72,S73,S74)</f>
        <v/>
      </c>
      <c r="T75" s="242">
        <f>SUM(T67,T30,T31,T32,T69,T70,T71,T72,T73,T74)</f>
        <v/>
      </c>
      <c r="U75" s="242">
        <f>SUM(U67,U30,U31,U32,U69,U70,U71,U72,U73,U74)</f>
        <v/>
      </c>
      <c r="V75" s="242">
        <f>SUM(V67,V30,V31,V32,V69,V70,V71,V72,V73,V74)</f>
        <v/>
      </c>
    </row>
    <row r="76">
      <c r="A76" s="165" t="inlineStr">
        <is>
          <t>Term loan</t>
        </is>
      </c>
      <c r="B76" s="165" t="inlineStr">
        <is>
          <t>$mm</t>
        </is>
      </c>
      <c r="C76" s="242">
        <f>MAX(0,MAX(0,'S&amp;U_Opening'!$E$18+C61)+C63)</f>
        <v/>
      </c>
      <c r="D76" s="242">
        <f>MAX(0,MAX(0,C76+D61)+D63)</f>
        <v/>
      </c>
      <c r="E76" s="242">
        <f>MAX(0,MAX(0,D76+E61)+E63)</f>
        <v/>
      </c>
      <c r="F76" s="242">
        <f>MAX(0,MAX(0,E76+F61)+F63)</f>
        <v/>
      </c>
      <c r="G76" s="242">
        <f>MAX(0,MAX(0,F76+G61)+G63)</f>
        <v/>
      </c>
      <c r="H76" s="242">
        <f>MAX(0,MAX(0,G76+H61)+H63)</f>
        <v/>
      </c>
      <c r="I76" s="242">
        <f>MAX(0,MAX(0,H76+I61)+I63)</f>
        <v/>
      </c>
      <c r="J76" s="242">
        <f>MAX(0,MAX(0,I76+J61)+J63)</f>
        <v/>
      </c>
      <c r="K76" s="242">
        <f>MAX(0,MAX(0,J76+K61)+K63)</f>
        <v/>
      </c>
      <c r="L76" s="242">
        <f>MAX(0,MAX(0,K76+L61)+L63)</f>
        <v/>
      </c>
      <c r="M76" s="242">
        <f>MAX(0,MAX(0,L76+M61)+M63)</f>
        <v/>
      </c>
      <c r="N76" s="242">
        <f>MAX(0,MAX(0,M76+N61)+N63)</f>
        <v/>
      </c>
      <c r="O76" s="242">
        <f>MAX(0,MAX(0,N76+O61)+O63)</f>
        <v/>
      </c>
      <c r="P76" s="242">
        <f>MAX(0,MAX(0,O76+P61)+P63)</f>
        <v/>
      </c>
      <c r="Q76" s="242">
        <f>MAX(0,MAX(0,P76+Q61)+Q63)</f>
        <v/>
      </c>
      <c r="R76" s="242">
        <f>MAX(0,MAX(0,Q76+R61)+R63)</f>
        <v/>
      </c>
      <c r="S76" s="242">
        <f>MAX(0,MAX(0,R76+S61)+S63)</f>
        <v/>
      </c>
      <c r="T76" s="242">
        <f>MAX(0,MAX(0,S76+T61)+T63)</f>
        <v/>
      </c>
      <c r="U76" s="242">
        <f>MAX(0,MAX(0,T76+U61)+U63)</f>
        <v/>
      </c>
      <c r="V76" s="242">
        <f>MAX(0,MAX(0,U76+V61)+V63)</f>
        <v/>
      </c>
    </row>
    <row r="77">
      <c r="A77" s="165" t="inlineStr">
        <is>
          <t>DDTL</t>
        </is>
      </c>
      <c r="B77" s="165" t="inlineStr">
        <is>
          <t>$mm</t>
        </is>
      </c>
      <c r="C77" s="242">
        <f>MAX(0,0+C58+C62)</f>
        <v/>
      </c>
      <c r="D77" s="242">
        <f>MAX(0,C77+D58+D62)</f>
        <v/>
      </c>
      <c r="E77" s="242">
        <f>MAX(0,D77+E58+E62)</f>
        <v/>
      </c>
      <c r="F77" s="242">
        <f>MAX(0,E77+F58+F62)</f>
        <v/>
      </c>
      <c r="G77" s="242">
        <f>MAX(0,F77+G58+G62)</f>
        <v/>
      </c>
      <c r="H77" s="242">
        <f>MAX(0,G77+H58+H62)</f>
        <v/>
      </c>
      <c r="I77" s="242">
        <f>MAX(0,H77+I58+I62)</f>
        <v/>
      </c>
      <c r="J77" s="242">
        <f>MAX(0,I77+J58+J62)</f>
        <v/>
      </c>
      <c r="K77" s="242">
        <f>MAX(0,J77+K58+K62)</f>
        <v/>
      </c>
      <c r="L77" s="242">
        <f>MAX(0,K77+L58+L62)</f>
        <v/>
      </c>
      <c r="M77" s="242">
        <f>MAX(0,L77+M58+M62)</f>
        <v/>
      </c>
      <c r="N77" s="242">
        <f>MAX(0,M77+N58+N62)</f>
        <v/>
      </c>
      <c r="O77" s="242">
        <f>MAX(0,N77+O58+O62)</f>
        <v/>
      </c>
      <c r="P77" s="242">
        <f>MAX(0,O77+P58+P62)</f>
        <v/>
      </c>
      <c r="Q77" s="242">
        <f>MAX(0,P77+Q58+Q62)</f>
        <v/>
      </c>
      <c r="R77" s="242">
        <f>MAX(0,Q77+R58+R62)</f>
        <v/>
      </c>
      <c r="S77" s="242">
        <f>MAX(0,R77+S58+S62)</f>
        <v/>
      </c>
      <c r="T77" s="242">
        <f>MAX(0,S77+T58+T62)</f>
        <v/>
      </c>
      <c r="U77" s="242">
        <f>MAX(0,T77+U58+U62)</f>
        <v/>
      </c>
      <c r="V77" s="242">
        <f>MAX(0,U77+V58+V62)</f>
        <v/>
      </c>
    </row>
    <row r="78">
      <c r="A78" s="165" t="inlineStr">
        <is>
          <t>Revolver</t>
        </is>
      </c>
      <c r="B78" s="165" t="inlineStr">
        <is>
          <t>$mm</t>
        </is>
      </c>
      <c r="C78" s="242">
        <f>0+C59+C60</f>
        <v/>
      </c>
      <c r="D78" s="242">
        <f>C78+D59+D60</f>
        <v/>
      </c>
      <c r="E78" s="242">
        <f>D78+E59+E60</f>
        <v/>
      </c>
      <c r="F78" s="242">
        <f>E78+F59+F60</f>
        <v/>
      </c>
      <c r="G78" s="242">
        <f>F78+G59+G60</f>
        <v/>
      </c>
      <c r="H78" s="242">
        <f>G78+H59+H60</f>
        <v/>
      </c>
      <c r="I78" s="242">
        <f>H78+I59+I60</f>
        <v/>
      </c>
      <c r="J78" s="242">
        <f>I78+J59+J60</f>
        <v/>
      </c>
      <c r="K78" s="242">
        <f>J78+K59+K60</f>
        <v/>
      </c>
      <c r="L78" s="242">
        <f>K78+L59+L60</f>
        <v/>
      </c>
      <c r="M78" s="242">
        <f>L78+M59+M60</f>
        <v/>
      </c>
      <c r="N78" s="242">
        <f>M78+N59+N60</f>
        <v/>
      </c>
      <c r="O78" s="242">
        <f>N78+O59+O60</f>
        <v/>
      </c>
      <c r="P78" s="242">
        <f>O78+P59+P60</f>
        <v/>
      </c>
      <c r="Q78" s="242">
        <f>P78+Q59+Q60</f>
        <v/>
      </c>
      <c r="R78" s="242">
        <f>Q78+R59+R60</f>
        <v/>
      </c>
      <c r="S78" s="242">
        <f>R78+S59+S60</f>
        <v/>
      </c>
      <c r="T78" s="242">
        <f>S78+T59+T60</f>
        <v/>
      </c>
      <c r="U78" s="242">
        <f>T78+U59+U60</f>
        <v/>
      </c>
      <c r="V78" s="242">
        <f>U78+V59+V60</f>
        <v/>
      </c>
    </row>
    <row r="79">
      <c r="A79" s="165" t="inlineStr">
        <is>
          <t>Accounts payable - BS</t>
        </is>
      </c>
      <c r="B79" s="165" t="inlineStr">
        <is>
          <t>$mm</t>
        </is>
      </c>
      <c r="C79" s="242">
        <f>C33</f>
        <v/>
      </c>
      <c r="D79" s="242">
        <f>D33</f>
        <v/>
      </c>
      <c r="E79" s="242">
        <f>E33</f>
        <v/>
      </c>
      <c r="F79" s="242">
        <f>F33</f>
        <v/>
      </c>
      <c r="G79" s="242">
        <f>G33</f>
        <v/>
      </c>
      <c r="H79" s="242">
        <f>H33</f>
        <v/>
      </c>
      <c r="I79" s="242">
        <f>I33</f>
        <v/>
      </c>
      <c r="J79" s="242">
        <f>J33</f>
        <v/>
      </c>
      <c r="K79" s="242">
        <f>K33</f>
        <v/>
      </c>
      <c r="L79" s="242">
        <f>L33</f>
        <v/>
      </c>
      <c r="M79" s="242">
        <f>M33</f>
        <v/>
      </c>
      <c r="N79" s="242">
        <f>N33</f>
        <v/>
      </c>
      <c r="O79" s="242">
        <f>O33</f>
        <v/>
      </c>
      <c r="P79" s="242">
        <f>P33</f>
        <v/>
      </c>
      <c r="Q79" s="242">
        <f>Q33</f>
        <v/>
      </c>
      <c r="R79" s="242">
        <f>R33</f>
        <v/>
      </c>
      <c r="S79" s="242">
        <f>S33</f>
        <v/>
      </c>
      <c r="T79" s="242">
        <f>T33</f>
        <v/>
      </c>
      <c r="U79" s="242">
        <f>U33</f>
        <v/>
      </c>
      <c r="V79" s="242">
        <f>V33</f>
        <v/>
      </c>
    </row>
    <row r="80">
      <c r="A80" s="165" t="inlineStr">
        <is>
          <t>Accrued liabilities - BS</t>
        </is>
      </c>
      <c r="B80" s="165" t="inlineStr">
        <is>
          <t>$mm</t>
        </is>
      </c>
      <c r="C80" s="242">
        <f>C34</f>
        <v/>
      </c>
      <c r="D80" s="242">
        <f>D34</f>
        <v/>
      </c>
      <c r="E80" s="242">
        <f>E34</f>
        <v/>
      </c>
      <c r="F80" s="242">
        <f>F34</f>
        <v/>
      </c>
      <c r="G80" s="242">
        <f>G34</f>
        <v/>
      </c>
      <c r="H80" s="242">
        <f>H34</f>
        <v/>
      </c>
      <c r="I80" s="242">
        <f>I34</f>
        <v/>
      </c>
      <c r="J80" s="242">
        <f>J34</f>
        <v/>
      </c>
      <c r="K80" s="242">
        <f>K34</f>
        <v/>
      </c>
      <c r="L80" s="242">
        <f>L34</f>
        <v/>
      </c>
      <c r="M80" s="242">
        <f>M34</f>
        <v/>
      </c>
      <c r="N80" s="242">
        <f>N34</f>
        <v/>
      </c>
      <c r="O80" s="242">
        <f>O34</f>
        <v/>
      </c>
      <c r="P80" s="242">
        <f>P34</f>
        <v/>
      </c>
      <c r="Q80" s="242">
        <f>Q34</f>
        <v/>
      </c>
      <c r="R80" s="242">
        <f>R34</f>
        <v/>
      </c>
      <c r="S80" s="242">
        <f>S34</f>
        <v/>
      </c>
      <c r="T80" s="242">
        <f>T34</f>
        <v/>
      </c>
      <c r="U80" s="242">
        <f>U34</f>
        <v/>
      </c>
      <c r="V80" s="242">
        <f>V34</f>
        <v/>
      </c>
    </row>
    <row r="81">
      <c r="A81" s="165" t="inlineStr">
        <is>
          <t>Deferred revenue - BS</t>
        </is>
      </c>
      <c r="B81" s="165" t="inlineStr">
        <is>
          <t>$mm</t>
        </is>
      </c>
      <c r="C81" s="242">
        <f>C35</f>
        <v/>
      </c>
      <c r="D81" s="242">
        <f>D35</f>
        <v/>
      </c>
      <c r="E81" s="242">
        <f>E35</f>
        <v/>
      </c>
      <c r="F81" s="242">
        <f>F35</f>
        <v/>
      </c>
      <c r="G81" s="242">
        <f>G35</f>
        <v/>
      </c>
      <c r="H81" s="242">
        <f>H35</f>
        <v/>
      </c>
      <c r="I81" s="242">
        <f>I35</f>
        <v/>
      </c>
      <c r="J81" s="242">
        <f>J35</f>
        <v/>
      </c>
      <c r="K81" s="242">
        <f>K35</f>
        <v/>
      </c>
      <c r="L81" s="242">
        <f>L35</f>
        <v/>
      </c>
      <c r="M81" s="242">
        <f>M35</f>
        <v/>
      </c>
      <c r="N81" s="242">
        <f>N35</f>
        <v/>
      </c>
      <c r="O81" s="242">
        <f>O35</f>
        <v/>
      </c>
      <c r="P81" s="242">
        <f>P35</f>
        <v/>
      </c>
      <c r="Q81" s="242">
        <f>Q35</f>
        <v/>
      </c>
      <c r="R81" s="242">
        <f>R35</f>
        <v/>
      </c>
      <c r="S81" s="242">
        <f>S35</f>
        <v/>
      </c>
      <c r="T81" s="242">
        <f>T35</f>
        <v/>
      </c>
      <c r="U81" s="242">
        <f>U35</f>
        <v/>
      </c>
      <c r="V81" s="242">
        <f>V35</f>
        <v/>
      </c>
    </row>
    <row r="82">
      <c r="A82" s="165" t="inlineStr">
        <is>
          <t>Deferred tax liability</t>
        </is>
      </c>
      <c r="B82" s="165" t="inlineStr">
        <is>
          <t>$mm</t>
        </is>
      </c>
      <c r="C82" s="242">
        <f>MAX(0,'S&amp;U_Opening'!$E$19+'Scenario_Drivers'!C125-C26+C27)</f>
        <v/>
      </c>
      <c r="D82" s="242">
        <f>MAX(0,C82+'Scenario_Drivers'!D125-D26+D27)</f>
        <v/>
      </c>
      <c r="E82" s="242">
        <f>MAX(0,D82+'Scenario_Drivers'!E125-E26+E27)</f>
        <v/>
      </c>
      <c r="F82" s="242">
        <f>MAX(0,E82+'Scenario_Drivers'!F125-F26+F27)</f>
        <v/>
      </c>
      <c r="G82" s="242">
        <f>MAX(0,F82+'Scenario_Drivers'!G125-G26+G27)</f>
        <v/>
      </c>
      <c r="H82" s="242">
        <f>MAX(0,G82+'Scenario_Drivers'!H125-H26+H27)</f>
        <v/>
      </c>
      <c r="I82" s="242">
        <f>MAX(0,H82+'Scenario_Drivers'!I125-I26+I27)</f>
        <v/>
      </c>
      <c r="J82" s="242">
        <f>MAX(0,I82+'Scenario_Drivers'!J125-J26+J27)</f>
        <v/>
      </c>
      <c r="K82" s="242">
        <f>MAX(0,J82+'Scenario_Drivers'!K125-K26+K27)</f>
        <v/>
      </c>
      <c r="L82" s="242">
        <f>MAX(0,K82+'Scenario_Drivers'!L125-L26+L27)</f>
        <v/>
      </c>
      <c r="M82" s="242">
        <f>MAX(0,L82+'Scenario_Drivers'!M125-M26+M27)</f>
        <v/>
      </c>
      <c r="N82" s="242">
        <f>MAX(0,M82+'Scenario_Drivers'!N125-N26+N27)</f>
        <v/>
      </c>
      <c r="O82" s="242">
        <f>MAX(0,N82+'Scenario_Drivers'!O125-O26+O27)</f>
        <v/>
      </c>
      <c r="P82" s="242">
        <f>MAX(0,O82+'Scenario_Drivers'!P125-P26+P27)</f>
        <v/>
      </c>
      <c r="Q82" s="242">
        <f>MAX(0,P82+'Scenario_Drivers'!Q125-Q26+Q27)</f>
        <v/>
      </c>
      <c r="R82" s="242">
        <f>MAX(0,Q82+'Scenario_Drivers'!R125-R26+R27)</f>
        <v/>
      </c>
      <c r="S82" s="242">
        <f>MAX(0,R82+'Scenario_Drivers'!S125-S26+S27)</f>
        <v/>
      </c>
      <c r="T82" s="242">
        <f>MAX(0,S82+'Scenario_Drivers'!T125-T26+T27)</f>
        <v/>
      </c>
      <c r="U82" s="242">
        <f>MAX(0,T82+'Scenario_Drivers'!U125-U26+U27)</f>
        <v/>
      </c>
      <c r="V82" s="242">
        <f>MAX(0,U82+'Scenario_Drivers'!V125-V26+V27)</f>
        <v/>
      </c>
    </row>
    <row r="83">
      <c r="A83" s="165" t="inlineStr">
        <is>
          <t>Other liabilities</t>
        </is>
      </c>
      <c r="B83" s="165" t="inlineStr">
        <is>
          <t>$mm</t>
        </is>
      </c>
      <c r="C83" s="242">
        <f>'S&amp;U_Opening'!$E$20+'Scenario_Drivers'!C126</f>
        <v/>
      </c>
      <c r="D83" s="242">
        <f>C83+'Scenario_Drivers'!D126</f>
        <v/>
      </c>
      <c r="E83" s="242">
        <f>D83+'Scenario_Drivers'!E126</f>
        <v/>
      </c>
      <c r="F83" s="242">
        <f>E83+'Scenario_Drivers'!F126</f>
        <v/>
      </c>
      <c r="G83" s="242">
        <f>F83+'Scenario_Drivers'!G126</f>
        <v/>
      </c>
      <c r="H83" s="242">
        <f>G83+'Scenario_Drivers'!H126</f>
        <v/>
      </c>
      <c r="I83" s="242">
        <f>H83+'Scenario_Drivers'!I126</f>
        <v/>
      </c>
      <c r="J83" s="242">
        <f>I83+'Scenario_Drivers'!J126</f>
        <v/>
      </c>
      <c r="K83" s="242">
        <f>J83+'Scenario_Drivers'!K126</f>
        <v/>
      </c>
      <c r="L83" s="242">
        <f>K83+'Scenario_Drivers'!L126</f>
        <v/>
      </c>
      <c r="M83" s="242">
        <f>L83+'Scenario_Drivers'!M126</f>
        <v/>
      </c>
      <c r="N83" s="242">
        <f>M83+'Scenario_Drivers'!N126</f>
        <v/>
      </c>
      <c r="O83" s="242">
        <f>N83+'Scenario_Drivers'!O126</f>
        <v/>
      </c>
      <c r="P83" s="242">
        <f>O83+'Scenario_Drivers'!P126</f>
        <v/>
      </c>
      <c r="Q83" s="242">
        <f>P83+'Scenario_Drivers'!Q126</f>
        <v/>
      </c>
      <c r="R83" s="242">
        <f>Q83+'Scenario_Drivers'!R126</f>
        <v/>
      </c>
      <c r="S83" s="242">
        <f>R83+'Scenario_Drivers'!S126</f>
        <v/>
      </c>
      <c r="T83" s="242">
        <f>S83+'Scenario_Drivers'!T126</f>
        <v/>
      </c>
      <c r="U83" s="242">
        <f>T83+'Scenario_Drivers'!U126</f>
        <v/>
      </c>
      <c r="V83" s="242">
        <f>U83+'Scenario_Drivers'!V126</f>
        <v/>
      </c>
    </row>
    <row r="84">
      <c r="A84" s="165" t="inlineStr">
        <is>
          <t>Total liabilities</t>
        </is>
      </c>
      <c r="B84" s="165" t="inlineStr">
        <is>
          <t>$mm</t>
        </is>
      </c>
      <c r="C84" s="242">
        <f>SUM(C76:C83)</f>
        <v/>
      </c>
      <c r="D84" s="242">
        <f>SUM(D76:D83)</f>
        <v/>
      </c>
      <c r="E84" s="242">
        <f>SUM(E76:E83)</f>
        <v/>
      </c>
      <c r="F84" s="242">
        <f>SUM(F76:F83)</f>
        <v/>
      </c>
      <c r="G84" s="242">
        <f>SUM(G76:G83)</f>
        <v/>
      </c>
      <c r="H84" s="242">
        <f>SUM(H76:H83)</f>
        <v/>
      </c>
      <c r="I84" s="242">
        <f>SUM(I76:I83)</f>
        <v/>
      </c>
      <c r="J84" s="242">
        <f>SUM(J76:J83)</f>
        <v/>
      </c>
      <c r="K84" s="242">
        <f>SUM(K76:K83)</f>
        <v/>
      </c>
      <c r="L84" s="242">
        <f>SUM(L76:L83)</f>
        <v/>
      </c>
      <c r="M84" s="242">
        <f>SUM(M76:M83)</f>
        <v/>
      </c>
      <c r="N84" s="242">
        <f>SUM(N76:N83)</f>
        <v/>
      </c>
      <c r="O84" s="242">
        <f>SUM(O76:O83)</f>
        <v/>
      </c>
      <c r="P84" s="242">
        <f>SUM(P76:P83)</f>
        <v/>
      </c>
      <c r="Q84" s="242">
        <f>SUM(Q76:Q83)</f>
        <v/>
      </c>
      <c r="R84" s="242">
        <f>SUM(R76:R83)</f>
        <v/>
      </c>
      <c r="S84" s="242">
        <f>SUM(S76:S83)</f>
        <v/>
      </c>
      <c r="T84" s="242">
        <f>SUM(T76:T83)</f>
        <v/>
      </c>
      <c r="U84" s="242">
        <f>SUM(U76:U83)</f>
        <v/>
      </c>
      <c r="V84" s="242">
        <f>SUM(V76:V83)</f>
        <v/>
      </c>
    </row>
    <row r="85">
      <c r="A85" s="165" t="inlineStr">
        <is>
          <t>Equity</t>
        </is>
      </c>
      <c r="B85" s="165" t="inlineStr">
        <is>
          <t>$mm</t>
        </is>
      </c>
      <c r="C85" s="242">
        <f>'S&amp;U_Opening'!$E$21+C28+C57</f>
        <v/>
      </c>
      <c r="D85" s="242">
        <f>C85+D28+D57</f>
        <v/>
      </c>
      <c r="E85" s="242">
        <f>D85+E28+E57</f>
        <v/>
      </c>
      <c r="F85" s="242">
        <f>E85+F28+F57</f>
        <v/>
      </c>
      <c r="G85" s="242">
        <f>F85+G28+G57</f>
        <v/>
      </c>
      <c r="H85" s="242">
        <f>G85+H28+H57</f>
        <v/>
      </c>
      <c r="I85" s="242">
        <f>H85+I28+I57</f>
        <v/>
      </c>
      <c r="J85" s="242">
        <f>I85+J28+J57</f>
        <v/>
      </c>
      <c r="K85" s="242">
        <f>J85+K28+K57</f>
        <v/>
      </c>
      <c r="L85" s="242">
        <f>K85+L28+L57</f>
        <v/>
      </c>
      <c r="M85" s="242">
        <f>L85+M28+M57</f>
        <v/>
      </c>
      <c r="N85" s="242">
        <f>M85+N28+N57</f>
        <v/>
      </c>
      <c r="O85" s="242">
        <f>N85+O28+O57</f>
        <v/>
      </c>
      <c r="P85" s="242">
        <f>O85+P28+P57</f>
        <v/>
      </c>
      <c r="Q85" s="242">
        <f>P85+Q28+Q57</f>
        <v/>
      </c>
      <c r="R85" s="242">
        <f>Q85+R28+R57</f>
        <v/>
      </c>
      <c r="S85" s="242">
        <f>R85+S28+S57</f>
        <v/>
      </c>
      <c r="T85" s="242">
        <f>S85+T28+T57</f>
        <v/>
      </c>
      <c r="U85" s="242">
        <f>T85+U28+U57</f>
        <v/>
      </c>
      <c r="V85" s="242">
        <f>U85+V28+V57</f>
        <v/>
      </c>
    </row>
    <row r="86">
      <c r="A86" s="165" t="inlineStr">
        <is>
          <t>Total liabilities &amp; equity</t>
        </is>
      </c>
      <c r="B86" s="165" t="inlineStr">
        <is>
          <t>$mm</t>
        </is>
      </c>
      <c r="C86" s="242">
        <f>C84+C85</f>
        <v/>
      </c>
      <c r="D86" s="242">
        <f>D84+D85</f>
        <v/>
      </c>
      <c r="E86" s="242">
        <f>E84+E85</f>
        <v/>
      </c>
      <c r="F86" s="242">
        <f>F84+F85</f>
        <v/>
      </c>
      <c r="G86" s="242">
        <f>G84+G85</f>
        <v/>
      </c>
      <c r="H86" s="242">
        <f>H84+H85</f>
        <v/>
      </c>
      <c r="I86" s="242">
        <f>I84+I85</f>
        <v/>
      </c>
      <c r="J86" s="242">
        <f>J84+J85</f>
        <v/>
      </c>
      <c r="K86" s="242">
        <f>K84+K85</f>
        <v/>
      </c>
      <c r="L86" s="242">
        <f>L84+L85</f>
        <v/>
      </c>
      <c r="M86" s="242">
        <f>M84+M85</f>
        <v/>
      </c>
      <c r="N86" s="242">
        <f>N84+N85</f>
        <v/>
      </c>
      <c r="O86" s="242">
        <f>O84+O85</f>
        <v/>
      </c>
      <c r="P86" s="242">
        <f>P84+P85</f>
        <v/>
      </c>
      <c r="Q86" s="242">
        <f>Q84+Q85</f>
        <v/>
      </c>
      <c r="R86" s="242">
        <f>R84+R85</f>
        <v/>
      </c>
      <c r="S86" s="242">
        <f>S84+S85</f>
        <v/>
      </c>
      <c r="T86" s="242">
        <f>T84+T85</f>
        <v/>
      </c>
      <c r="U86" s="242">
        <f>U84+U85</f>
        <v/>
      </c>
      <c r="V86" s="242">
        <f>V84+V85</f>
        <v/>
      </c>
    </row>
    <row r="87">
      <c r="A87" s="165" t="inlineStr">
        <is>
          <t>Balance sheet check</t>
        </is>
      </c>
      <c r="B87" s="165" t="inlineStr">
        <is>
          <t>$mm</t>
        </is>
      </c>
      <c r="C87" s="242">
        <f>C75-C86</f>
        <v/>
      </c>
      <c r="D87" s="242">
        <f>D75-D86</f>
        <v/>
      </c>
      <c r="E87" s="242">
        <f>E75-E86</f>
        <v/>
      </c>
      <c r="F87" s="242">
        <f>F75-F86</f>
        <v/>
      </c>
      <c r="G87" s="242">
        <f>G75-G86</f>
        <v/>
      </c>
      <c r="H87" s="242">
        <f>H75-H86</f>
        <v/>
      </c>
      <c r="I87" s="242">
        <f>I75-I86</f>
        <v/>
      </c>
      <c r="J87" s="242">
        <f>J75-J86</f>
        <v/>
      </c>
      <c r="K87" s="242">
        <f>K75-K86</f>
        <v/>
      </c>
      <c r="L87" s="242">
        <f>L75-L86</f>
        <v/>
      </c>
      <c r="M87" s="242">
        <f>M75-M86</f>
        <v/>
      </c>
      <c r="N87" s="242">
        <f>N75-N86</f>
        <v/>
      </c>
      <c r="O87" s="242">
        <f>O75-O86</f>
        <v/>
      </c>
      <c r="P87" s="242">
        <f>P75-P86</f>
        <v/>
      </c>
      <c r="Q87" s="242">
        <f>Q75-Q86</f>
        <v/>
      </c>
      <c r="R87" s="242">
        <f>R75-R86</f>
        <v/>
      </c>
      <c r="S87" s="242">
        <f>S75-S86</f>
        <v/>
      </c>
      <c r="T87" s="242">
        <f>T75-T86</f>
        <v/>
      </c>
      <c r="U87" s="242">
        <f>U75-U86</f>
        <v/>
      </c>
      <c r="V87" s="242">
        <f>V75-V86</f>
        <v/>
      </c>
    </row>
    <row r="88">
      <c r="A88" s="39" t="inlineStr">
        <is>
          <t>Debt and Covenant Metrics</t>
        </is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</row>
    <row r="89">
      <c r="A89" s="165" t="inlineStr">
        <is>
          <t>Gross debt</t>
        </is>
      </c>
      <c r="B89" s="165" t="inlineStr">
        <is>
          <t>$mm</t>
        </is>
      </c>
      <c r="C89" s="242">
        <f>SUM(C76:C78)</f>
        <v/>
      </c>
      <c r="D89" s="242">
        <f>SUM(D76:D78)</f>
        <v/>
      </c>
      <c r="E89" s="242">
        <f>SUM(E76:E78)</f>
        <v/>
      </c>
      <c r="F89" s="242">
        <f>SUM(F76:F78)</f>
        <v/>
      </c>
      <c r="G89" s="242">
        <f>SUM(G76:G78)</f>
        <v/>
      </c>
      <c r="H89" s="242">
        <f>SUM(H76:H78)</f>
        <v/>
      </c>
      <c r="I89" s="242">
        <f>SUM(I76:I78)</f>
        <v/>
      </c>
      <c r="J89" s="242">
        <f>SUM(J76:J78)</f>
        <v/>
      </c>
      <c r="K89" s="242">
        <f>SUM(K76:K78)</f>
        <v/>
      </c>
      <c r="L89" s="242">
        <f>SUM(L76:L78)</f>
        <v/>
      </c>
      <c r="M89" s="242">
        <f>SUM(M76:M78)</f>
        <v/>
      </c>
      <c r="N89" s="242">
        <f>SUM(N76:N78)</f>
        <v/>
      </c>
      <c r="O89" s="242">
        <f>SUM(O76:O78)</f>
        <v/>
      </c>
      <c r="P89" s="242">
        <f>SUM(P76:P78)</f>
        <v/>
      </c>
      <c r="Q89" s="242">
        <f>SUM(Q76:Q78)</f>
        <v/>
      </c>
      <c r="R89" s="242">
        <f>SUM(R76:R78)</f>
        <v/>
      </c>
      <c r="S89" s="242">
        <f>SUM(S76:S78)</f>
        <v/>
      </c>
      <c r="T89" s="242">
        <f>SUM(T76:T78)</f>
        <v/>
      </c>
      <c r="U89" s="242">
        <f>SUM(U76:U78)</f>
        <v/>
      </c>
      <c r="V89" s="242">
        <f>SUM(V76:V78)</f>
        <v/>
      </c>
    </row>
    <row r="90">
      <c r="A90" s="165" t="inlineStr">
        <is>
          <t>Eligible cash</t>
        </is>
      </c>
      <c r="B90" s="165" t="inlineStr">
        <is>
          <t>$mm</t>
        </is>
      </c>
      <c r="C90" s="242">
        <f>MIN(C67,Inputs!$B$19)</f>
        <v/>
      </c>
      <c r="D90" s="242">
        <f>MIN(D67,Inputs!$B$19)</f>
        <v/>
      </c>
      <c r="E90" s="242">
        <f>MIN(E67,Inputs!$B$19)</f>
        <v/>
      </c>
      <c r="F90" s="242">
        <f>MIN(F67,Inputs!$B$19)</f>
        <v/>
      </c>
      <c r="G90" s="242">
        <f>MIN(G67,Inputs!$B$19)</f>
        <v/>
      </c>
      <c r="H90" s="242">
        <f>MIN(H67,Inputs!$B$19)</f>
        <v/>
      </c>
      <c r="I90" s="242">
        <f>MIN(I67,Inputs!$B$19)</f>
        <v/>
      </c>
      <c r="J90" s="242">
        <f>MIN(J67,Inputs!$B$19)</f>
        <v/>
      </c>
      <c r="K90" s="242">
        <f>MIN(K67,Inputs!$B$19)</f>
        <v/>
      </c>
      <c r="L90" s="242">
        <f>MIN(L67,Inputs!$B$19)</f>
        <v/>
      </c>
      <c r="M90" s="242">
        <f>MIN(M67,Inputs!$B$19)</f>
        <v/>
      </c>
      <c r="N90" s="242">
        <f>MIN(N67,Inputs!$B$19)</f>
        <v/>
      </c>
      <c r="O90" s="242">
        <f>MIN(O67,Inputs!$B$19)</f>
        <v/>
      </c>
      <c r="P90" s="242">
        <f>MIN(P67,Inputs!$B$19)</f>
        <v/>
      </c>
      <c r="Q90" s="242">
        <f>MIN(Q67,Inputs!$B$19)</f>
        <v/>
      </c>
      <c r="R90" s="242">
        <f>MIN(R67,Inputs!$B$19)</f>
        <v/>
      </c>
      <c r="S90" s="242">
        <f>MIN(S67,Inputs!$B$19)</f>
        <v/>
      </c>
      <c r="T90" s="242">
        <f>MIN(T67,Inputs!$B$19)</f>
        <v/>
      </c>
      <c r="U90" s="242">
        <f>MIN(U67,Inputs!$B$19)</f>
        <v/>
      </c>
      <c r="V90" s="242">
        <f>MIN(V67,Inputs!$B$19)</f>
        <v/>
      </c>
    </row>
    <row r="91">
      <c r="A91" s="165" t="inlineStr">
        <is>
          <t>Covenant net debt</t>
        </is>
      </c>
      <c r="B91" s="165" t="inlineStr">
        <is>
          <t>$mm</t>
        </is>
      </c>
      <c r="C91" s="242">
        <f>C89-C90</f>
        <v/>
      </c>
      <c r="D91" s="242">
        <f>D89-D90</f>
        <v/>
      </c>
      <c r="E91" s="242">
        <f>E89-E90</f>
        <v/>
      </c>
      <c r="F91" s="242">
        <f>F89-F90</f>
        <v/>
      </c>
      <c r="G91" s="242">
        <f>G89-G90</f>
        <v/>
      </c>
      <c r="H91" s="242">
        <f>H89-H90</f>
        <v/>
      </c>
      <c r="I91" s="242">
        <f>I89-I90</f>
        <v/>
      </c>
      <c r="J91" s="242">
        <f>J89-J90</f>
        <v/>
      </c>
      <c r="K91" s="242">
        <f>K89-K90</f>
        <v/>
      </c>
      <c r="L91" s="242">
        <f>L89-L90</f>
        <v/>
      </c>
      <c r="M91" s="242">
        <f>M89-M90</f>
        <v/>
      </c>
      <c r="N91" s="242">
        <f>N89-N90</f>
        <v/>
      </c>
      <c r="O91" s="242">
        <f>O89-O90</f>
        <v/>
      </c>
      <c r="P91" s="242">
        <f>P89-P90</f>
        <v/>
      </c>
      <c r="Q91" s="242">
        <f>Q89-Q90</f>
        <v/>
      </c>
      <c r="R91" s="242">
        <f>R89-R90</f>
        <v/>
      </c>
      <c r="S91" s="242">
        <f>S89-S90</f>
        <v/>
      </c>
      <c r="T91" s="242">
        <f>T89-T90</f>
        <v/>
      </c>
      <c r="U91" s="242">
        <f>U89-U90</f>
        <v/>
      </c>
      <c r="V91" s="242">
        <f>V89-V90</f>
        <v/>
      </c>
    </row>
    <row r="92">
      <c r="A92" s="165" t="inlineStr">
        <is>
          <t>Economic net debt</t>
        </is>
      </c>
      <c r="B92" s="165" t="inlineStr">
        <is>
          <t>$mm</t>
        </is>
      </c>
      <c r="C92" s="242">
        <f>C89-C67</f>
        <v/>
      </c>
      <c r="D92" s="242">
        <f>D89-D67</f>
        <v/>
      </c>
      <c r="E92" s="242">
        <f>E89-E67</f>
        <v/>
      </c>
      <c r="F92" s="242">
        <f>F89-F67</f>
        <v/>
      </c>
      <c r="G92" s="242">
        <f>G89-G67</f>
        <v/>
      </c>
      <c r="H92" s="242">
        <f>H89-H67</f>
        <v/>
      </c>
      <c r="I92" s="242">
        <f>I89-I67</f>
        <v/>
      </c>
      <c r="J92" s="242">
        <f>J89-J67</f>
        <v/>
      </c>
      <c r="K92" s="242">
        <f>K89-K67</f>
        <v/>
      </c>
      <c r="L92" s="242">
        <f>L89-L67</f>
        <v/>
      </c>
      <c r="M92" s="242">
        <f>M89-M67</f>
        <v/>
      </c>
      <c r="N92" s="242">
        <f>N89-N67</f>
        <v/>
      </c>
      <c r="O92" s="242">
        <f>O89-O67</f>
        <v/>
      </c>
      <c r="P92" s="242">
        <f>P89-P67</f>
        <v/>
      </c>
      <c r="Q92" s="242">
        <f>Q89-Q67</f>
        <v/>
      </c>
      <c r="R92" s="242">
        <f>R89-R67</f>
        <v/>
      </c>
      <c r="S92" s="242">
        <f>S89-S67</f>
        <v/>
      </c>
      <c r="T92" s="242">
        <f>T89-T67</f>
        <v/>
      </c>
      <c r="U92" s="242">
        <f>U89-U67</f>
        <v/>
      </c>
      <c r="V92" s="242">
        <f>V89-V67</f>
        <v/>
      </c>
    </row>
    <row r="93">
      <c r="A93" s="165" t="inlineStr">
        <is>
          <t>LTM revenue</t>
        </is>
      </c>
      <c r="B93" s="165" t="inlineStr">
        <is>
          <t>$mm</t>
        </is>
      </c>
      <c r="C93" s="242">
        <f>SUM(C5:C5)</f>
        <v/>
      </c>
      <c r="D93" s="242">
        <f>SUM(C5:D5)</f>
        <v/>
      </c>
      <c r="E93" s="242">
        <f>SUM(C5:E5)</f>
        <v/>
      </c>
      <c r="F93" s="242">
        <f>SUM(C5:F5)</f>
        <v/>
      </c>
      <c r="G93" s="242">
        <f>SUM(D5:G5)</f>
        <v/>
      </c>
      <c r="H93" s="242">
        <f>SUM(E5:H5)</f>
        <v/>
      </c>
      <c r="I93" s="242">
        <f>SUM(F5:I5)</f>
        <v/>
      </c>
      <c r="J93" s="242">
        <f>SUM(G5:J5)</f>
        <v/>
      </c>
      <c r="K93" s="242">
        <f>SUM(H5:K5)</f>
        <v/>
      </c>
      <c r="L93" s="242">
        <f>SUM(I5:L5)</f>
        <v/>
      </c>
      <c r="M93" s="242">
        <f>SUM(J5:M5)</f>
        <v/>
      </c>
      <c r="N93" s="242">
        <f>SUM(K5:N5)</f>
        <v/>
      </c>
      <c r="O93" s="242">
        <f>SUM(L5:O5)</f>
        <v/>
      </c>
      <c r="P93" s="242">
        <f>SUM(M5:P5)</f>
        <v/>
      </c>
      <c r="Q93" s="242">
        <f>SUM(N5:Q5)</f>
        <v/>
      </c>
      <c r="R93" s="242">
        <f>SUM(O5:R5)</f>
        <v/>
      </c>
      <c r="S93" s="242">
        <f>SUM(P5:S5)</f>
        <v/>
      </c>
      <c r="T93" s="242">
        <f>SUM(Q5:T5)</f>
        <v/>
      </c>
      <c r="U93" s="242">
        <f>SUM(R5:U5)</f>
        <v/>
      </c>
      <c r="V93" s="242">
        <f>SUM(S5:V5)</f>
        <v/>
      </c>
    </row>
    <row r="94">
      <c r="A94" s="165" t="inlineStr">
        <is>
          <t>LTM reported EBITDA</t>
        </is>
      </c>
      <c r="B94" s="165" t="inlineStr">
        <is>
          <t>$mm</t>
        </is>
      </c>
      <c r="C94" s="242">
        <f>SUM(C12:C12)</f>
        <v/>
      </c>
      <c r="D94" s="242">
        <f>SUM(C12:D12)</f>
        <v/>
      </c>
      <c r="E94" s="242">
        <f>SUM(C12:E12)</f>
        <v/>
      </c>
      <c r="F94" s="242">
        <f>SUM(C12:F12)</f>
        <v/>
      </c>
      <c r="G94" s="242">
        <f>SUM(D12:G12)</f>
        <v/>
      </c>
      <c r="H94" s="242">
        <f>SUM(E12:H12)</f>
        <v/>
      </c>
      <c r="I94" s="242">
        <f>SUM(F12:I12)</f>
        <v/>
      </c>
      <c r="J94" s="242">
        <f>SUM(G12:J12)</f>
        <v/>
      </c>
      <c r="K94" s="242">
        <f>SUM(H12:K12)</f>
        <v/>
      </c>
      <c r="L94" s="242">
        <f>SUM(I12:L12)</f>
        <v/>
      </c>
      <c r="M94" s="242">
        <f>SUM(J12:M12)</f>
        <v/>
      </c>
      <c r="N94" s="242">
        <f>SUM(K12:N12)</f>
        <v/>
      </c>
      <c r="O94" s="242">
        <f>SUM(L12:O12)</f>
        <v/>
      </c>
      <c r="P94" s="242">
        <f>SUM(M12:P12)</f>
        <v/>
      </c>
      <c r="Q94" s="242">
        <f>SUM(N12:Q12)</f>
        <v/>
      </c>
      <c r="R94" s="242">
        <f>SUM(O12:R12)</f>
        <v/>
      </c>
      <c r="S94" s="242">
        <f>SUM(P12:S12)</f>
        <v/>
      </c>
      <c r="T94" s="242">
        <f>SUM(Q12:T12)</f>
        <v/>
      </c>
      <c r="U94" s="242">
        <f>SUM(R12:U12)</f>
        <v/>
      </c>
      <c r="V94" s="242">
        <f>SUM(S12:V12)</f>
        <v/>
      </c>
    </row>
    <row r="95">
      <c r="A95" s="165" t="inlineStr">
        <is>
          <t>LTM firm EBITDA</t>
        </is>
      </c>
      <c r="B95" s="165" t="inlineStr">
        <is>
          <t>$mm</t>
        </is>
      </c>
      <c r="C95" s="242">
        <f>SUM(C10:C10)</f>
        <v/>
      </c>
      <c r="D95" s="242">
        <f>SUM(C10:D10)</f>
        <v/>
      </c>
      <c r="E95" s="242">
        <f>SUM(C10:E10)</f>
        <v/>
      </c>
      <c r="F95" s="242">
        <f>SUM(C10:F10)</f>
        <v/>
      </c>
      <c r="G95" s="242">
        <f>SUM(D10:G10)</f>
        <v/>
      </c>
      <c r="H95" s="242">
        <f>SUM(E10:H10)</f>
        <v/>
      </c>
      <c r="I95" s="242">
        <f>SUM(F10:I10)</f>
        <v/>
      </c>
      <c r="J95" s="242">
        <f>SUM(G10:J10)</f>
        <v/>
      </c>
      <c r="K95" s="242">
        <f>SUM(H10:K10)</f>
        <v/>
      </c>
      <c r="L95" s="242">
        <f>SUM(I10:L10)</f>
        <v/>
      </c>
      <c r="M95" s="242">
        <f>SUM(J10:M10)</f>
        <v/>
      </c>
      <c r="N95" s="242">
        <f>SUM(K10:N10)</f>
        <v/>
      </c>
      <c r="O95" s="242">
        <f>SUM(L10:O10)</f>
        <v/>
      </c>
      <c r="P95" s="242">
        <f>SUM(M10:P10)</f>
        <v/>
      </c>
      <c r="Q95" s="242">
        <f>SUM(N10:Q10)</f>
        <v/>
      </c>
      <c r="R95" s="242">
        <f>SUM(O10:R10)</f>
        <v/>
      </c>
      <c r="S95" s="242">
        <f>SUM(P10:S10)</f>
        <v/>
      </c>
      <c r="T95" s="242">
        <f>SUM(Q10:T10)</f>
        <v/>
      </c>
      <c r="U95" s="242">
        <f>SUM(R10:U10)</f>
        <v/>
      </c>
      <c r="V95" s="242">
        <f>SUM(S10:V10)</f>
        <v/>
      </c>
    </row>
    <row r="96">
      <c r="A96" s="165" t="inlineStr">
        <is>
          <t>LTM add-backs</t>
        </is>
      </c>
      <c r="B96" s="165" t="inlineStr">
        <is>
          <t>$mm</t>
        </is>
      </c>
      <c r="C96" s="242">
        <f>SUM(C13:C13)</f>
        <v/>
      </c>
      <c r="D96" s="242">
        <f>SUM(C13:D13)</f>
        <v/>
      </c>
      <c r="E96" s="242">
        <f>SUM(C13:E13)</f>
        <v/>
      </c>
      <c r="F96" s="242">
        <f>SUM(C13:F13)</f>
        <v/>
      </c>
      <c r="G96" s="242">
        <f>SUM(D13:G13)</f>
        <v/>
      </c>
      <c r="H96" s="242">
        <f>SUM(E13:H13)</f>
        <v/>
      </c>
      <c r="I96" s="242">
        <f>SUM(F13:I13)</f>
        <v/>
      </c>
      <c r="J96" s="242">
        <f>SUM(G13:J13)</f>
        <v/>
      </c>
      <c r="K96" s="242">
        <f>SUM(H13:K13)</f>
        <v/>
      </c>
      <c r="L96" s="242">
        <f>SUM(I13:L13)</f>
        <v/>
      </c>
      <c r="M96" s="242">
        <f>SUM(J13:M13)</f>
        <v/>
      </c>
      <c r="N96" s="242">
        <f>SUM(K13:N13)</f>
        <v/>
      </c>
      <c r="O96" s="242">
        <f>SUM(L13:O13)</f>
        <v/>
      </c>
      <c r="P96" s="242">
        <f>SUM(M13:P13)</f>
        <v/>
      </c>
      <c r="Q96" s="242">
        <f>SUM(N13:Q13)</f>
        <v/>
      </c>
      <c r="R96" s="242">
        <f>SUM(O13:R13)</f>
        <v/>
      </c>
      <c r="S96" s="242">
        <f>SUM(P13:S13)</f>
        <v/>
      </c>
      <c r="T96" s="242">
        <f>SUM(Q13:T13)</f>
        <v/>
      </c>
      <c r="U96" s="242">
        <f>SUM(R13:U13)</f>
        <v/>
      </c>
      <c r="V96" s="242">
        <f>SUM(S13:V13)</f>
        <v/>
      </c>
    </row>
    <row r="97">
      <c r="A97" s="165" t="inlineStr">
        <is>
          <t>LTM covenant EBITDA</t>
        </is>
      </c>
      <c r="B97" s="165" t="inlineStr">
        <is>
          <t>$mm</t>
        </is>
      </c>
      <c r="C97" s="242">
        <f>SUM(C14:C14)</f>
        <v/>
      </c>
      <c r="D97" s="242">
        <f>SUM(C14:D14)</f>
        <v/>
      </c>
      <c r="E97" s="242">
        <f>SUM(C14:E14)</f>
        <v/>
      </c>
      <c r="F97" s="242">
        <f>SUM(C14:F14)</f>
        <v/>
      </c>
      <c r="G97" s="242">
        <f>SUM(D14:G14)</f>
        <v/>
      </c>
      <c r="H97" s="242">
        <f>SUM(E14:H14)</f>
        <v/>
      </c>
      <c r="I97" s="242">
        <f>SUM(F14:I14)</f>
        <v/>
      </c>
      <c r="J97" s="242">
        <f>SUM(G14:J14)</f>
        <v/>
      </c>
      <c r="K97" s="242">
        <f>SUM(H14:K14)</f>
        <v/>
      </c>
      <c r="L97" s="242">
        <f>SUM(I14:L14)</f>
        <v/>
      </c>
      <c r="M97" s="242">
        <f>SUM(J14:M14)</f>
        <v/>
      </c>
      <c r="N97" s="242">
        <f>SUM(K14:N14)</f>
        <v/>
      </c>
      <c r="O97" s="242">
        <f>SUM(L14:O14)</f>
        <v/>
      </c>
      <c r="P97" s="242">
        <f>SUM(M14:P14)</f>
        <v/>
      </c>
      <c r="Q97" s="242">
        <f>SUM(N14:Q14)</f>
        <v/>
      </c>
      <c r="R97" s="242">
        <f>SUM(O14:R14)</f>
        <v/>
      </c>
      <c r="S97" s="242">
        <f>SUM(P14:S14)</f>
        <v/>
      </c>
      <c r="T97" s="242">
        <f>SUM(Q14:T14)</f>
        <v/>
      </c>
      <c r="U97" s="242">
        <f>SUM(R14:U14)</f>
        <v/>
      </c>
      <c r="V97" s="242">
        <f>SUM(S14:V14)</f>
        <v/>
      </c>
    </row>
    <row r="98">
      <c r="A98" s="165" t="inlineStr">
        <is>
          <t>Total net leverage</t>
        </is>
      </c>
      <c r="B98" s="165" t="inlineStr">
        <is>
          <t>x</t>
        </is>
      </c>
      <c r="C98" s="243">
        <f>C91/MAX(0.001,C97)</f>
        <v/>
      </c>
      <c r="D98" s="243">
        <f>D91/MAX(0.001,D97)</f>
        <v/>
      </c>
      <c r="E98" s="243">
        <f>E91/MAX(0.001,E97)</f>
        <v/>
      </c>
      <c r="F98" s="243">
        <f>F91/MAX(0.001,F97)</f>
        <v/>
      </c>
      <c r="G98" s="243">
        <f>G91/MAX(0.001,G97)</f>
        <v/>
      </c>
      <c r="H98" s="243">
        <f>H91/MAX(0.001,H97)</f>
        <v/>
      </c>
      <c r="I98" s="243">
        <f>I91/MAX(0.001,I97)</f>
        <v/>
      </c>
      <c r="J98" s="243">
        <f>J91/MAX(0.001,J97)</f>
        <v/>
      </c>
      <c r="K98" s="243">
        <f>K91/MAX(0.001,K97)</f>
        <v/>
      </c>
      <c r="L98" s="243">
        <f>L91/MAX(0.001,L97)</f>
        <v/>
      </c>
      <c r="M98" s="243">
        <f>M91/MAX(0.001,M97)</f>
        <v/>
      </c>
      <c r="N98" s="243">
        <f>N91/MAX(0.001,N97)</f>
        <v/>
      </c>
      <c r="O98" s="243">
        <f>O91/MAX(0.001,O97)</f>
        <v/>
      </c>
      <c r="P98" s="243">
        <f>P91/MAX(0.001,P97)</f>
        <v/>
      </c>
      <c r="Q98" s="243">
        <f>Q91/MAX(0.001,Q97)</f>
        <v/>
      </c>
      <c r="R98" s="243">
        <f>R91/MAX(0.001,R97)</f>
        <v/>
      </c>
      <c r="S98" s="243">
        <f>S91/MAX(0.001,S97)</f>
        <v/>
      </c>
      <c r="T98" s="243">
        <f>T91/MAX(0.001,T97)</f>
        <v/>
      </c>
      <c r="U98" s="243">
        <f>U91/MAX(0.001,U97)</f>
        <v/>
      </c>
      <c r="V98" s="243">
        <f>V91/MAX(0.001,V97)</f>
        <v/>
      </c>
    </row>
    <row r="99">
      <c r="A99" s="165" t="inlineStr">
        <is>
          <t>Gross leverage</t>
        </is>
      </c>
      <c r="B99" s="165" t="inlineStr">
        <is>
          <t>x</t>
        </is>
      </c>
      <c r="C99" s="243">
        <f>C89/MAX(0.001,C95)</f>
        <v/>
      </c>
      <c r="D99" s="243">
        <f>D89/MAX(0.001,D95)</f>
        <v/>
      </c>
      <c r="E99" s="243">
        <f>E89/MAX(0.001,E95)</f>
        <v/>
      </c>
      <c r="F99" s="243">
        <f>F89/MAX(0.001,F95)</f>
        <v/>
      </c>
      <c r="G99" s="243">
        <f>G89/MAX(0.001,G95)</f>
        <v/>
      </c>
      <c r="H99" s="243">
        <f>H89/MAX(0.001,H95)</f>
        <v/>
      </c>
      <c r="I99" s="243">
        <f>I89/MAX(0.001,I95)</f>
        <v/>
      </c>
      <c r="J99" s="243">
        <f>J89/MAX(0.001,J95)</f>
        <v/>
      </c>
      <c r="K99" s="243">
        <f>K89/MAX(0.001,K95)</f>
        <v/>
      </c>
      <c r="L99" s="243">
        <f>L89/MAX(0.001,L95)</f>
        <v/>
      </c>
      <c r="M99" s="243">
        <f>M89/MAX(0.001,M95)</f>
        <v/>
      </c>
      <c r="N99" s="243">
        <f>N89/MAX(0.001,N95)</f>
        <v/>
      </c>
      <c r="O99" s="243">
        <f>O89/MAX(0.001,O95)</f>
        <v/>
      </c>
      <c r="P99" s="243">
        <f>P89/MAX(0.001,P95)</f>
        <v/>
      </c>
      <c r="Q99" s="243">
        <f>Q89/MAX(0.001,Q95)</f>
        <v/>
      </c>
      <c r="R99" s="243">
        <f>R89/MAX(0.001,R95)</f>
        <v/>
      </c>
      <c r="S99" s="243">
        <f>S89/MAX(0.001,S95)</f>
        <v/>
      </c>
      <c r="T99" s="243">
        <f>T89/MAX(0.001,T95)</f>
        <v/>
      </c>
      <c r="U99" s="243">
        <f>U89/MAX(0.001,U95)</f>
        <v/>
      </c>
      <c r="V99" s="243">
        <f>V89/MAX(0.001,V95)</f>
        <v/>
      </c>
    </row>
    <row r="100">
      <c r="A100" s="165" t="inlineStr">
        <is>
          <t>Fixed charge coverage</t>
        </is>
      </c>
      <c r="B100" s="165" t="inlineStr">
        <is>
          <t>x</t>
        </is>
      </c>
      <c r="C100" s="243">
        <f>(C94-SUM(C27:C27)-SUM(C41:C41))/MAX(0.001,(-SUM(C22:C22)-SUM(C61:C61)-SUM(C62:C62)))</f>
        <v/>
      </c>
      <c r="D100" s="243">
        <f>(D94-SUM(C27:D27)-SUM(C41:D41))/MAX(0.001,(-SUM(C22:D22)-SUM(C61:D61)-SUM(C62:D62)))</f>
        <v/>
      </c>
      <c r="E100" s="243">
        <f>(E94-SUM(C27:E27)-SUM(C41:E41))/MAX(0.001,(-SUM(C22:E22)-SUM(C61:E61)-SUM(C62:E62)))</f>
        <v/>
      </c>
      <c r="F100" s="243">
        <f>(F94-SUM(C27:F27)-SUM(C41:F41))/MAX(0.001,(-SUM(C22:F22)-SUM(C61:F61)-SUM(C62:F62)))</f>
        <v/>
      </c>
      <c r="G100" s="243">
        <f>(G94-SUM(D27:G27)-SUM(D41:G41))/MAX(0.001,(-SUM(D22:G22)-SUM(D61:G61)-SUM(D62:G62)))</f>
        <v/>
      </c>
      <c r="H100" s="243">
        <f>(H94-SUM(E27:H27)-SUM(E41:H41))/MAX(0.001,(-SUM(E22:H22)-SUM(E61:H61)-SUM(E62:H62)))</f>
        <v/>
      </c>
      <c r="I100" s="243">
        <f>(I94-SUM(F27:I27)-SUM(F41:I41))/MAX(0.001,(-SUM(F22:I22)-SUM(F61:I61)-SUM(F62:I62)))</f>
        <v/>
      </c>
      <c r="J100" s="243">
        <f>(J94-SUM(G27:J27)-SUM(G41:J41))/MAX(0.001,(-SUM(G22:J22)-SUM(G61:J61)-SUM(G62:J62)))</f>
        <v/>
      </c>
      <c r="K100" s="243">
        <f>(K94-SUM(H27:K27)-SUM(H41:K41))/MAX(0.001,(-SUM(H22:K22)-SUM(H61:K61)-SUM(H62:K62)))</f>
        <v/>
      </c>
      <c r="L100" s="243">
        <f>(L94-SUM(I27:L27)-SUM(I41:L41))/MAX(0.001,(-SUM(I22:L22)-SUM(I61:L61)-SUM(I62:L62)))</f>
        <v/>
      </c>
      <c r="M100" s="243">
        <f>(M94-SUM(J27:M27)-SUM(J41:M41))/MAX(0.001,(-SUM(J22:M22)-SUM(J61:M61)-SUM(J62:M62)))</f>
        <v/>
      </c>
      <c r="N100" s="243">
        <f>(N94-SUM(K27:N27)-SUM(K41:N41))/MAX(0.001,(-SUM(K22:N22)-SUM(K61:N61)-SUM(K62:N62)))</f>
        <v/>
      </c>
      <c r="O100" s="243">
        <f>(O94-SUM(L27:O27)-SUM(L41:O41))/MAX(0.001,(-SUM(L22:O22)-SUM(L61:O61)-SUM(L62:O62)))</f>
        <v/>
      </c>
      <c r="P100" s="243">
        <f>(P94-SUM(M27:P27)-SUM(M41:P41))/MAX(0.001,(-SUM(M22:P22)-SUM(M61:P61)-SUM(M62:P62)))</f>
        <v/>
      </c>
      <c r="Q100" s="243">
        <f>(Q94-SUM(N27:Q27)-SUM(N41:Q41))/MAX(0.001,(-SUM(N22:Q22)-SUM(N61:Q61)-SUM(N62:Q62)))</f>
        <v/>
      </c>
      <c r="R100" s="243">
        <f>(R94-SUM(O27:R27)-SUM(O41:R41))/MAX(0.001,(-SUM(O22:R22)-SUM(O61:R61)-SUM(O62:R62)))</f>
        <v/>
      </c>
      <c r="S100" s="243">
        <f>(S94-SUM(P27:S27)-SUM(P41:S41))/MAX(0.001,(-SUM(P22:S22)-SUM(P61:S61)-SUM(P62:S62)))</f>
        <v/>
      </c>
      <c r="T100" s="243">
        <f>(T94-SUM(Q27:T27)-SUM(Q41:T41))/MAX(0.001,(-SUM(Q22:T22)-SUM(Q61:T61)-SUM(Q62:T62)))</f>
        <v/>
      </c>
      <c r="U100" s="243">
        <f>(U94-SUM(R27:U27)-SUM(R41:U41))/MAX(0.001,(-SUM(R22:U22)-SUM(R61:U61)-SUM(R62:U62)))</f>
        <v/>
      </c>
      <c r="V100" s="243">
        <f>(V94-SUM(S27:V27)-SUM(S41:V41))/MAX(0.001,(-SUM(S22:V22)-SUM(S61:V61)-SUM(S62:V62)))</f>
        <v/>
      </c>
    </row>
    <row r="101">
      <c r="A101" s="165" t="inlineStr">
        <is>
          <t>Revolver availability</t>
        </is>
      </c>
      <c r="B101" s="165" t="inlineStr">
        <is>
          <t>$mm</t>
        </is>
      </c>
      <c r="C101" s="242">
        <f>MAX(0,Inputs!$B$20-C78-'Scenario_Drivers'!C130)</f>
        <v/>
      </c>
      <c r="D101" s="242">
        <f>MAX(0,Inputs!$B$20-D78-'Scenario_Drivers'!D130)</f>
        <v/>
      </c>
      <c r="E101" s="242">
        <f>MAX(0,Inputs!$B$20-E78-'Scenario_Drivers'!E130)</f>
        <v/>
      </c>
      <c r="F101" s="242">
        <f>MAX(0,Inputs!$B$20-F78-'Scenario_Drivers'!F130)</f>
        <v/>
      </c>
      <c r="G101" s="242">
        <f>MAX(0,Inputs!$B$20-G78-'Scenario_Drivers'!G130)</f>
        <v/>
      </c>
      <c r="H101" s="242">
        <f>MAX(0,Inputs!$B$20-H78-'Scenario_Drivers'!H130)</f>
        <v/>
      </c>
      <c r="I101" s="242">
        <f>MAX(0,Inputs!$B$20-I78-'Scenario_Drivers'!I130)</f>
        <v/>
      </c>
      <c r="J101" s="242">
        <f>MAX(0,Inputs!$B$20-J78-'Scenario_Drivers'!J130)</f>
        <v/>
      </c>
      <c r="K101" s="242">
        <f>MAX(0,Inputs!$B$20-K78-'Scenario_Drivers'!K130)</f>
        <v/>
      </c>
      <c r="L101" s="242">
        <f>MAX(0,Inputs!$B$20-L78-'Scenario_Drivers'!L130)</f>
        <v/>
      </c>
      <c r="M101" s="242">
        <f>MAX(0,Inputs!$B$20-M78-'Scenario_Drivers'!M130)</f>
        <v/>
      </c>
      <c r="N101" s="242">
        <f>MAX(0,Inputs!$B$20-N78-'Scenario_Drivers'!N130)</f>
        <v/>
      </c>
      <c r="O101" s="242">
        <f>MAX(0,Inputs!$B$20-O78-'Scenario_Drivers'!O130)</f>
        <v/>
      </c>
      <c r="P101" s="242">
        <f>MAX(0,Inputs!$B$20-P78-'Scenario_Drivers'!P130)</f>
        <v/>
      </c>
      <c r="Q101" s="242">
        <f>MAX(0,Inputs!$B$20-Q78-'Scenario_Drivers'!Q130)</f>
        <v/>
      </c>
      <c r="R101" s="242">
        <f>MAX(0,Inputs!$B$20-R78-'Scenario_Drivers'!R130)</f>
        <v/>
      </c>
      <c r="S101" s="242">
        <f>MAX(0,Inputs!$B$20-S78-'Scenario_Drivers'!S130)</f>
        <v/>
      </c>
      <c r="T101" s="242">
        <f>MAX(0,Inputs!$B$20-T78-'Scenario_Drivers'!T130)</f>
        <v/>
      </c>
      <c r="U101" s="242">
        <f>MAX(0,Inputs!$B$20-U78-'Scenario_Drivers'!U130)</f>
        <v/>
      </c>
      <c r="V101" s="242">
        <f>MAX(0,Inputs!$B$20-V78-'Scenario_Drivers'!V130)</f>
        <v/>
      </c>
    </row>
    <row r="102">
      <c r="A102" s="165" t="inlineStr">
        <is>
          <t>Liquidity</t>
        </is>
      </c>
      <c r="B102" s="165" t="inlineStr">
        <is>
          <t>$mm</t>
        </is>
      </c>
      <c r="C102" s="242">
        <f>C67+C101</f>
        <v/>
      </c>
      <c r="D102" s="242">
        <f>D67+D101</f>
        <v/>
      </c>
      <c r="E102" s="242">
        <f>E67+E101</f>
        <v/>
      </c>
      <c r="F102" s="242">
        <f>F67+F101</f>
        <v/>
      </c>
      <c r="G102" s="242">
        <f>G67+G101</f>
        <v/>
      </c>
      <c r="H102" s="242">
        <f>H67+H101</f>
        <v/>
      </c>
      <c r="I102" s="242">
        <f>I67+I101</f>
        <v/>
      </c>
      <c r="J102" s="242">
        <f>J67+J101</f>
        <v/>
      </c>
      <c r="K102" s="242">
        <f>K67+K101</f>
        <v/>
      </c>
      <c r="L102" s="242">
        <f>L67+L101</f>
        <v/>
      </c>
      <c r="M102" s="242">
        <f>M67+M101</f>
        <v/>
      </c>
      <c r="N102" s="242">
        <f>N67+N101</f>
        <v/>
      </c>
      <c r="O102" s="242">
        <f>O67+O101</f>
        <v/>
      </c>
      <c r="P102" s="242">
        <f>P67+P101</f>
        <v/>
      </c>
      <c r="Q102" s="242">
        <f>Q67+Q101</f>
        <v/>
      </c>
      <c r="R102" s="242">
        <f>R67+R101</f>
        <v/>
      </c>
      <c r="S102" s="242">
        <f>S67+S101</f>
        <v/>
      </c>
      <c r="T102" s="242">
        <f>T67+T101</f>
        <v/>
      </c>
      <c r="U102" s="242">
        <f>U67+U101</f>
        <v/>
      </c>
      <c r="V102" s="242">
        <f>V67+V101</f>
        <v/>
      </c>
    </row>
    <row r="103">
      <c r="A103" s="165" t="inlineStr">
        <is>
          <t>Covenant limit</t>
        </is>
      </c>
      <c r="B103" s="165" t="inlineStr">
        <is>
          <t>x</t>
        </is>
      </c>
      <c r="C103" s="244">
        <f>'Scenario_Drivers'!C134</f>
        <v/>
      </c>
      <c r="D103" s="244">
        <f>'Scenario_Drivers'!D134</f>
        <v/>
      </c>
      <c r="E103" s="244">
        <f>'Scenario_Drivers'!E134</f>
        <v/>
      </c>
      <c r="F103" s="244">
        <f>'Scenario_Drivers'!F134</f>
        <v/>
      </c>
      <c r="G103" s="244">
        <f>'Scenario_Drivers'!G134</f>
        <v/>
      </c>
      <c r="H103" s="244">
        <f>'Scenario_Drivers'!H134</f>
        <v/>
      </c>
      <c r="I103" s="244">
        <f>'Scenario_Drivers'!I134</f>
        <v/>
      </c>
      <c r="J103" s="244">
        <f>'Scenario_Drivers'!J134</f>
        <v/>
      </c>
      <c r="K103" s="244">
        <f>'Scenario_Drivers'!K134</f>
        <v/>
      </c>
      <c r="L103" s="244">
        <f>'Scenario_Drivers'!L134</f>
        <v/>
      </c>
      <c r="M103" s="244">
        <f>'Scenario_Drivers'!M134</f>
        <v/>
      </c>
      <c r="N103" s="244">
        <f>'Scenario_Drivers'!N134</f>
        <v/>
      </c>
      <c r="O103" s="244">
        <f>'Scenario_Drivers'!O134</f>
        <v/>
      </c>
      <c r="P103" s="244">
        <f>'Scenario_Drivers'!P134</f>
        <v/>
      </c>
      <c r="Q103" s="244">
        <f>'Scenario_Drivers'!Q134</f>
        <v/>
      </c>
      <c r="R103" s="244">
        <f>'Scenario_Drivers'!R134</f>
        <v/>
      </c>
      <c r="S103" s="244">
        <f>'Scenario_Drivers'!S134</f>
        <v/>
      </c>
      <c r="T103" s="244">
        <f>'Scenario_Drivers'!T134</f>
        <v/>
      </c>
      <c r="U103" s="244">
        <f>'Scenario_Drivers'!U134</f>
        <v/>
      </c>
      <c r="V103" s="244">
        <f>'Scenario_Drivers'!V134</f>
        <v/>
      </c>
    </row>
    <row r="104">
      <c r="A104" s="165" t="inlineStr">
        <is>
          <t>Covenant headroom</t>
        </is>
      </c>
      <c r="B104" s="165" t="inlineStr">
        <is>
          <t>x</t>
        </is>
      </c>
      <c r="C104" s="243">
        <f>C103-C98</f>
        <v/>
      </c>
      <c r="D104" s="243">
        <f>D103-D98</f>
        <v/>
      </c>
      <c r="E104" s="243">
        <f>E103-E98</f>
        <v/>
      </c>
      <c r="F104" s="243">
        <f>F103-F98</f>
        <v/>
      </c>
      <c r="G104" s="243">
        <f>G103-G98</f>
        <v/>
      </c>
      <c r="H104" s="243">
        <f>H103-H98</f>
        <v/>
      </c>
      <c r="I104" s="243">
        <f>I103-I98</f>
        <v/>
      </c>
      <c r="J104" s="243">
        <f>J103-J98</f>
        <v/>
      </c>
      <c r="K104" s="243">
        <f>K103-K98</f>
        <v/>
      </c>
      <c r="L104" s="243">
        <f>L103-L98</f>
        <v/>
      </c>
      <c r="M104" s="243">
        <f>M103-M98</f>
        <v/>
      </c>
      <c r="N104" s="243">
        <f>N103-N98</f>
        <v/>
      </c>
      <c r="O104" s="243">
        <f>O103-O98</f>
        <v/>
      </c>
      <c r="P104" s="243">
        <f>P103-P98</f>
        <v/>
      </c>
      <c r="Q104" s="243">
        <f>Q103-Q98</f>
        <v/>
      </c>
      <c r="R104" s="243">
        <f>R103-R98</f>
        <v/>
      </c>
      <c r="S104" s="243">
        <f>S103-S98</f>
        <v/>
      </c>
      <c r="T104" s="243">
        <f>T103-T98</f>
        <v/>
      </c>
      <c r="U104" s="243">
        <f>U103-U98</f>
        <v/>
      </c>
      <c r="V104" s="243">
        <f>V103-V98</f>
        <v/>
      </c>
    </row>
    <row r="105">
      <c r="A105" s="165" t="inlineStr">
        <is>
          <t>20% add-back cap</t>
        </is>
      </c>
      <c r="B105" s="165" t="inlineStr">
        <is>
          <t>$mm</t>
        </is>
      </c>
      <c r="C105" s="242">
        <f>20%*C94</f>
        <v/>
      </c>
      <c r="D105" s="242">
        <f>20%*D94</f>
        <v/>
      </c>
      <c r="E105" s="242">
        <f>20%*E94</f>
        <v/>
      </c>
      <c r="F105" s="242">
        <f>20%*F94</f>
        <v/>
      </c>
      <c r="G105" s="242">
        <f>20%*G94</f>
        <v/>
      </c>
      <c r="H105" s="242">
        <f>20%*H94</f>
        <v/>
      </c>
      <c r="I105" s="242">
        <f>20%*I94</f>
        <v/>
      </c>
      <c r="J105" s="242">
        <f>20%*J94</f>
        <v/>
      </c>
      <c r="K105" s="242">
        <f>20%*K94</f>
        <v/>
      </c>
      <c r="L105" s="242">
        <f>20%*L94</f>
        <v/>
      </c>
      <c r="M105" s="242">
        <f>20%*M94</f>
        <v/>
      </c>
      <c r="N105" s="242">
        <f>20%*N94</f>
        <v/>
      </c>
      <c r="O105" s="242">
        <f>20%*O94</f>
        <v/>
      </c>
      <c r="P105" s="242">
        <f>20%*P94</f>
        <v/>
      </c>
      <c r="Q105" s="242">
        <f>20%*Q94</f>
        <v/>
      </c>
      <c r="R105" s="242">
        <f>20%*R94</f>
        <v/>
      </c>
      <c r="S105" s="242">
        <f>20%*S94</f>
        <v/>
      </c>
      <c r="T105" s="242">
        <f>20%*T94</f>
        <v/>
      </c>
      <c r="U105" s="242">
        <f>20%*U94</f>
        <v/>
      </c>
      <c r="V105" s="242">
        <f>20%*V94</f>
        <v/>
      </c>
    </row>
    <row r="106">
      <c r="A106" s="165" t="inlineStr">
        <is>
          <t>15% add-back cap</t>
        </is>
      </c>
      <c r="B106" s="165" t="inlineStr">
        <is>
          <t>$mm</t>
        </is>
      </c>
      <c r="C106" s="242">
        <f>15%*C94</f>
        <v/>
      </c>
      <c r="D106" s="242">
        <f>15%*D94</f>
        <v/>
      </c>
      <c r="E106" s="242">
        <f>15%*E94</f>
        <v/>
      </c>
      <c r="F106" s="242">
        <f>15%*F94</f>
        <v/>
      </c>
      <c r="G106" s="242">
        <f>15%*G94</f>
        <v/>
      </c>
      <c r="H106" s="242">
        <f>15%*H94</f>
        <v/>
      </c>
      <c r="I106" s="242">
        <f>15%*I94</f>
        <v/>
      </c>
      <c r="J106" s="242">
        <f>15%*J94</f>
        <v/>
      </c>
      <c r="K106" s="242">
        <f>15%*K94</f>
        <v/>
      </c>
      <c r="L106" s="242">
        <f>15%*L94</f>
        <v/>
      </c>
      <c r="M106" s="242">
        <f>15%*M94</f>
        <v/>
      </c>
      <c r="N106" s="242">
        <f>15%*N94</f>
        <v/>
      </c>
      <c r="O106" s="242">
        <f>15%*O94</f>
        <v/>
      </c>
      <c r="P106" s="242">
        <f>15%*P94</f>
        <v/>
      </c>
      <c r="Q106" s="242">
        <f>15%*Q94</f>
        <v/>
      </c>
      <c r="R106" s="242">
        <f>15%*R94</f>
        <v/>
      </c>
      <c r="S106" s="242">
        <f>15%*S94</f>
        <v/>
      </c>
      <c r="T106" s="242">
        <f>15%*T94</f>
        <v/>
      </c>
      <c r="U106" s="242">
        <f>15%*U94</f>
        <v/>
      </c>
      <c r="V106" s="242">
        <f>15%*V94</f>
        <v/>
      </c>
    </row>
    <row r="107">
      <c r="A107" s="165" t="inlineStr">
        <is>
          <t>Applicable add-back headroom</t>
        </is>
      </c>
      <c r="B107" s="165" t="inlineStr">
        <is>
          <t>$mm</t>
        </is>
      </c>
      <c r="C107" s="242">
        <f>C105-C96</f>
        <v/>
      </c>
      <c r="D107" s="242">
        <f>D105-D96</f>
        <v/>
      </c>
      <c r="E107" s="242">
        <f>E105-E96</f>
        <v/>
      </c>
      <c r="F107" s="242">
        <f>F105-F96</f>
        <v/>
      </c>
      <c r="G107" s="242">
        <f>G105-G96</f>
        <v/>
      </c>
      <c r="H107" s="242">
        <f>H105-H96</f>
        <v/>
      </c>
      <c r="I107" s="242">
        <f>I105-I96</f>
        <v/>
      </c>
      <c r="J107" s="242">
        <f>J105-J96</f>
        <v/>
      </c>
      <c r="K107" s="242">
        <f>K105-K96</f>
        <v/>
      </c>
      <c r="L107" s="242">
        <f>L105-L96</f>
        <v/>
      </c>
      <c r="M107" s="242">
        <f>M105-M96</f>
        <v/>
      </c>
      <c r="N107" s="242">
        <f>N105-N96</f>
        <v/>
      </c>
      <c r="O107" s="242">
        <f>O105-O96</f>
        <v/>
      </c>
      <c r="P107" s="242">
        <f>P105-P96</f>
        <v/>
      </c>
      <c r="Q107" s="242">
        <f>Q105-Q96</f>
        <v/>
      </c>
      <c r="R107" s="242">
        <f>R105-R96</f>
        <v/>
      </c>
      <c r="S107" s="242">
        <f>S105-S96</f>
        <v/>
      </c>
      <c r="T107" s="242">
        <f>T105-T96</f>
        <v/>
      </c>
      <c r="U107" s="242">
        <f>U105-U96</f>
        <v/>
      </c>
      <c r="V107" s="242">
        <f>V105-V96</f>
        <v/>
      </c>
    </row>
    <row r="108">
      <c r="A108" s="165" t="inlineStr">
        <is>
          <t>Minimum liquidity</t>
        </is>
      </c>
      <c r="B108" s="165" t="inlineStr">
        <is>
          <t>$mm</t>
        </is>
      </c>
      <c r="C108" s="242">
        <f>3.0</f>
        <v/>
      </c>
      <c r="D108" s="242">
        <f>3.0</f>
        <v/>
      </c>
      <c r="E108" s="242">
        <f>3.0</f>
        <v/>
      </c>
      <c r="F108" s="242">
        <f>3.0</f>
        <v/>
      </c>
      <c r="G108" s="242">
        <f>3.0</f>
        <v/>
      </c>
      <c r="H108" s="242">
        <f>3.0</f>
        <v/>
      </c>
      <c r="I108" s="242">
        <f>3.0</f>
        <v/>
      </c>
      <c r="J108" s="242">
        <f>3.0</f>
        <v/>
      </c>
      <c r="K108" s="242">
        <f>3.0</f>
        <v/>
      </c>
      <c r="L108" s="242">
        <f>3.0</f>
        <v/>
      </c>
      <c r="M108" s="242">
        <f>3.0</f>
        <v/>
      </c>
      <c r="N108" s="242">
        <f>3.0</f>
        <v/>
      </c>
      <c r="O108" s="242">
        <f>3.0</f>
        <v/>
      </c>
      <c r="P108" s="242">
        <f>3.0</f>
        <v/>
      </c>
      <c r="Q108" s="242">
        <f>3.0</f>
        <v/>
      </c>
      <c r="R108" s="242">
        <f>3.0</f>
        <v/>
      </c>
      <c r="S108" s="242">
        <f>3.0</f>
        <v/>
      </c>
      <c r="T108" s="242">
        <f>3.0</f>
        <v/>
      </c>
      <c r="U108" s="242">
        <f>3.0</f>
        <v/>
      </c>
      <c r="V108" s="242">
        <f>3.0</f>
        <v/>
      </c>
    </row>
    <row r="109">
      <c r="A109" s="165" t="inlineStr">
        <is>
          <t>Liquidity headroom</t>
        </is>
      </c>
      <c r="B109" s="165" t="inlineStr">
        <is>
          <t>$mm</t>
        </is>
      </c>
      <c r="C109" s="242">
        <f>C102-C108</f>
        <v/>
      </c>
      <c r="D109" s="242">
        <f>D102-D108</f>
        <v/>
      </c>
      <c r="E109" s="242">
        <f>E102-E108</f>
        <v/>
      </c>
      <c r="F109" s="242">
        <f>F102-F108</f>
        <v/>
      </c>
      <c r="G109" s="242">
        <f>G102-G108</f>
        <v/>
      </c>
      <c r="H109" s="242">
        <f>H102-H108</f>
        <v/>
      </c>
      <c r="I109" s="242">
        <f>I102-I108</f>
        <v/>
      </c>
      <c r="J109" s="242">
        <f>J102-J108</f>
        <v/>
      </c>
      <c r="K109" s="242">
        <f>K102-K108</f>
        <v/>
      </c>
      <c r="L109" s="242">
        <f>L102-L108</f>
        <v/>
      </c>
      <c r="M109" s="242">
        <f>M102-M108</f>
        <v/>
      </c>
      <c r="N109" s="242">
        <f>N102-N108</f>
        <v/>
      </c>
      <c r="O109" s="242">
        <f>O102-O108</f>
        <v/>
      </c>
      <c r="P109" s="242">
        <f>P102-P108</f>
        <v/>
      </c>
      <c r="Q109" s="242">
        <f>Q102-Q108</f>
        <v/>
      </c>
      <c r="R109" s="242">
        <f>R102-R108</f>
        <v/>
      </c>
      <c r="S109" s="242">
        <f>S102-S108</f>
        <v/>
      </c>
      <c r="T109" s="242">
        <f>T102-T108</f>
        <v/>
      </c>
      <c r="U109" s="242">
        <f>U102-U108</f>
        <v/>
      </c>
      <c r="V109" s="242">
        <f>V102-V108</f>
        <v/>
      </c>
    </row>
    <row r="110">
      <c r="A110" s="165" t="inlineStr">
        <is>
          <t>SOFR</t>
        </is>
      </c>
      <c r="B110" s="165" t="inlineStr">
        <is>
          <t>%</t>
        </is>
      </c>
      <c r="C110" s="241">
        <f>'Scenario_Drivers'!C135</f>
        <v/>
      </c>
      <c r="D110" s="241">
        <f>'Scenario_Drivers'!D135</f>
        <v/>
      </c>
      <c r="E110" s="241">
        <f>'Scenario_Drivers'!E135</f>
        <v/>
      </c>
      <c r="F110" s="241">
        <f>'Scenario_Drivers'!F135</f>
        <v/>
      </c>
      <c r="G110" s="241">
        <f>'Scenario_Drivers'!G135</f>
        <v/>
      </c>
      <c r="H110" s="241">
        <f>'Scenario_Drivers'!H135</f>
        <v/>
      </c>
      <c r="I110" s="241">
        <f>'Scenario_Drivers'!I135</f>
        <v/>
      </c>
      <c r="J110" s="241">
        <f>'Scenario_Drivers'!J135</f>
        <v/>
      </c>
      <c r="K110" s="241">
        <f>'Scenario_Drivers'!K135</f>
        <v/>
      </c>
      <c r="L110" s="241">
        <f>'Scenario_Drivers'!L135</f>
        <v/>
      </c>
      <c r="M110" s="241">
        <f>'Scenario_Drivers'!M135</f>
        <v/>
      </c>
      <c r="N110" s="241">
        <f>'Scenario_Drivers'!N135</f>
        <v/>
      </c>
      <c r="O110" s="241">
        <f>'Scenario_Drivers'!O135</f>
        <v/>
      </c>
      <c r="P110" s="241">
        <f>'Scenario_Drivers'!P135</f>
        <v/>
      </c>
      <c r="Q110" s="241">
        <f>'Scenario_Drivers'!Q135</f>
        <v/>
      </c>
      <c r="R110" s="241">
        <f>'Scenario_Drivers'!R135</f>
        <v/>
      </c>
      <c r="S110" s="241">
        <f>'Scenario_Drivers'!S135</f>
        <v/>
      </c>
      <c r="T110" s="241">
        <f>'Scenario_Drivers'!T135</f>
        <v/>
      </c>
      <c r="U110" s="241">
        <f>'Scenario_Drivers'!U135</f>
        <v/>
      </c>
      <c r="V110" s="241">
        <f>'Scenario_Drivers'!V135</f>
        <v/>
      </c>
    </row>
    <row r="111">
      <c r="A111" s="165" t="inlineStr">
        <is>
          <t>Term rate</t>
        </is>
      </c>
      <c r="B111" s="165" t="inlineStr">
        <is>
          <t>%</t>
        </is>
      </c>
      <c r="C111" s="240">
        <f>MAX('Scenario_Drivers'!C135,Inputs!$B$26)+Inputs!$B$23+'Scenario_Drivers'!C136</f>
        <v/>
      </c>
      <c r="D111" s="240">
        <f>MAX('Scenario_Drivers'!D135,Inputs!$B$26)+Inputs!$B$23+'Scenario_Drivers'!D136</f>
        <v/>
      </c>
      <c r="E111" s="240">
        <f>MAX('Scenario_Drivers'!E135,Inputs!$B$26)+Inputs!$B$23+'Scenario_Drivers'!E136</f>
        <v/>
      </c>
      <c r="F111" s="240">
        <f>MAX('Scenario_Drivers'!F135,Inputs!$B$26)+Inputs!$B$23+'Scenario_Drivers'!F136</f>
        <v/>
      </c>
      <c r="G111" s="240">
        <f>MAX('Scenario_Drivers'!G135,Inputs!$B$26)+Inputs!$B$23+'Scenario_Drivers'!G136</f>
        <v/>
      </c>
      <c r="H111" s="240">
        <f>MAX('Scenario_Drivers'!H135,Inputs!$B$26)+Inputs!$B$23+'Scenario_Drivers'!H136</f>
        <v/>
      </c>
      <c r="I111" s="240">
        <f>MAX('Scenario_Drivers'!I135,Inputs!$B$26)+Inputs!$B$23+'Scenario_Drivers'!I136</f>
        <v/>
      </c>
      <c r="J111" s="240">
        <f>MAX('Scenario_Drivers'!J135,Inputs!$B$26)+Inputs!$B$23+'Scenario_Drivers'!J136</f>
        <v/>
      </c>
      <c r="K111" s="240">
        <f>MAX('Scenario_Drivers'!K135,Inputs!$B$26)+Inputs!$B$23+'Scenario_Drivers'!K136</f>
        <v/>
      </c>
      <c r="L111" s="240">
        <f>MAX('Scenario_Drivers'!L135,Inputs!$B$26)+Inputs!$B$23+'Scenario_Drivers'!L136</f>
        <v/>
      </c>
      <c r="M111" s="240">
        <f>MAX('Scenario_Drivers'!M135,Inputs!$B$26)+Inputs!$B$23+'Scenario_Drivers'!M136</f>
        <v/>
      </c>
      <c r="N111" s="240">
        <f>MAX('Scenario_Drivers'!N135,Inputs!$B$26)+Inputs!$B$23+'Scenario_Drivers'!N136</f>
        <v/>
      </c>
      <c r="O111" s="240">
        <f>MAX('Scenario_Drivers'!O135,Inputs!$B$26)+Inputs!$B$23+'Scenario_Drivers'!O136</f>
        <v/>
      </c>
      <c r="P111" s="240">
        <f>MAX('Scenario_Drivers'!P135,Inputs!$B$26)+Inputs!$B$23+'Scenario_Drivers'!P136</f>
        <v/>
      </c>
      <c r="Q111" s="240">
        <f>MAX('Scenario_Drivers'!Q135,Inputs!$B$26)+Inputs!$B$23+'Scenario_Drivers'!Q136</f>
        <v/>
      </c>
      <c r="R111" s="240">
        <f>MAX('Scenario_Drivers'!R135,Inputs!$B$26)+Inputs!$B$23+'Scenario_Drivers'!R136</f>
        <v/>
      </c>
      <c r="S111" s="240">
        <f>MAX('Scenario_Drivers'!S135,Inputs!$B$26)+Inputs!$B$23+'Scenario_Drivers'!S136</f>
        <v/>
      </c>
      <c r="T111" s="240">
        <f>MAX('Scenario_Drivers'!T135,Inputs!$B$26)+Inputs!$B$23+'Scenario_Drivers'!T136</f>
        <v/>
      </c>
      <c r="U111" s="240">
        <f>MAX('Scenario_Drivers'!U135,Inputs!$B$26)+Inputs!$B$23+'Scenario_Drivers'!U136</f>
        <v/>
      </c>
      <c r="V111" s="240">
        <f>MAX('Scenario_Drivers'!V135,Inputs!$B$26)+Inputs!$B$23+'Scenario_Drivers'!V136</f>
        <v/>
      </c>
    </row>
    <row r="112">
      <c r="A112" s="165" t="inlineStr">
        <is>
          <t>DDTL rate</t>
        </is>
      </c>
      <c r="B112" s="165" t="inlineStr">
        <is>
          <t>%</t>
        </is>
      </c>
      <c r="C112" s="240">
        <f>MAX('Scenario_Drivers'!C135,Inputs!$B$26)+Inputs!$B$25+'Scenario_Drivers'!C136</f>
        <v/>
      </c>
      <c r="D112" s="240">
        <f>MAX('Scenario_Drivers'!D135,Inputs!$B$26)+Inputs!$B$25+'Scenario_Drivers'!D136</f>
        <v/>
      </c>
      <c r="E112" s="240">
        <f>MAX('Scenario_Drivers'!E135,Inputs!$B$26)+Inputs!$B$25+'Scenario_Drivers'!E136</f>
        <v/>
      </c>
      <c r="F112" s="240">
        <f>MAX('Scenario_Drivers'!F135,Inputs!$B$26)+Inputs!$B$25+'Scenario_Drivers'!F136</f>
        <v/>
      </c>
      <c r="G112" s="240">
        <f>MAX('Scenario_Drivers'!G135,Inputs!$B$26)+Inputs!$B$25+'Scenario_Drivers'!G136</f>
        <v/>
      </c>
      <c r="H112" s="240">
        <f>MAX('Scenario_Drivers'!H135,Inputs!$B$26)+Inputs!$B$25+'Scenario_Drivers'!H136</f>
        <v/>
      </c>
      <c r="I112" s="240">
        <f>MAX('Scenario_Drivers'!I135,Inputs!$B$26)+Inputs!$B$25+'Scenario_Drivers'!I136</f>
        <v/>
      </c>
      <c r="J112" s="240">
        <f>MAX('Scenario_Drivers'!J135,Inputs!$B$26)+Inputs!$B$25+'Scenario_Drivers'!J136</f>
        <v/>
      </c>
      <c r="K112" s="240">
        <f>MAX('Scenario_Drivers'!K135,Inputs!$B$26)+Inputs!$B$25+'Scenario_Drivers'!K136</f>
        <v/>
      </c>
      <c r="L112" s="240">
        <f>MAX('Scenario_Drivers'!L135,Inputs!$B$26)+Inputs!$B$25+'Scenario_Drivers'!L136</f>
        <v/>
      </c>
      <c r="M112" s="240">
        <f>MAX('Scenario_Drivers'!M135,Inputs!$B$26)+Inputs!$B$25+'Scenario_Drivers'!M136</f>
        <v/>
      </c>
      <c r="N112" s="240">
        <f>MAX('Scenario_Drivers'!N135,Inputs!$B$26)+Inputs!$B$25+'Scenario_Drivers'!N136</f>
        <v/>
      </c>
      <c r="O112" s="240">
        <f>MAX('Scenario_Drivers'!O135,Inputs!$B$26)+Inputs!$B$25+'Scenario_Drivers'!O136</f>
        <v/>
      </c>
      <c r="P112" s="240">
        <f>MAX('Scenario_Drivers'!P135,Inputs!$B$26)+Inputs!$B$25+'Scenario_Drivers'!P136</f>
        <v/>
      </c>
      <c r="Q112" s="240">
        <f>MAX('Scenario_Drivers'!Q135,Inputs!$B$26)+Inputs!$B$25+'Scenario_Drivers'!Q136</f>
        <v/>
      </c>
      <c r="R112" s="240">
        <f>MAX('Scenario_Drivers'!R135,Inputs!$B$26)+Inputs!$B$25+'Scenario_Drivers'!R136</f>
        <v/>
      </c>
      <c r="S112" s="240">
        <f>MAX('Scenario_Drivers'!S135,Inputs!$B$26)+Inputs!$B$25+'Scenario_Drivers'!S136</f>
        <v/>
      </c>
      <c r="T112" s="240">
        <f>MAX('Scenario_Drivers'!T135,Inputs!$B$26)+Inputs!$B$25+'Scenario_Drivers'!T136</f>
        <v/>
      </c>
      <c r="U112" s="240">
        <f>MAX('Scenario_Drivers'!U135,Inputs!$B$26)+Inputs!$B$25+'Scenario_Drivers'!U136</f>
        <v/>
      </c>
      <c r="V112" s="240">
        <f>MAX('Scenario_Drivers'!V135,Inputs!$B$26)+Inputs!$B$25+'Scenario_Drivers'!V136</f>
        <v/>
      </c>
    </row>
    <row r="113">
      <c r="A113" s="165" t="inlineStr">
        <is>
          <t>Revolver rate</t>
        </is>
      </c>
      <c r="B113" s="165" t="inlineStr">
        <is>
          <t>%</t>
        </is>
      </c>
      <c r="C113" s="240">
        <f>MAX('Scenario_Drivers'!C135,Inputs!$B$26)+Inputs!$B$24+'Scenario_Drivers'!C136</f>
        <v/>
      </c>
      <c r="D113" s="240">
        <f>MAX('Scenario_Drivers'!D135,Inputs!$B$26)+Inputs!$B$24+'Scenario_Drivers'!D136</f>
        <v/>
      </c>
      <c r="E113" s="240">
        <f>MAX('Scenario_Drivers'!E135,Inputs!$B$26)+Inputs!$B$24+'Scenario_Drivers'!E136</f>
        <v/>
      </c>
      <c r="F113" s="240">
        <f>MAX('Scenario_Drivers'!F135,Inputs!$B$26)+Inputs!$B$24+'Scenario_Drivers'!F136</f>
        <v/>
      </c>
      <c r="G113" s="240">
        <f>MAX('Scenario_Drivers'!G135,Inputs!$B$26)+Inputs!$B$24+'Scenario_Drivers'!G136</f>
        <v/>
      </c>
      <c r="H113" s="240">
        <f>MAX('Scenario_Drivers'!H135,Inputs!$B$26)+Inputs!$B$24+'Scenario_Drivers'!H136</f>
        <v/>
      </c>
      <c r="I113" s="240">
        <f>MAX('Scenario_Drivers'!I135,Inputs!$B$26)+Inputs!$B$24+'Scenario_Drivers'!I136</f>
        <v/>
      </c>
      <c r="J113" s="240">
        <f>MAX('Scenario_Drivers'!J135,Inputs!$B$26)+Inputs!$B$24+'Scenario_Drivers'!J136</f>
        <v/>
      </c>
      <c r="K113" s="240">
        <f>MAX('Scenario_Drivers'!K135,Inputs!$B$26)+Inputs!$B$24+'Scenario_Drivers'!K136</f>
        <v/>
      </c>
      <c r="L113" s="240">
        <f>MAX('Scenario_Drivers'!L135,Inputs!$B$26)+Inputs!$B$24+'Scenario_Drivers'!L136</f>
        <v/>
      </c>
      <c r="M113" s="240">
        <f>MAX('Scenario_Drivers'!M135,Inputs!$B$26)+Inputs!$B$24+'Scenario_Drivers'!M136</f>
        <v/>
      </c>
      <c r="N113" s="240">
        <f>MAX('Scenario_Drivers'!N135,Inputs!$B$26)+Inputs!$B$24+'Scenario_Drivers'!N136</f>
        <v/>
      </c>
      <c r="O113" s="240">
        <f>MAX('Scenario_Drivers'!O135,Inputs!$B$26)+Inputs!$B$24+'Scenario_Drivers'!O136</f>
        <v/>
      </c>
      <c r="P113" s="240">
        <f>MAX('Scenario_Drivers'!P135,Inputs!$B$26)+Inputs!$B$24+'Scenario_Drivers'!P136</f>
        <v/>
      </c>
      <c r="Q113" s="240">
        <f>MAX('Scenario_Drivers'!Q135,Inputs!$B$26)+Inputs!$B$24+'Scenario_Drivers'!Q136</f>
        <v/>
      </c>
      <c r="R113" s="240">
        <f>MAX('Scenario_Drivers'!R135,Inputs!$B$26)+Inputs!$B$24+'Scenario_Drivers'!R136</f>
        <v/>
      </c>
      <c r="S113" s="240">
        <f>MAX('Scenario_Drivers'!S135,Inputs!$B$26)+Inputs!$B$24+'Scenario_Drivers'!S136</f>
        <v/>
      </c>
      <c r="T113" s="240">
        <f>MAX('Scenario_Drivers'!T135,Inputs!$B$26)+Inputs!$B$24+'Scenario_Drivers'!T136</f>
        <v/>
      </c>
      <c r="U113" s="240">
        <f>MAX('Scenario_Drivers'!U135,Inputs!$B$26)+Inputs!$B$24+'Scenario_Drivers'!U136</f>
        <v/>
      </c>
      <c r="V113" s="240">
        <f>MAX('Scenario_Drivers'!V135,Inputs!$B$26)+Inputs!$B$24+'Scenario_Drivers'!V136</f>
        <v/>
      </c>
    </row>
    <row r="114">
      <c r="A114" s="165" t="inlineStr">
        <is>
          <t>Interest carryforward</t>
        </is>
      </c>
      <c r="B114" s="165" t="inlineStr">
        <is>
          <t>$mm</t>
        </is>
      </c>
      <c r="C114" s="242">
        <f>MAX(0,0-C22-(MIN(-C22+0,MAX(0,Inputs!$B$16*C12))))</f>
        <v/>
      </c>
      <c r="D114" s="242">
        <f>MAX(0,C114-D22-(MIN(-D22+C114,MAX(0,Inputs!$B$16*D12))))</f>
        <v/>
      </c>
      <c r="E114" s="242">
        <f>MAX(0,D114-E22-(MIN(-E22+D114,MAX(0,Inputs!$B$16*E12))))</f>
        <v/>
      </c>
      <c r="F114" s="242">
        <f>MAX(0,E114-F22-(MIN(-F22+E114,MAX(0,Inputs!$B$16*F12))))</f>
        <v/>
      </c>
      <c r="G114" s="242">
        <f>MAX(0,F114-G22-(MIN(-G22+F114,MAX(0,Inputs!$B$16*G12))))</f>
        <v/>
      </c>
      <c r="H114" s="242">
        <f>MAX(0,G114-H22-(MIN(-H22+G114,MAX(0,Inputs!$B$16*H12))))</f>
        <v/>
      </c>
      <c r="I114" s="242">
        <f>MAX(0,H114-I22-(MIN(-I22+H114,MAX(0,Inputs!$B$16*I12))))</f>
        <v/>
      </c>
      <c r="J114" s="242">
        <f>MAX(0,I114-J22-(MIN(-J22+I114,MAX(0,Inputs!$B$16*J12))))</f>
        <v/>
      </c>
      <c r="K114" s="242">
        <f>MAX(0,J114-K22-(MIN(-K22+J114,MAX(0,Inputs!$B$16*K12))))</f>
        <v/>
      </c>
      <c r="L114" s="242">
        <f>MAX(0,K114-L22-(MIN(-L22+K114,MAX(0,Inputs!$B$16*L12))))</f>
        <v/>
      </c>
      <c r="M114" s="242">
        <f>MAX(0,L114-M22-(MIN(-M22+L114,MAX(0,Inputs!$B$16*M12))))</f>
        <v/>
      </c>
      <c r="N114" s="242">
        <f>MAX(0,M114-N22-(MIN(-N22+M114,MAX(0,Inputs!$B$16*N12))))</f>
        <v/>
      </c>
      <c r="O114" s="242">
        <f>MAX(0,N114-O22-(MIN(-O22+N114,MAX(0,Inputs!$B$16*O12))))</f>
        <v/>
      </c>
      <c r="P114" s="242">
        <f>MAX(0,O114-P22-(MIN(-P22+O114,MAX(0,Inputs!$B$16*P12))))</f>
        <v/>
      </c>
      <c r="Q114" s="242">
        <f>MAX(0,P114-Q22-(MIN(-Q22+P114,MAX(0,Inputs!$B$16*Q12))))</f>
        <v/>
      </c>
      <c r="R114" s="242">
        <f>MAX(0,Q114-R22-(MIN(-R22+Q114,MAX(0,Inputs!$B$16*R12))))</f>
        <v/>
      </c>
      <c r="S114" s="242">
        <f>MAX(0,R114-S22-(MIN(-S22+R114,MAX(0,Inputs!$B$16*S12))))</f>
        <v/>
      </c>
      <c r="T114" s="242">
        <f>MAX(0,S114-T22-(MIN(-T22+S114,MAX(0,Inputs!$B$16*T12))))</f>
        <v/>
      </c>
      <c r="U114" s="242">
        <f>MAX(0,T114-U22-(MIN(-U22+T114,MAX(0,Inputs!$B$16*U12))))</f>
        <v/>
      </c>
      <c r="V114" s="242">
        <f>MAX(0,U114-V22-(MIN(-V22+U114,MAX(0,Inputs!$B$16*V12))))</f>
        <v/>
      </c>
    </row>
    <row r="115">
      <c r="A115" s="165" t="inlineStr">
        <is>
          <t>NOL carryforward</t>
        </is>
      </c>
      <c r="B115" s="165" t="inlineStr">
        <is>
          <t>$mm</t>
        </is>
      </c>
      <c r="C115" s="242">
        <f>MAX(0,0-C116)</f>
        <v/>
      </c>
      <c r="D115" s="242">
        <f>MAX(0,C115-D116)</f>
        <v/>
      </c>
      <c r="E115" s="242">
        <f>MAX(0,D115-E116)</f>
        <v/>
      </c>
      <c r="F115" s="242">
        <f>MAX(0,E115-F116)</f>
        <v/>
      </c>
      <c r="G115" s="242">
        <f>MAX(0,F115-G116)</f>
        <v/>
      </c>
      <c r="H115" s="242">
        <f>MAX(0,G115-H116)</f>
        <v/>
      </c>
      <c r="I115" s="242">
        <f>MAX(0,H115-I116)</f>
        <v/>
      </c>
      <c r="J115" s="242">
        <f>MAX(0,I115-J116)</f>
        <v/>
      </c>
      <c r="K115" s="242">
        <f>MAX(0,J115-K116)</f>
        <v/>
      </c>
      <c r="L115" s="242">
        <f>MAX(0,K115-L116)</f>
        <v/>
      </c>
      <c r="M115" s="242">
        <f>MAX(0,L115-M116)</f>
        <v/>
      </c>
      <c r="N115" s="242">
        <f>MAX(0,M115-N116)</f>
        <v/>
      </c>
      <c r="O115" s="242">
        <f>MAX(0,N115-O116)</f>
        <v/>
      </c>
      <c r="P115" s="242">
        <f>MAX(0,O115-P116)</f>
        <v/>
      </c>
      <c r="Q115" s="242">
        <f>MAX(0,P115-Q116)</f>
        <v/>
      </c>
      <c r="R115" s="242">
        <f>MAX(0,Q115-R116)</f>
        <v/>
      </c>
      <c r="S115" s="242">
        <f>MAX(0,R115-S116)</f>
        <v/>
      </c>
      <c r="T115" s="242">
        <f>MAX(0,S115-T116)</f>
        <v/>
      </c>
      <c r="U115" s="242">
        <f>MAX(0,T115-U116)</f>
        <v/>
      </c>
      <c r="V115" s="242">
        <f>MAX(0,U115-V116)</f>
        <v/>
      </c>
    </row>
    <row r="116">
      <c r="A116" s="165" t="inlineStr">
        <is>
          <t>Taxable income</t>
        </is>
      </c>
      <c r="B116" s="165" t="inlineStr">
        <is>
          <t>$mm</t>
        </is>
      </c>
      <c r="C116" s="242">
        <f>MAX(0,C12-C17-(MIN(-C22+0,MAX(0,Inputs!$B$16*C12))))</f>
        <v/>
      </c>
      <c r="D116" s="242">
        <f>MAX(0,D12-D17-(MIN(-D22+C114,MAX(0,Inputs!$B$16*D12))))</f>
        <v/>
      </c>
      <c r="E116" s="242">
        <f>MAX(0,E12-E17-(MIN(-E22+D114,MAX(0,Inputs!$B$16*E12))))</f>
        <v/>
      </c>
      <c r="F116" s="242">
        <f>MAX(0,F12-F17-(MIN(-F22+E114,MAX(0,Inputs!$B$16*F12))))</f>
        <v/>
      </c>
      <c r="G116" s="242">
        <f>MAX(0,G12-G17-(MIN(-G22+F114,MAX(0,Inputs!$B$16*G12))))</f>
        <v/>
      </c>
      <c r="H116" s="242">
        <f>MAX(0,H12-H17-(MIN(-H22+G114,MAX(0,Inputs!$B$16*H12))))</f>
        <v/>
      </c>
      <c r="I116" s="242">
        <f>MAX(0,I12-I17-(MIN(-I22+H114,MAX(0,Inputs!$B$16*I12))))</f>
        <v/>
      </c>
      <c r="J116" s="242">
        <f>MAX(0,J12-J17-(MIN(-J22+I114,MAX(0,Inputs!$B$16*J12))))</f>
        <v/>
      </c>
      <c r="K116" s="242">
        <f>MAX(0,K12-K17-(MIN(-K22+J114,MAX(0,Inputs!$B$16*K12))))</f>
        <v/>
      </c>
      <c r="L116" s="242">
        <f>MAX(0,L12-L17-(MIN(-L22+K114,MAX(0,Inputs!$B$16*L12))))</f>
        <v/>
      </c>
      <c r="M116" s="242">
        <f>MAX(0,M12-M17-(MIN(-M22+L114,MAX(0,Inputs!$B$16*M12))))</f>
        <v/>
      </c>
      <c r="N116" s="242">
        <f>MAX(0,N12-N17-(MIN(-N22+M114,MAX(0,Inputs!$B$16*N12))))</f>
        <v/>
      </c>
      <c r="O116" s="242">
        <f>MAX(0,O12-O17-(MIN(-O22+N114,MAX(0,Inputs!$B$16*O12))))</f>
        <v/>
      </c>
      <c r="P116" s="242">
        <f>MAX(0,P12-P17-(MIN(-P22+O114,MAX(0,Inputs!$B$16*P12))))</f>
        <v/>
      </c>
      <c r="Q116" s="242">
        <f>MAX(0,Q12-Q17-(MIN(-Q22+P114,MAX(0,Inputs!$B$16*Q12))))</f>
        <v/>
      </c>
      <c r="R116" s="242">
        <f>MAX(0,R12-R17-(MIN(-R22+Q114,MAX(0,Inputs!$B$16*R12))))</f>
        <v/>
      </c>
      <c r="S116" s="242">
        <f>MAX(0,S12-S17-(MIN(-S22+R114,MAX(0,Inputs!$B$16*S12))))</f>
        <v/>
      </c>
      <c r="T116" s="242">
        <f>MAX(0,T12-T17-(MIN(-T22+S114,MAX(0,Inputs!$B$16*T12))))</f>
        <v/>
      </c>
      <c r="U116" s="242">
        <f>MAX(0,U12-U17-(MIN(-U22+T114,MAX(0,Inputs!$B$16*U12))))</f>
        <v/>
      </c>
      <c r="V116" s="242">
        <f>MAX(0,V12-V17-(MIN(-V22+U114,MAX(0,Inputs!$B$16*V12))))</f>
        <v/>
      </c>
    </row>
    <row r="117">
      <c r="A117" s="165" t="n"/>
      <c r="B117" s="165" t="n"/>
      <c r="C117" s="154" t="n"/>
      <c r="D117" s="154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</row>
    <row r="118">
      <c r="A118" s="165" t="n"/>
      <c r="B118" s="165" t="n"/>
      <c r="C118" s="154" t="n"/>
      <c r="D118" s="154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</row>
    <row r="119">
      <c r="A119" s="165" t="n"/>
      <c r="B119" s="165" t="n"/>
      <c r="C119" s="154" t="n"/>
      <c r="D119" s="154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</row>
    <row r="120">
      <c r="A120" s="165" t="n"/>
      <c r="B120" s="165" t="n"/>
      <c r="C120" s="154" t="n"/>
      <c r="D120" s="154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</row>
    <row r="121">
      <c r="A121" s="165" t="n"/>
      <c r="B121" s="165" t="n"/>
      <c r="C121" s="154" t="n"/>
      <c r="D121" s="154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</row>
    <row r="122">
      <c r="A122" s="165" t="n"/>
      <c r="B122" s="165" t="n"/>
      <c r="C122" s="154" t="n"/>
      <c r="D122" s="154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</row>
    <row r="123">
      <c r="A123" s="165" t="n"/>
      <c r="B123" s="165" t="n"/>
      <c r="C123" s="154" t="n"/>
      <c r="D123" s="154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</row>
    <row r="124">
      <c r="A124" s="165" t="n"/>
      <c r="B124" s="165" t="n"/>
      <c r="C124" s="154" t="n"/>
      <c r="D124" s="154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</row>
    <row r="125">
      <c r="A125" s="165" t="n"/>
      <c r="B125" s="165" t="n"/>
      <c r="C125" s="154" t="n"/>
      <c r="D125" s="154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</row>
    <row r="126">
      <c r="A126" s="165" t="n"/>
      <c r="B126" s="165" t="n"/>
      <c r="C126" s="154" t="n"/>
      <c r="D126" s="154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</row>
    <row r="127">
      <c r="A127" s="165" t="n"/>
      <c r="B127" s="165" t="n"/>
      <c r="C127" s="154" t="n"/>
      <c r="D127" s="154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</row>
    <row r="128">
      <c r="A128" s="165" t="n"/>
      <c r="B128" s="165" t="n"/>
      <c r="C128" s="154" t="n"/>
      <c r="D128" s="154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</row>
    <row r="129">
      <c r="A129" s="165" t="n"/>
      <c r="B129" s="165" t="n"/>
      <c r="C129" s="154" t="n"/>
      <c r="D129" s="154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</row>
    <row r="130">
      <c r="A130" s="165" t="n"/>
      <c r="B130" s="165" t="n"/>
      <c r="C130" s="154" t="n"/>
      <c r="D130" s="154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</row>
    <row r="131">
      <c r="A131" s="165" t="n"/>
      <c r="B131" s="165" t="n"/>
      <c r="C131" s="154" t="n"/>
      <c r="D131" s="154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</row>
    <row r="132">
      <c r="A132" s="165" t="n"/>
      <c r="B132" s="165" t="n"/>
      <c r="C132" s="154" t="n"/>
      <c r="D132" s="154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</row>
    <row r="133">
      <c r="A133" s="165" t="n"/>
      <c r="B133" s="165" t="n"/>
      <c r="C133" s="154" t="n"/>
      <c r="D133" s="154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</row>
    <row r="134">
      <c r="A134" s="165" t="n"/>
      <c r="B134" s="165" t="n"/>
      <c r="C134" s="154" t="n"/>
      <c r="D134" s="154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</row>
    <row r="135">
      <c r="A135" s="165" t="n"/>
      <c r="B135" s="165" t="n"/>
      <c r="C135" s="154" t="n"/>
      <c r="D135" s="154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</row>
    <row r="136">
      <c r="A136" s="165" t="n"/>
      <c r="B136" s="165" t="n"/>
      <c r="C136" s="154" t="n"/>
      <c r="D136" s="154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</row>
    <row r="137">
      <c r="A137" s="165" t="n"/>
      <c r="B137" s="165" t="n"/>
      <c r="C137" s="154" t="n"/>
      <c r="D137" s="154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</row>
    <row r="138">
      <c r="A138" s="165" t="n"/>
      <c r="B138" s="165" t="n"/>
      <c r="C138" s="154" t="n"/>
      <c r="D138" s="154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</row>
    <row r="139">
      <c r="A139" s="165" t="n"/>
      <c r="B139" s="165" t="n"/>
      <c r="C139" s="154" t="n"/>
      <c r="D139" s="154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</row>
    <row r="140">
      <c r="A140" s="165" t="n"/>
      <c r="B140" s="165" t="n"/>
      <c r="C140" s="154" t="n"/>
      <c r="D140" s="154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</row>
  </sheetData>
  <mergeCells count="7">
    <mergeCell ref="A16:V16"/>
    <mergeCell ref="A68:V68"/>
    <mergeCell ref="A1:V1"/>
    <mergeCell ref="A46:V46"/>
    <mergeCell ref="A88:V88"/>
    <mergeCell ref="A29:V29"/>
    <mergeCell ref="A4:V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26" customHeight="1">
      <c r="A1" s="9" t="inlineStr">
        <is>
          <t>Project Keystone - Combined Risk Quarterly LBO ($mm)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30" t="n"/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</row>
    <row r="3">
      <c r="A3" s="164" t="inlineStr">
        <is>
          <t>Line Item</t>
        </is>
      </c>
      <c r="B3" s="164" t="inlineStr">
        <is>
          <t>Unit</t>
        </is>
      </c>
      <c r="C3" s="238" t="n">
        <v>46203</v>
      </c>
      <c r="D3" s="238" t="n">
        <v>46295</v>
      </c>
      <c r="E3" s="238" t="n">
        <v>46387</v>
      </c>
      <c r="F3" s="238" t="n">
        <v>46477</v>
      </c>
      <c r="G3" s="238" t="n">
        <v>46568</v>
      </c>
      <c r="H3" s="238" t="n">
        <v>46660</v>
      </c>
      <c r="I3" s="238" t="n">
        <v>46752</v>
      </c>
      <c r="J3" s="238" t="n">
        <v>46843</v>
      </c>
      <c r="K3" s="238" t="n">
        <v>46934</v>
      </c>
      <c r="L3" s="238" t="n">
        <v>47026</v>
      </c>
      <c r="M3" s="238" t="n">
        <v>47118</v>
      </c>
      <c r="N3" s="238" t="n">
        <v>47208</v>
      </c>
      <c r="O3" s="238" t="n">
        <v>47299</v>
      </c>
      <c r="P3" s="238" t="n">
        <v>47391</v>
      </c>
      <c r="Q3" s="238" t="n">
        <v>47483</v>
      </c>
      <c r="R3" s="238" t="n">
        <v>47573</v>
      </c>
      <c r="S3" s="238" t="n">
        <v>47664</v>
      </c>
      <c r="T3" s="238" t="n">
        <v>47756</v>
      </c>
      <c r="U3" s="238" t="n">
        <v>47848</v>
      </c>
      <c r="V3" s="238" t="n">
        <v>47938</v>
      </c>
    </row>
    <row r="4">
      <c r="A4" s="39" t="inlineStr">
        <is>
          <t>Operating Model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s="165" t="inlineStr">
        <is>
          <t>Revenue</t>
        </is>
      </c>
      <c r="B5" s="165" t="inlineStr">
        <is>
          <t>$mm</t>
        </is>
      </c>
      <c r="C5" s="239">
        <f>'Scenario_Drivers'!C141</f>
        <v/>
      </c>
      <c r="D5" s="239">
        <f>'Scenario_Drivers'!D141</f>
        <v/>
      </c>
      <c r="E5" s="239">
        <f>'Scenario_Drivers'!E141</f>
        <v/>
      </c>
      <c r="F5" s="245">
        <f>'Scenario_Drivers'!F141</f>
        <v/>
      </c>
      <c r="G5" s="246">
        <f>'Scenario_Drivers'!G141</f>
        <v/>
      </c>
      <c r="H5" s="245">
        <f>'Scenario_Drivers'!H141</f>
        <v/>
      </c>
      <c r="I5" s="239">
        <f>'Scenario_Drivers'!I141</f>
        <v/>
      </c>
      <c r="J5" s="239">
        <f>'Scenario_Drivers'!J141</f>
        <v/>
      </c>
      <c r="K5" s="239">
        <f>'Scenario_Drivers'!K141</f>
        <v/>
      </c>
      <c r="L5" s="239">
        <f>'Scenario_Drivers'!L141</f>
        <v/>
      </c>
      <c r="M5" s="239">
        <f>'Scenario_Drivers'!M141</f>
        <v/>
      </c>
      <c r="N5" s="239">
        <f>'Scenario_Drivers'!N141</f>
        <v/>
      </c>
      <c r="O5" s="239">
        <f>'Scenario_Drivers'!O141</f>
        <v/>
      </c>
      <c r="P5" s="239">
        <f>'Scenario_Drivers'!P141</f>
        <v/>
      </c>
      <c r="Q5" s="239">
        <f>'Scenario_Drivers'!Q141</f>
        <v/>
      </c>
      <c r="R5" s="239">
        <f>'Scenario_Drivers'!R141</f>
        <v/>
      </c>
      <c r="S5" s="239">
        <f>'Scenario_Drivers'!S141</f>
        <v/>
      </c>
      <c r="T5" s="239">
        <f>'Scenario_Drivers'!T141</f>
        <v/>
      </c>
      <c r="U5" s="239">
        <f>'Scenario_Drivers'!U141</f>
        <v/>
      </c>
      <c r="V5" s="239">
        <f>'Scenario_Drivers'!V141</f>
        <v/>
      </c>
    </row>
    <row r="6">
      <c r="A6" s="165" t="inlineStr">
        <is>
          <t>Growth</t>
        </is>
      </c>
      <c r="B6" s="165" t="inlineStr">
        <is>
          <t>%</t>
        </is>
      </c>
      <c r="C6" s="240">
        <f>C5/(74.0*'Scenario_Drivers'!C172)-1</f>
        <v/>
      </c>
      <c r="D6" s="240">
        <f>D5/C5-1</f>
        <v/>
      </c>
      <c r="E6" s="240">
        <f>E5/D5-1</f>
        <v/>
      </c>
      <c r="F6" s="247">
        <f>F5/V5-1</f>
        <v/>
      </c>
      <c r="G6" s="248">
        <f>G5/F5-1</f>
        <v/>
      </c>
      <c r="H6" s="247">
        <f>H5/G5-1</f>
        <v/>
      </c>
      <c r="I6" s="240">
        <f>I5/H5-1</f>
        <v/>
      </c>
      <c r="J6" s="240">
        <f>J5/F5-1</f>
        <v/>
      </c>
      <c r="K6" s="240">
        <f>K5/J5-1</f>
        <v/>
      </c>
      <c r="L6" s="240">
        <f>L5/K5-1</f>
        <v/>
      </c>
      <c r="M6" s="240">
        <f>M5/L5-1</f>
        <v/>
      </c>
      <c r="N6" s="240">
        <f>N5/J5-1</f>
        <v/>
      </c>
      <c r="O6" s="240">
        <f>O5/N5-1</f>
        <v/>
      </c>
      <c r="P6" s="240">
        <f>P5/O5-1</f>
        <v/>
      </c>
      <c r="Q6" s="240">
        <f>Q5/P5-1</f>
        <v/>
      </c>
      <c r="R6" s="240">
        <f>R5/N5-1</f>
        <v/>
      </c>
      <c r="S6" s="240">
        <f>S5/R5-1</f>
        <v/>
      </c>
      <c r="T6" s="240">
        <f>T5/S5-1</f>
        <v/>
      </c>
      <c r="U6" s="240">
        <f>U5/T5-1</f>
        <v/>
      </c>
      <c r="V6" s="240">
        <f>V5/R5-1</f>
        <v/>
      </c>
    </row>
    <row r="7">
      <c r="A7" s="165" t="inlineStr">
        <is>
          <t>Gross margin</t>
        </is>
      </c>
      <c r="B7" s="165" t="inlineStr">
        <is>
          <t>%</t>
        </is>
      </c>
      <c r="C7" s="241">
        <f>'Scenario_Drivers'!C142</f>
        <v/>
      </c>
      <c r="D7" s="241">
        <f>'Scenario_Drivers'!D142</f>
        <v/>
      </c>
      <c r="E7" s="241">
        <f>'Scenario_Drivers'!E142</f>
        <v/>
      </c>
      <c r="F7" s="249">
        <f>'Scenario_Drivers'!F142</f>
        <v/>
      </c>
      <c r="G7" s="250">
        <f>'Scenario_Drivers'!G142</f>
        <v/>
      </c>
      <c r="H7" s="249">
        <f>'Scenario_Drivers'!H142</f>
        <v/>
      </c>
      <c r="I7" s="241">
        <f>'Scenario_Drivers'!I142</f>
        <v/>
      </c>
      <c r="J7" s="241">
        <f>'Scenario_Drivers'!J142</f>
        <v/>
      </c>
      <c r="K7" s="241">
        <f>'Scenario_Drivers'!K142</f>
        <v/>
      </c>
      <c r="L7" s="241">
        <f>'Scenario_Drivers'!L142</f>
        <v/>
      </c>
      <c r="M7" s="241">
        <f>'Scenario_Drivers'!M142</f>
        <v/>
      </c>
      <c r="N7" s="241">
        <f>'Scenario_Drivers'!N142</f>
        <v/>
      </c>
      <c r="O7" s="241">
        <f>'Scenario_Drivers'!O142</f>
        <v/>
      </c>
      <c r="P7" s="241">
        <f>'Scenario_Drivers'!P142</f>
        <v/>
      </c>
      <c r="Q7" s="241">
        <f>'Scenario_Drivers'!Q142</f>
        <v/>
      </c>
      <c r="R7" s="241">
        <f>'Scenario_Drivers'!R142</f>
        <v/>
      </c>
      <c r="S7" s="241">
        <f>'Scenario_Drivers'!S142</f>
        <v/>
      </c>
      <c r="T7" s="241">
        <f>'Scenario_Drivers'!T142</f>
        <v/>
      </c>
      <c r="U7" s="241">
        <f>'Scenario_Drivers'!U142</f>
        <v/>
      </c>
      <c r="V7" s="241">
        <f>'Scenario_Drivers'!V142</f>
        <v/>
      </c>
    </row>
    <row r="8">
      <c r="A8" s="165" t="inlineStr">
        <is>
          <t>Gross profit</t>
        </is>
      </c>
      <c r="B8" s="165" t="inlineStr">
        <is>
          <t>$mm</t>
        </is>
      </c>
      <c r="C8" s="242">
        <f>C5*C7</f>
        <v/>
      </c>
      <c r="D8" s="242">
        <f>D5*D7</f>
        <v/>
      </c>
      <c r="E8" s="242">
        <f>E5*E7</f>
        <v/>
      </c>
      <c r="F8" s="251">
        <f>F5*F7</f>
        <v/>
      </c>
      <c r="G8" s="252">
        <f>G5*G7</f>
        <v/>
      </c>
      <c r="H8" s="251">
        <f>H5*H7</f>
        <v/>
      </c>
      <c r="I8" s="242">
        <f>I5*I7</f>
        <v/>
      </c>
      <c r="J8" s="242">
        <f>J5*J7</f>
        <v/>
      </c>
      <c r="K8" s="242">
        <f>K5*K7</f>
        <v/>
      </c>
      <c r="L8" s="242">
        <f>L5*L7</f>
        <v/>
      </c>
      <c r="M8" s="242">
        <f>M5*M7</f>
        <v/>
      </c>
      <c r="N8" s="242">
        <f>N5*N7</f>
        <v/>
      </c>
      <c r="O8" s="242">
        <f>O5*O7</f>
        <v/>
      </c>
      <c r="P8" s="242">
        <f>P5*P7</f>
        <v/>
      </c>
      <c r="Q8" s="242">
        <f>Q5*Q7</f>
        <v/>
      </c>
      <c r="R8" s="242">
        <f>R5*R7</f>
        <v/>
      </c>
      <c r="S8" s="242">
        <f>S5*S7</f>
        <v/>
      </c>
      <c r="T8" s="242">
        <f>T5*T7</f>
        <v/>
      </c>
      <c r="U8" s="242">
        <f>U5*U7</f>
        <v/>
      </c>
      <c r="V8" s="242">
        <f>V5*V7</f>
        <v/>
      </c>
    </row>
    <row r="9">
      <c r="A9" s="165" t="inlineStr">
        <is>
          <t>COGS</t>
        </is>
      </c>
      <c r="B9" s="165" t="inlineStr">
        <is>
          <t>$mm</t>
        </is>
      </c>
      <c r="C9" s="242">
        <f>-(C5-C8)</f>
        <v/>
      </c>
      <c r="D9" s="242">
        <f>-(D5-D8)</f>
        <v/>
      </c>
      <c r="E9" s="242">
        <f>-(E5-E8)</f>
        <v/>
      </c>
      <c r="F9" s="251">
        <f>-(F5-F8)</f>
        <v/>
      </c>
      <c r="G9" s="252">
        <f>-(G5-G8)</f>
        <v/>
      </c>
      <c r="H9" s="251">
        <f>-(H5-H8)</f>
        <v/>
      </c>
      <c r="I9" s="242">
        <f>-(I5-I8)</f>
        <v/>
      </c>
      <c r="J9" s="242">
        <f>-(J5-J8)</f>
        <v/>
      </c>
      <c r="K9" s="242">
        <f>-(K5-K8)</f>
        <v/>
      </c>
      <c r="L9" s="242">
        <f>-(L5-L8)</f>
        <v/>
      </c>
      <c r="M9" s="242">
        <f>-(M5-M8)</f>
        <v/>
      </c>
      <c r="N9" s="242">
        <f>-(N5-N8)</f>
        <v/>
      </c>
      <c r="O9" s="242">
        <f>-(O5-O8)</f>
        <v/>
      </c>
      <c r="P9" s="242">
        <f>-(P5-P8)</f>
        <v/>
      </c>
      <c r="Q9" s="242">
        <f>-(Q5-Q8)</f>
        <v/>
      </c>
      <c r="R9" s="242">
        <f>-(R5-R8)</f>
        <v/>
      </c>
      <c r="S9" s="242">
        <f>-(S5-S8)</f>
        <v/>
      </c>
      <c r="T9" s="242">
        <f>-(T5-T8)</f>
        <v/>
      </c>
      <c r="U9" s="242">
        <f>-(U5-U8)</f>
        <v/>
      </c>
      <c r="V9" s="242">
        <f>-(V5-V8)</f>
        <v/>
      </c>
    </row>
    <row r="10">
      <c r="A10" s="165" t="inlineStr">
        <is>
          <t>Firm EBITDA</t>
        </is>
      </c>
      <c r="B10" s="165" t="inlineStr">
        <is>
          <t>$mm</t>
        </is>
      </c>
      <c r="C10" s="239">
        <f>'Scenario_Drivers'!C143</f>
        <v/>
      </c>
      <c r="D10" s="239">
        <f>'Scenario_Drivers'!D143</f>
        <v/>
      </c>
      <c r="E10" s="239">
        <f>'Scenario_Drivers'!E143</f>
        <v/>
      </c>
      <c r="F10" s="245">
        <f>'Scenario_Drivers'!F143</f>
        <v/>
      </c>
      <c r="G10" s="246">
        <f>'Scenario_Drivers'!G143</f>
        <v/>
      </c>
      <c r="H10" s="245">
        <f>'Scenario_Drivers'!H143</f>
        <v/>
      </c>
      <c r="I10" s="239">
        <f>'Scenario_Drivers'!I143</f>
        <v/>
      </c>
      <c r="J10" s="239">
        <f>'Scenario_Drivers'!J143</f>
        <v/>
      </c>
      <c r="K10" s="239">
        <f>'Scenario_Drivers'!K143</f>
        <v/>
      </c>
      <c r="L10" s="239">
        <f>'Scenario_Drivers'!L143</f>
        <v/>
      </c>
      <c r="M10" s="239">
        <f>'Scenario_Drivers'!M143</f>
        <v/>
      </c>
      <c r="N10" s="239">
        <f>'Scenario_Drivers'!N143</f>
        <v/>
      </c>
      <c r="O10" s="239">
        <f>'Scenario_Drivers'!O143</f>
        <v/>
      </c>
      <c r="P10" s="239">
        <f>'Scenario_Drivers'!P143</f>
        <v/>
      </c>
      <c r="Q10" s="239">
        <f>'Scenario_Drivers'!Q143</f>
        <v/>
      </c>
      <c r="R10" s="239">
        <f>'Scenario_Drivers'!R143</f>
        <v/>
      </c>
      <c r="S10" s="239">
        <f>'Scenario_Drivers'!S143</f>
        <v/>
      </c>
      <c r="T10" s="239">
        <f>'Scenario_Drivers'!T143</f>
        <v/>
      </c>
      <c r="U10" s="239">
        <f>'Scenario_Drivers'!U143</f>
        <v/>
      </c>
      <c r="V10" s="239">
        <f>'Scenario_Drivers'!V143</f>
        <v/>
      </c>
    </row>
    <row r="11">
      <c r="A11" s="165" t="inlineStr">
        <is>
          <t>One-time charges</t>
        </is>
      </c>
      <c r="B11" s="165" t="inlineStr">
        <is>
          <t>$mm</t>
        </is>
      </c>
      <c r="C11" s="242">
        <f>-'Scenario_Drivers'!C144</f>
        <v/>
      </c>
      <c r="D11" s="242">
        <f>-'Scenario_Drivers'!D144</f>
        <v/>
      </c>
      <c r="E11" s="242">
        <f>-'Scenario_Drivers'!E144</f>
        <v/>
      </c>
      <c r="F11" s="251">
        <f>-'Scenario_Drivers'!F144</f>
        <v/>
      </c>
      <c r="G11" s="252">
        <f>-'Scenario_Drivers'!G144</f>
        <v/>
      </c>
      <c r="H11" s="251">
        <f>-'Scenario_Drivers'!H144</f>
        <v/>
      </c>
      <c r="I11" s="242">
        <f>-'Scenario_Drivers'!I144</f>
        <v/>
      </c>
      <c r="J11" s="242">
        <f>-'Scenario_Drivers'!J144</f>
        <v/>
      </c>
      <c r="K11" s="242">
        <f>-'Scenario_Drivers'!K144</f>
        <v/>
      </c>
      <c r="L11" s="242">
        <f>-'Scenario_Drivers'!L144</f>
        <v/>
      </c>
      <c r="M11" s="242">
        <f>-'Scenario_Drivers'!M144</f>
        <v/>
      </c>
      <c r="N11" s="242">
        <f>-'Scenario_Drivers'!N144</f>
        <v/>
      </c>
      <c r="O11" s="242">
        <f>-'Scenario_Drivers'!O144</f>
        <v/>
      </c>
      <c r="P11" s="242">
        <f>-'Scenario_Drivers'!P144</f>
        <v/>
      </c>
      <c r="Q11" s="242">
        <f>-'Scenario_Drivers'!Q144</f>
        <v/>
      </c>
      <c r="R11" s="242">
        <f>-'Scenario_Drivers'!R144</f>
        <v/>
      </c>
      <c r="S11" s="242">
        <f>-'Scenario_Drivers'!S144</f>
        <v/>
      </c>
      <c r="T11" s="242">
        <f>-'Scenario_Drivers'!T144</f>
        <v/>
      </c>
      <c r="U11" s="242">
        <f>-'Scenario_Drivers'!U144</f>
        <v/>
      </c>
      <c r="V11" s="242">
        <f>-'Scenario_Drivers'!V144</f>
        <v/>
      </c>
    </row>
    <row r="12">
      <c r="A12" s="165" t="inlineStr">
        <is>
          <t>Reported EBITDA</t>
        </is>
      </c>
      <c r="B12" s="165" t="inlineStr">
        <is>
          <t>$mm</t>
        </is>
      </c>
      <c r="C12" s="242">
        <f>C10+C11</f>
        <v/>
      </c>
      <c r="D12" s="242">
        <f>D10+D11</f>
        <v/>
      </c>
      <c r="E12" s="242">
        <f>E10+E11</f>
        <v/>
      </c>
      <c r="F12" s="251">
        <f>F10+F11</f>
        <v/>
      </c>
      <c r="G12" s="252">
        <f>G10+G11</f>
        <v/>
      </c>
      <c r="H12" s="251">
        <f>H10+H11</f>
        <v/>
      </c>
      <c r="I12" s="242">
        <f>I10+I11</f>
        <v/>
      </c>
      <c r="J12" s="242">
        <f>J10+J11</f>
        <v/>
      </c>
      <c r="K12" s="242">
        <f>K10+K11</f>
        <v/>
      </c>
      <c r="L12" s="242">
        <f>L10+L11</f>
        <v/>
      </c>
      <c r="M12" s="242">
        <f>M10+M11</f>
        <v/>
      </c>
      <c r="N12" s="242">
        <f>N10+N11</f>
        <v/>
      </c>
      <c r="O12" s="242">
        <f>O10+O11</f>
        <v/>
      </c>
      <c r="P12" s="242">
        <f>P10+P11</f>
        <v/>
      </c>
      <c r="Q12" s="242">
        <f>Q10+Q11</f>
        <v/>
      </c>
      <c r="R12" s="242">
        <f>R10+R11</f>
        <v/>
      </c>
      <c r="S12" s="242">
        <f>S10+S11</f>
        <v/>
      </c>
      <c r="T12" s="242">
        <f>T10+T11</f>
        <v/>
      </c>
      <c r="U12" s="242">
        <f>U10+U11</f>
        <v/>
      </c>
      <c r="V12" s="242">
        <f>V10+V11</f>
        <v/>
      </c>
    </row>
    <row r="13">
      <c r="A13" s="165" t="inlineStr">
        <is>
          <t>Covenant add-backs</t>
        </is>
      </c>
      <c r="B13" s="165" t="inlineStr">
        <is>
          <t>$mm</t>
        </is>
      </c>
      <c r="C13" s="239">
        <f>'Scenario_Drivers'!C145</f>
        <v/>
      </c>
      <c r="D13" s="239">
        <f>'Scenario_Drivers'!D145</f>
        <v/>
      </c>
      <c r="E13" s="239">
        <f>'Scenario_Drivers'!E145</f>
        <v/>
      </c>
      <c r="F13" s="245">
        <f>'Scenario_Drivers'!F145</f>
        <v/>
      </c>
      <c r="G13" s="246">
        <f>'Scenario_Drivers'!G145</f>
        <v/>
      </c>
      <c r="H13" s="245">
        <f>'Scenario_Drivers'!H145</f>
        <v/>
      </c>
      <c r="I13" s="239">
        <f>'Scenario_Drivers'!I145</f>
        <v/>
      </c>
      <c r="J13" s="239">
        <f>'Scenario_Drivers'!J145</f>
        <v/>
      </c>
      <c r="K13" s="239">
        <f>'Scenario_Drivers'!K145</f>
        <v/>
      </c>
      <c r="L13" s="239">
        <f>'Scenario_Drivers'!L145</f>
        <v/>
      </c>
      <c r="M13" s="239">
        <f>'Scenario_Drivers'!M145</f>
        <v/>
      </c>
      <c r="N13" s="239">
        <f>'Scenario_Drivers'!N145</f>
        <v/>
      </c>
      <c r="O13" s="239">
        <f>'Scenario_Drivers'!O145</f>
        <v/>
      </c>
      <c r="P13" s="239">
        <f>'Scenario_Drivers'!P145</f>
        <v/>
      </c>
      <c r="Q13" s="239">
        <f>'Scenario_Drivers'!Q145</f>
        <v/>
      </c>
      <c r="R13" s="239">
        <f>'Scenario_Drivers'!R145</f>
        <v/>
      </c>
      <c r="S13" s="239">
        <f>'Scenario_Drivers'!S145</f>
        <v/>
      </c>
      <c r="T13" s="239">
        <f>'Scenario_Drivers'!T145</f>
        <v/>
      </c>
      <c r="U13" s="239">
        <f>'Scenario_Drivers'!U145</f>
        <v/>
      </c>
      <c r="V13" s="239">
        <f>'Scenario_Drivers'!V145</f>
        <v/>
      </c>
    </row>
    <row r="14">
      <c r="A14" s="165" t="inlineStr">
        <is>
          <t>Covenant EBITDA</t>
        </is>
      </c>
      <c r="B14" s="165" t="inlineStr">
        <is>
          <t>$mm</t>
        </is>
      </c>
      <c r="C14" s="242">
        <f>C12+C13</f>
        <v/>
      </c>
      <c r="D14" s="242">
        <f>D12+D13</f>
        <v/>
      </c>
      <c r="E14" s="242">
        <f>E12+E13</f>
        <v/>
      </c>
      <c r="F14" s="251">
        <f>F12+F13</f>
        <v/>
      </c>
      <c r="G14" s="252">
        <f>G12+G13</f>
        <v/>
      </c>
      <c r="H14" s="251">
        <f>H12+H13</f>
        <v/>
      </c>
      <c r="I14" s="242">
        <f>I12+I13</f>
        <v/>
      </c>
      <c r="J14" s="242">
        <f>J12+J13</f>
        <v/>
      </c>
      <c r="K14" s="242">
        <f>K12+K13</f>
        <v/>
      </c>
      <c r="L14" s="242">
        <f>L12+L13</f>
        <v/>
      </c>
      <c r="M14" s="242">
        <f>M12+M13</f>
        <v/>
      </c>
      <c r="N14" s="242">
        <f>N12+N13</f>
        <v/>
      </c>
      <c r="O14" s="242">
        <f>O12+O13</f>
        <v/>
      </c>
      <c r="P14" s="242">
        <f>P12+P13</f>
        <v/>
      </c>
      <c r="Q14" s="242">
        <f>Q12+Q13</f>
        <v/>
      </c>
      <c r="R14" s="242">
        <f>R12+R13</f>
        <v/>
      </c>
      <c r="S14" s="242">
        <f>S12+S13</f>
        <v/>
      </c>
      <c r="T14" s="242">
        <f>T12+T13</f>
        <v/>
      </c>
      <c r="U14" s="242">
        <f>U12+U13</f>
        <v/>
      </c>
      <c r="V14" s="242">
        <f>V12+V13</f>
        <v/>
      </c>
    </row>
    <row r="15">
      <c r="A15" s="165" t="inlineStr">
        <is>
          <t>Firm EBITDA margin</t>
        </is>
      </c>
      <c r="B15" s="165" t="inlineStr">
        <is>
          <t>%</t>
        </is>
      </c>
      <c r="C15" s="240">
        <f>C10/C5</f>
        <v/>
      </c>
      <c r="D15" s="240">
        <f>D10/D5</f>
        <v/>
      </c>
      <c r="E15" s="240">
        <f>E10/E5</f>
        <v/>
      </c>
      <c r="F15" s="247">
        <f>F10/F5</f>
        <v/>
      </c>
      <c r="G15" s="248">
        <f>G10/G5</f>
        <v/>
      </c>
      <c r="H15" s="247">
        <f>H10/H5</f>
        <v/>
      </c>
      <c r="I15" s="240">
        <f>I10/I5</f>
        <v/>
      </c>
      <c r="J15" s="240">
        <f>J10/J5</f>
        <v/>
      </c>
      <c r="K15" s="240">
        <f>K10/K5</f>
        <v/>
      </c>
      <c r="L15" s="240">
        <f>L10/L5</f>
        <v/>
      </c>
      <c r="M15" s="240">
        <f>M10/M5</f>
        <v/>
      </c>
      <c r="N15" s="240">
        <f>N10/N5</f>
        <v/>
      </c>
      <c r="O15" s="240">
        <f>O10/O5</f>
        <v/>
      </c>
      <c r="P15" s="240">
        <f>P10/P5</f>
        <v/>
      </c>
      <c r="Q15" s="240">
        <f>Q10/Q5</f>
        <v/>
      </c>
      <c r="R15" s="240">
        <f>R10/R5</f>
        <v/>
      </c>
      <c r="S15" s="240">
        <f>S10/S5</f>
        <v/>
      </c>
      <c r="T15" s="240">
        <f>T10/T5</f>
        <v/>
      </c>
      <c r="U15" s="240">
        <f>U10/U5</f>
        <v/>
      </c>
      <c r="V15" s="240">
        <f>V10/V5</f>
        <v/>
      </c>
    </row>
    <row r="16">
      <c r="A16" s="39" t="inlineStr">
        <is>
          <t>Income Statement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>
      <c r="A17" s="165" t="inlineStr">
        <is>
          <t>Depreciation</t>
        </is>
      </c>
      <c r="B17" s="165" t="inlineStr">
        <is>
          <t>$mm</t>
        </is>
      </c>
      <c r="C17" s="242">
        <f>C5*Inputs!$B$17</f>
        <v/>
      </c>
      <c r="D17" s="242">
        <f>D5*Inputs!$B$17</f>
        <v/>
      </c>
      <c r="E17" s="242">
        <f>E5*Inputs!$B$17</f>
        <v/>
      </c>
      <c r="F17" s="251">
        <f>F5*Inputs!$B$17</f>
        <v/>
      </c>
      <c r="G17" s="252">
        <f>G5*Inputs!$B$17</f>
        <v/>
      </c>
      <c r="H17" s="251">
        <f>H5*Inputs!$B$17</f>
        <v/>
      </c>
      <c r="I17" s="242">
        <f>I5*Inputs!$B$17</f>
        <v/>
      </c>
      <c r="J17" s="242">
        <f>J5*Inputs!$B$17</f>
        <v/>
      </c>
      <c r="K17" s="242">
        <f>K5*Inputs!$B$17</f>
        <v/>
      </c>
      <c r="L17" s="242">
        <f>L5*Inputs!$B$17</f>
        <v/>
      </c>
      <c r="M17" s="242">
        <f>M5*Inputs!$B$17</f>
        <v/>
      </c>
      <c r="N17" s="242">
        <f>N5*Inputs!$B$17</f>
        <v/>
      </c>
      <c r="O17" s="242">
        <f>O5*Inputs!$B$17</f>
        <v/>
      </c>
      <c r="P17" s="242">
        <f>P5*Inputs!$B$17</f>
        <v/>
      </c>
      <c r="Q17" s="242">
        <f>Q5*Inputs!$B$17</f>
        <v/>
      </c>
      <c r="R17" s="242">
        <f>R5*Inputs!$B$17</f>
        <v/>
      </c>
      <c r="S17" s="242">
        <f>S5*Inputs!$B$17</f>
        <v/>
      </c>
      <c r="T17" s="242">
        <f>T5*Inputs!$B$17</f>
        <v/>
      </c>
      <c r="U17" s="242">
        <f>U5*Inputs!$B$17</f>
        <v/>
      </c>
      <c r="V17" s="242">
        <f>V5*Inputs!$B$17</f>
        <v/>
      </c>
    </row>
    <row r="18">
      <c r="A18" s="165" t="inlineStr">
        <is>
          <t>Core PPA amortization</t>
        </is>
      </c>
      <c r="B18" s="165" t="inlineStr">
        <is>
          <t>$mm</t>
        </is>
      </c>
      <c r="C18" s="242">
        <f>'Scenario_Drivers'!C171</f>
        <v/>
      </c>
      <c r="D18" s="242">
        <f>'Scenario_Drivers'!D171</f>
        <v/>
      </c>
      <c r="E18" s="242">
        <f>'Scenario_Drivers'!E171</f>
        <v/>
      </c>
      <c r="F18" s="251">
        <f>'Scenario_Drivers'!F171</f>
        <v/>
      </c>
      <c r="G18" s="252">
        <f>'Scenario_Drivers'!G171</f>
        <v/>
      </c>
      <c r="H18" s="251">
        <f>'Scenario_Drivers'!H171</f>
        <v/>
      </c>
      <c r="I18" s="242">
        <f>'Scenario_Drivers'!I171</f>
        <v/>
      </c>
      <c r="J18" s="242">
        <f>'Scenario_Drivers'!J171</f>
        <v/>
      </c>
      <c r="K18" s="242">
        <f>'Scenario_Drivers'!K171</f>
        <v/>
      </c>
      <c r="L18" s="242">
        <f>'Scenario_Drivers'!L171</f>
        <v/>
      </c>
      <c r="M18" s="242">
        <f>'Scenario_Drivers'!M171</f>
        <v/>
      </c>
      <c r="N18" s="242">
        <f>'Scenario_Drivers'!N171</f>
        <v/>
      </c>
      <c r="O18" s="242">
        <f>'Scenario_Drivers'!O171</f>
        <v/>
      </c>
      <c r="P18" s="242">
        <f>'Scenario_Drivers'!P171</f>
        <v/>
      </c>
      <c r="Q18" s="242">
        <f>'Scenario_Drivers'!Q171</f>
        <v/>
      </c>
      <c r="R18" s="242">
        <f>'Scenario_Drivers'!R171</f>
        <v/>
      </c>
      <c r="S18" s="242">
        <f>'Scenario_Drivers'!S171</f>
        <v/>
      </c>
      <c r="T18" s="242">
        <f>'Scenario_Drivers'!T171</f>
        <v/>
      </c>
      <c r="U18" s="242">
        <f>'Scenario_Drivers'!U171</f>
        <v/>
      </c>
      <c r="V18" s="242">
        <f>'Scenario_Drivers'!V171</f>
        <v/>
      </c>
    </row>
    <row r="19">
      <c r="A19" s="165" t="inlineStr">
        <is>
          <t>Integration asset amortization</t>
        </is>
      </c>
      <c r="B19" s="165" t="inlineStr">
        <is>
          <t>$mm</t>
        </is>
      </c>
      <c r="C19" s="242">
        <f>0</f>
        <v/>
      </c>
      <c r="D19" s="242">
        <f>0</f>
        <v/>
      </c>
      <c r="E19" s="242">
        <f>0</f>
        <v/>
      </c>
      <c r="F19" s="251">
        <f>0</f>
        <v/>
      </c>
      <c r="G19" s="252">
        <f>0</f>
        <v/>
      </c>
      <c r="H19" s="251">
        <f>MIN(G72,2.0/12)</f>
        <v/>
      </c>
      <c r="I19" s="242">
        <f>MIN(H72,2.0/12)</f>
        <v/>
      </c>
      <c r="J19" s="242">
        <f>MIN(I72,2.0/12)</f>
        <v/>
      </c>
      <c r="K19" s="242">
        <f>MIN(J72,2.0/12)</f>
        <v/>
      </c>
      <c r="L19" s="242">
        <f>MIN(K72,2.0/12)</f>
        <v/>
      </c>
      <c r="M19" s="242">
        <f>MIN(L72,2.0/12)</f>
        <v/>
      </c>
      <c r="N19" s="242">
        <f>MIN(M72,2.0/12)</f>
        <v/>
      </c>
      <c r="O19" s="242">
        <f>MIN(N72,2.0/12)</f>
        <v/>
      </c>
      <c r="P19" s="242">
        <f>MIN(O72,2.0/12)</f>
        <v/>
      </c>
      <c r="Q19" s="242">
        <f>MIN(P72,2.0/12)</f>
        <v/>
      </c>
      <c r="R19" s="242">
        <f>MIN(Q72,2.0/12)</f>
        <v/>
      </c>
      <c r="S19" s="242">
        <f>MIN(R72,2.0/12)</f>
        <v/>
      </c>
      <c r="T19" s="242">
        <f>MIN(S72,2.0/12)</f>
        <v/>
      </c>
      <c r="U19" s="242">
        <f>MIN(T72,2.0/12)</f>
        <v/>
      </c>
      <c r="V19" s="242">
        <f>MIN(U72,2.0/12)</f>
        <v/>
      </c>
    </row>
    <row r="20">
      <c r="A20" s="165" t="inlineStr">
        <is>
          <t>Total D&amp;A</t>
        </is>
      </c>
      <c r="B20" s="165" t="inlineStr">
        <is>
          <t>$mm</t>
        </is>
      </c>
      <c r="C20" s="242">
        <f>SUM(C17:C19)</f>
        <v/>
      </c>
      <c r="D20" s="242">
        <f>SUM(D17:D19)</f>
        <v/>
      </c>
      <c r="E20" s="242">
        <f>SUM(E17:E19)</f>
        <v/>
      </c>
      <c r="F20" s="251">
        <f>SUM(F17:F19)</f>
        <v/>
      </c>
      <c r="G20" s="252">
        <f>SUM(G17:G19)</f>
        <v/>
      </c>
      <c r="H20" s="251">
        <f>SUM(H17:H19)</f>
        <v/>
      </c>
      <c r="I20" s="242">
        <f>SUM(I17:I19)</f>
        <v/>
      </c>
      <c r="J20" s="242">
        <f>SUM(J17:J19)</f>
        <v/>
      </c>
      <c r="K20" s="242">
        <f>SUM(K17:K19)</f>
        <v/>
      </c>
      <c r="L20" s="242">
        <f>SUM(L17:L19)</f>
        <v/>
      </c>
      <c r="M20" s="242">
        <f>SUM(M17:M19)</f>
        <v/>
      </c>
      <c r="N20" s="242">
        <f>SUM(N17:N19)</f>
        <v/>
      </c>
      <c r="O20" s="242">
        <f>SUM(O17:O19)</f>
        <v/>
      </c>
      <c r="P20" s="242">
        <f>SUM(P17:P19)</f>
        <v/>
      </c>
      <c r="Q20" s="242">
        <f>SUM(Q17:Q19)</f>
        <v/>
      </c>
      <c r="R20" s="242">
        <f>SUM(R17:R19)</f>
        <v/>
      </c>
      <c r="S20" s="242">
        <f>SUM(S17:S19)</f>
        <v/>
      </c>
      <c r="T20" s="242">
        <f>SUM(T17:T19)</f>
        <v/>
      </c>
      <c r="U20" s="242">
        <f>SUM(U17:U19)</f>
        <v/>
      </c>
      <c r="V20" s="242">
        <f>SUM(V17:V19)</f>
        <v/>
      </c>
    </row>
    <row r="21">
      <c r="A21" s="165" t="inlineStr">
        <is>
          <t>EBIT</t>
        </is>
      </c>
      <c r="B21" s="165" t="inlineStr">
        <is>
          <t>$mm</t>
        </is>
      </c>
      <c r="C21" s="242">
        <f>C12-C20</f>
        <v/>
      </c>
      <c r="D21" s="242">
        <f>D12-D20</f>
        <v/>
      </c>
      <c r="E21" s="242">
        <f>E12-E20</f>
        <v/>
      </c>
      <c r="F21" s="251">
        <f>F12-F20</f>
        <v/>
      </c>
      <c r="G21" s="252">
        <f>G12-G20</f>
        <v/>
      </c>
      <c r="H21" s="251">
        <f>H12-H20</f>
        <v/>
      </c>
      <c r="I21" s="242">
        <f>I12-I20</f>
        <v/>
      </c>
      <c r="J21" s="242">
        <f>J12-J20</f>
        <v/>
      </c>
      <c r="K21" s="242">
        <f>K12-K20</f>
        <v/>
      </c>
      <c r="L21" s="242">
        <f>L12-L20</f>
        <v/>
      </c>
      <c r="M21" s="242">
        <f>M12-M20</f>
        <v/>
      </c>
      <c r="N21" s="242">
        <f>N12-N20</f>
        <v/>
      </c>
      <c r="O21" s="242">
        <f>O12-O20</f>
        <v/>
      </c>
      <c r="P21" s="242">
        <f>P12-P20</f>
        <v/>
      </c>
      <c r="Q21" s="242">
        <f>Q12-Q20</f>
        <v/>
      </c>
      <c r="R21" s="242">
        <f>R12-R20</f>
        <v/>
      </c>
      <c r="S21" s="242">
        <f>S12-S20</f>
        <v/>
      </c>
      <c r="T21" s="242">
        <f>T12-T20</f>
        <v/>
      </c>
      <c r="U21" s="242">
        <f>U12-U20</f>
        <v/>
      </c>
      <c r="V21" s="242">
        <f>V12-V20</f>
        <v/>
      </c>
    </row>
    <row r="22">
      <c r="A22" s="165" t="inlineStr">
        <is>
          <t>Cash interest</t>
        </is>
      </c>
      <c r="B22" s="165" t="inlineStr">
        <is>
          <t>$mm</t>
        </is>
      </c>
      <c r="C22" s="242">
        <f>-((('S&amp;U_Opening'!$E$18+MAX(0,'S&amp;U_Opening'!$E$18-(MIN(0.107,'S&amp;U_Opening'!$E$18))))/2)*(MAX('Scenario_Drivers'!C169,Inputs!$B$26)+Inputs!$B$23+'Scenario_Drivers'!C170)/4+((0+0+'Scenario_Drivers'!C161-(IF(0&gt;0,MIN(0.015,0),0)))/2)*(MAX('Scenario_Drivers'!C169,Inputs!$B$26)+Inputs!$B$25+'Scenario_Drivers'!C170)/4+0*(MAX('Scenario_Drivers'!C169,Inputs!$B$26)+Inputs!$B$24+'Scenario_Drivers'!C170)/4+MAX(0,Inputs!$B$20-0-'Scenario_Drivers'!C164)*Inputs!$B$29/4+0)</f>
        <v/>
      </c>
      <c r="D22" s="242">
        <f>-(((C76+MAX(0,C76-(MIN(0.107,C76))))/2)*(MAX('Scenario_Drivers'!D169,Inputs!$B$26)+Inputs!$B$23+'Scenario_Drivers'!D170)/4+((C77+C77+'Scenario_Drivers'!D161-(IF(C77&gt;0,MIN(0.015,C77),0)))/2)*(MAX('Scenario_Drivers'!D169,Inputs!$B$26)+Inputs!$B$25+'Scenario_Drivers'!D170)/4+C78*(MAX('Scenario_Drivers'!D169,Inputs!$B$26)+Inputs!$B$24+'Scenario_Drivers'!D170)/4+MAX(0,Inputs!$B$20-C78-'Scenario_Drivers'!D164)*Inputs!$B$29/4+MAX(0,Inputs!$B$21-C77-'Scenario_Drivers'!D161)*Inputs!$B$30/4)</f>
        <v/>
      </c>
      <c r="E22" s="242">
        <f>-(((D76+MAX(0,D76-(MIN(0.107,D76))))/2)*(MAX('Scenario_Drivers'!E169,Inputs!$B$26)+Inputs!$B$23+'Scenario_Drivers'!E170)/4+((D77+D77+'Scenario_Drivers'!E161-(IF(D77&gt;0,MIN(0.015,D77),0)))/2)*(MAX('Scenario_Drivers'!E169,Inputs!$B$26)+Inputs!$B$25+'Scenario_Drivers'!E170)/4+D78*(MAX('Scenario_Drivers'!E169,Inputs!$B$26)+Inputs!$B$24+'Scenario_Drivers'!E170)/4+MAX(0,Inputs!$B$20-D78-'Scenario_Drivers'!E164)*Inputs!$B$29/4+MAX(0,Inputs!$B$21-D77-'Scenario_Drivers'!E161)*Inputs!$B$30/4)</f>
        <v/>
      </c>
      <c r="F22" s="251">
        <f>-(((E76+MAX(0,E76-(MIN(0.107,E76))))/2)*(MAX('Scenario_Drivers'!F169,Inputs!$B$26)+Inputs!$B$23+'Scenario_Drivers'!F170)/4+((E77+E77+'Scenario_Drivers'!F161-(IF(E77&gt;0,MIN(0.015,E77),0)))/2)*(MAX('Scenario_Drivers'!F169,Inputs!$B$26)+Inputs!$B$25+'Scenario_Drivers'!F170)/4+E78*(MAX('Scenario_Drivers'!F169,Inputs!$B$26)+Inputs!$B$24+'Scenario_Drivers'!F170)/4+MAX(0,Inputs!$B$20-E78-'Scenario_Drivers'!F164)*Inputs!$B$29/4+MAX(0,Inputs!$B$21-E77-'Scenario_Drivers'!F161)*Inputs!$B$30/4)</f>
        <v/>
      </c>
      <c r="G22" s="252">
        <f>-(((F76+MAX(0,F76-(MIN(0.107,F76))))/2)*(MAX('Scenario_Drivers'!G169,Inputs!$B$26)+Inputs!$B$23+'Scenario_Drivers'!G170)/4+((F77+F77+'Scenario_Drivers'!G161-(IF(F77&gt;0,MIN(0.015,F77),0)))/2)*(MAX('Scenario_Drivers'!G169,Inputs!$B$26)+Inputs!$B$25+'Scenario_Drivers'!G170)/4+F78*(MAX('Scenario_Drivers'!G169,Inputs!$B$26)+Inputs!$B$24+'Scenario_Drivers'!G170)/4+MAX(0,Inputs!$B$20-F78-'Scenario_Drivers'!G164)*Inputs!$B$29/4+MAX(0,Inputs!$B$21-F77-'Scenario_Drivers'!G161)*Inputs!$B$30/4)</f>
        <v/>
      </c>
      <c r="H22" s="251">
        <f>-(((G76+MAX(0,G76-(MIN(0.107,G76))))/2)*(MAX('Scenario_Drivers'!H169,Inputs!$B$26)+Inputs!$B$23+'Scenario_Drivers'!H170)/4+((G77+G77+'Scenario_Drivers'!H161-(IF(G77&gt;0,MIN(0.015,G77),0)))/2)*(MAX('Scenario_Drivers'!H169,Inputs!$B$26)+Inputs!$B$25+'Scenario_Drivers'!H170)/4+G78*(MAX('Scenario_Drivers'!H169,Inputs!$B$26)+Inputs!$B$24+'Scenario_Drivers'!H170)/4+MAX(0,Inputs!$B$20-G78-'Scenario_Drivers'!H164)*Inputs!$B$29/4+MAX(0,Inputs!$B$21-G77-'Scenario_Drivers'!H161)*Inputs!$B$30/4)</f>
        <v/>
      </c>
      <c r="I22" s="242">
        <f>-(((H76+MAX(0,H76-(MIN(0.107,H76))))/2)*(MAX('Scenario_Drivers'!I169,Inputs!$B$26)+Inputs!$B$23+'Scenario_Drivers'!I170)/4+((H77+H77+'Scenario_Drivers'!I161-(IF(H77&gt;0,MIN(0.015,H77),0)))/2)*(MAX('Scenario_Drivers'!I169,Inputs!$B$26)+Inputs!$B$25+'Scenario_Drivers'!I170)/4+H78*(MAX('Scenario_Drivers'!I169,Inputs!$B$26)+Inputs!$B$24+'Scenario_Drivers'!I170)/4+MAX(0,Inputs!$B$20-H78-'Scenario_Drivers'!I164)*Inputs!$B$29/4+0)</f>
        <v/>
      </c>
      <c r="J22" s="242">
        <f>-(((I76+MAX(0,I76-(MIN(0.107,I76))))/2)*(MAX('Scenario_Drivers'!J169,Inputs!$B$26)+Inputs!$B$23+'Scenario_Drivers'!J170)/4+((I77+I77+'Scenario_Drivers'!J161-(IF(I77&gt;0,MIN(0.015,I77),0)))/2)*(MAX('Scenario_Drivers'!J169,Inputs!$B$26)+Inputs!$B$25+'Scenario_Drivers'!J170)/4+I78*(MAX('Scenario_Drivers'!J169,Inputs!$B$26)+Inputs!$B$24+'Scenario_Drivers'!J170)/4+MAX(0,Inputs!$B$20-I78-'Scenario_Drivers'!J164)*Inputs!$B$29/4+0)</f>
        <v/>
      </c>
      <c r="K22" s="242">
        <f>-(((J76+MAX(0,J76-(MIN(0.107,J76))))/2)*(MAX('Scenario_Drivers'!K169,Inputs!$B$26)+Inputs!$B$23+'Scenario_Drivers'!K170)/4+((J77+J77+'Scenario_Drivers'!K161-(IF(J77&gt;0,MIN(0.015,J77),0)))/2)*(MAX('Scenario_Drivers'!K169,Inputs!$B$26)+Inputs!$B$25+'Scenario_Drivers'!K170)/4+J78*(MAX('Scenario_Drivers'!K169,Inputs!$B$26)+Inputs!$B$24+'Scenario_Drivers'!K170)/4+MAX(0,Inputs!$B$20-J78-'Scenario_Drivers'!K164)*Inputs!$B$29/4+0)</f>
        <v/>
      </c>
      <c r="L22" s="242">
        <f>-(((K76+MAX(0,K76-(MIN(0.107,K76))))/2)*(MAX('Scenario_Drivers'!L169,Inputs!$B$26)+Inputs!$B$23+'Scenario_Drivers'!L170)/4+((K77+K77+'Scenario_Drivers'!L161-(IF(K77&gt;0,MIN(0.015,K77),0)))/2)*(MAX('Scenario_Drivers'!L169,Inputs!$B$26)+Inputs!$B$25+'Scenario_Drivers'!L170)/4+K78*(MAX('Scenario_Drivers'!L169,Inputs!$B$26)+Inputs!$B$24+'Scenario_Drivers'!L170)/4+MAX(0,Inputs!$B$20-K78-'Scenario_Drivers'!L164)*Inputs!$B$29/4+0)</f>
        <v/>
      </c>
      <c r="M22" s="242">
        <f>-(((L76+MAX(0,L76-(MIN(0.107,L76))))/2)*(MAX('Scenario_Drivers'!M169,Inputs!$B$26)+Inputs!$B$23+'Scenario_Drivers'!M170)/4+((L77+L77+'Scenario_Drivers'!M161-(IF(L77&gt;0,MIN(0.015,L77),0)))/2)*(MAX('Scenario_Drivers'!M169,Inputs!$B$26)+Inputs!$B$25+'Scenario_Drivers'!M170)/4+L78*(MAX('Scenario_Drivers'!M169,Inputs!$B$26)+Inputs!$B$24+'Scenario_Drivers'!M170)/4+MAX(0,Inputs!$B$20-L78-'Scenario_Drivers'!M164)*Inputs!$B$29/4+0)</f>
        <v/>
      </c>
      <c r="N22" s="242">
        <f>-(((M76+MAX(0,M76-(MIN(0.107,M76))))/2)*(MAX('Scenario_Drivers'!N169,Inputs!$B$26)+Inputs!$B$23+'Scenario_Drivers'!N170)/4+((M77+M77+'Scenario_Drivers'!N161-(IF(M77&gt;0,MIN(0.015,M77),0)))/2)*(MAX('Scenario_Drivers'!N169,Inputs!$B$26)+Inputs!$B$25+'Scenario_Drivers'!N170)/4+M78*(MAX('Scenario_Drivers'!N169,Inputs!$B$26)+Inputs!$B$24+'Scenario_Drivers'!N170)/4+MAX(0,Inputs!$B$20-M78-'Scenario_Drivers'!N164)*Inputs!$B$29/4+0)</f>
        <v/>
      </c>
      <c r="O22" s="242">
        <f>-(((N76+MAX(0,N76-(MIN(0.107,N76))))/2)*(MAX('Scenario_Drivers'!O169,Inputs!$B$26)+Inputs!$B$23+'Scenario_Drivers'!O170)/4+((N77+N77+'Scenario_Drivers'!O161-(IF(N77&gt;0,MIN(0.015,N77),0)))/2)*(MAX('Scenario_Drivers'!O169,Inputs!$B$26)+Inputs!$B$25+'Scenario_Drivers'!O170)/4+N78*(MAX('Scenario_Drivers'!O169,Inputs!$B$26)+Inputs!$B$24+'Scenario_Drivers'!O170)/4+MAX(0,Inputs!$B$20-N78-'Scenario_Drivers'!O164)*Inputs!$B$29/4+0)</f>
        <v/>
      </c>
      <c r="P22" s="242">
        <f>-(((O76+MAX(0,O76-(MIN(0.107,O76))))/2)*(MAX('Scenario_Drivers'!P169,Inputs!$B$26)+Inputs!$B$23+'Scenario_Drivers'!P170)/4+((O77+O77+'Scenario_Drivers'!P161-(IF(O77&gt;0,MIN(0.015,O77),0)))/2)*(MAX('Scenario_Drivers'!P169,Inputs!$B$26)+Inputs!$B$25+'Scenario_Drivers'!P170)/4+O78*(MAX('Scenario_Drivers'!P169,Inputs!$B$26)+Inputs!$B$24+'Scenario_Drivers'!P170)/4+MAX(0,Inputs!$B$20-O78-'Scenario_Drivers'!P164)*Inputs!$B$29/4+0)</f>
        <v/>
      </c>
      <c r="Q22" s="242">
        <f>-(((P76+MAX(0,P76-(MIN(0.107,P76))))/2)*(MAX('Scenario_Drivers'!Q169,Inputs!$B$26)+Inputs!$B$23+'Scenario_Drivers'!Q170)/4+((P77+P77+'Scenario_Drivers'!Q161-(IF(P77&gt;0,MIN(0.015,P77),0)))/2)*(MAX('Scenario_Drivers'!Q169,Inputs!$B$26)+Inputs!$B$25+'Scenario_Drivers'!Q170)/4+P78*(MAX('Scenario_Drivers'!Q169,Inputs!$B$26)+Inputs!$B$24+'Scenario_Drivers'!Q170)/4+MAX(0,Inputs!$B$20-P78-'Scenario_Drivers'!Q164)*Inputs!$B$29/4+0)</f>
        <v/>
      </c>
      <c r="R22" s="242">
        <f>-(((Q76+MAX(0,Q76-(MIN(0.107,Q76))))/2)*(MAX('Scenario_Drivers'!R169,Inputs!$B$26)+Inputs!$B$23+'Scenario_Drivers'!R170)/4+((Q77+Q77+'Scenario_Drivers'!R161-(IF(Q77&gt;0,MIN(0.015,Q77),0)))/2)*(MAX('Scenario_Drivers'!R169,Inputs!$B$26)+Inputs!$B$25+'Scenario_Drivers'!R170)/4+Q78*(MAX('Scenario_Drivers'!R169,Inputs!$B$26)+Inputs!$B$24+'Scenario_Drivers'!R170)/4+MAX(0,Inputs!$B$20-Q78-'Scenario_Drivers'!R164)*Inputs!$B$29/4+0)</f>
        <v/>
      </c>
      <c r="S22" s="242">
        <f>-(((R76+MAX(0,R76-(MIN(0.107,R76))))/2)*(MAX('Scenario_Drivers'!S169,Inputs!$B$26)+Inputs!$B$23+'Scenario_Drivers'!S170)/4+((R77+R77+'Scenario_Drivers'!S161-(IF(R77&gt;0,MIN(0.015,R77),0)))/2)*(MAX('Scenario_Drivers'!S169,Inputs!$B$26)+Inputs!$B$25+'Scenario_Drivers'!S170)/4+R78*(MAX('Scenario_Drivers'!S169,Inputs!$B$26)+Inputs!$B$24+'Scenario_Drivers'!S170)/4+MAX(0,Inputs!$B$20-R78-'Scenario_Drivers'!S164)*Inputs!$B$29/4+0)</f>
        <v/>
      </c>
      <c r="T22" s="242">
        <f>-(((S76+MAX(0,S76-(MIN(0.107,S76))))/2)*(MAX('Scenario_Drivers'!T169,Inputs!$B$26)+Inputs!$B$23+'Scenario_Drivers'!T170)/4+((S77+S77+'Scenario_Drivers'!T161-(IF(S77&gt;0,MIN(0.015,S77),0)))/2)*(MAX('Scenario_Drivers'!T169,Inputs!$B$26)+Inputs!$B$25+'Scenario_Drivers'!T170)/4+S78*(MAX('Scenario_Drivers'!T169,Inputs!$B$26)+Inputs!$B$24+'Scenario_Drivers'!T170)/4+MAX(0,Inputs!$B$20-S78-'Scenario_Drivers'!T164)*Inputs!$B$29/4+0)</f>
        <v/>
      </c>
      <c r="U22" s="242">
        <f>-(((T76+MAX(0,T76-(MIN(0.107,T76))))/2)*(MAX('Scenario_Drivers'!U169,Inputs!$B$26)+Inputs!$B$23+'Scenario_Drivers'!U170)/4+((T77+T77+'Scenario_Drivers'!U161-(IF(T77&gt;0,MIN(0.015,T77),0)))/2)*(MAX('Scenario_Drivers'!U169,Inputs!$B$26)+Inputs!$B$25+'Scenario_Drivers'!U170)/4+T78*(MAX('Scenario_Drivers'!U169,Inputs!$B$26)+Inputs!$B$24+'Scenario_Drivers'!U170)/4+MAX(0,Inputs!$B$20-T78-'Scenario_Drivers'!U164)*Inputs!$B$29/4+0)</f>
        <v/>
      </c>
      <c r="V22" s="242">
        <f>-(((U76+MAX(0,U76-(MIN(0.107,U76))))/2)*(MAX('Scenario_Drivers'!V169,Inputs!$B$26)+Inputs!$B$23+'Scenario_Drivers'!V170)/4+((U77+U77+'Scenario_Drivers'!V161-(IF(U77&gt;0,MIN(0.015,U77),0)))/2)*(MAX('Scenario_Drivers'!V169,Inputs!$B$26)+Inputs!$B$25+'Scenario_Drivers'!V170)/4+U78*(MAX('Scenario_Drivers'!V169,Inputs!$B$26)+Inputs!$B$24+'Scenario_Drivers'!V170)/4+MAX(0,Inputs!$B$20-U78-'Scenario_Drivers'!V164)*Inputs!$B$29/4+0)</f>
        <v/>
      </c>
    </row>
    <row r="23">
      <c r="A23" s="165" t="inlineStr">
        <is>
          <t>Financing fee amortization</t>
        </is>
      </c>
      <c r="B23" s="165" t="inlineStr">
        <is>
          <t>$mm</t>
        </is>
      </c>
      <c r="C23" s="242">
        <f>MIN('S&amp;U_Opening'!$B$24,1.4/24)</f>
        <v/>
      </c>
      <c r="D23" s="242">
        <f>MIN(C73,1.4/24)</f>
        <v/>
      </c>
      <c r="E23" s="242">
        <f>MIN(D73,1.4/24)</f>
        <v/>
      </c>
      <c r="F23" s="251">
        <f>MIN(E73,1.4/24)</f>
        <v/>
      </c>
      <c r="G23" s="252">
        <f>MIN(F73,1.4/24)</f>
        <v/>
      </c>
      <c r="H23" s="251">
        <f>MIN(G73,1.4/24)</f>
        <v/>
      </c>
      <c r="I23" s="242">
        <f>MIN(H73,1.4/24)</f>
        <v/>
      </c>
      <c r="J23" s="242">
        <f>MIN(I73,1.4/24)</f>
        <v/>
      </c>
      <c r="K23" s="242">
        <f>MIN(J73,1.4/24)</f>
        <v/>
      </c>
      <c r="L23" s="242">
        <f>MIN(K73,1.4/24)</f>
        <v/>
      </c>
      <c r="M23" s="242">
        <f>MIN(L73,1.4/24)</f>
        <v/>
      </c>
      <c r="N23" s="242">
        <f>MIN(M73,1.4/24)</f>
        <v/>
      </c>
      <c r="O23" s="242">
        <f>MIN(N73,1.4/24)</f>
        <v/>
      </c>
      <c r="P23" s="242">
        <f>MIN(O73,1.4/24)</f>
        <v/>
      </c>
      <c r="Q23" s="242">
        <f>MIN(P73,1.4/24)</f>
        <v/>
      </c>
      <c r="R23" s="242">
        <f>MIN(Q73,1.4/24)</f>
        <v/>
      </c>
      <c r="S23" s="242">
        <f>MIN(R73,1.4/24)</f>
        <v/>
      </c>
      <c r="T23" s="242">
        <f>MIN(S73,1.4/24)</f>
        <v/>
      </c>
      <c r="U23" s="242">
        <f>MIN(T73,1.4/24)</f>
        <v/>
      </c>
      <c r="V23" s="242">
        <f>MIN(U73,1.4/24)</f>
        <v/>
      </c>
    </row>
    <row r="24">
      <c r="A24" s="165" t="inlineStr">
        <is>
          <t>Interest income</t>
        </is>
      </c>
      <c r="B24" s="165" t="inlineStr">
        <is>
          <t>$mm</t>
        </is>
      </c>
      <c r="C24" s="242">
        <f>'S&amp;U_Opening'!$B$15*1.0%/4</f>
        <v/>
      </c>
      <c r="D24" s="242">
        <f>C67*1.0%/4</f>
        <v/>
      </c>
      <c r="E24" s="242">
        <f>D67*1.0%/4</f>
        <v/>
      </c>
      <c r="F24" s="251">
        <f>E67*1.0%/4</f>
        <v/>
      </c>
      <c r="G24" s="252">
        <f>F67*1.0%/4</f>
        <v/>
      </c>
      <c r="H24" s="251">
        <f>G67*1.0%/4</f>
        <v/>
      </c>
      <c r="I24" s="242">
        <f>H67*1.0%/4</f>
        <v/>
      </c>
      <c r="J24" s="242">
        <f>I67*1.0%/4</f>
        <v/>
      </c>
      <c r="K24" s="242">
        <f>J67*1.0%/4</f>
        <v/>
      </c>
      <c r="L24" s="242">
        <f>K67*1.0%/4</f>
        <v/>
      </c>
      <c r="M24" s="242">
        <f>L67*1.0%/4</f>
        <v/>
      </c>
      <c r="N24" s="242">
        <f>M67*1.0%/4</f>
        <v/>
      </c>
      <c r="O24" s="242">
        <f>N67*1.0%/4</f>
        <v/>
      </c>
      <c r="P24" s="242">
        <f>O67*1.0%/4</f>
        <v/>
      </c>
      <c r="Q24" s="242">
        <f>P67*1.0%/4</f>
        <v/>
      </c>
      <c r="R24" s="242">
        <f>Q67*1.0%/4</f>
        <v/>
      </c>
      <c r="S24" s="242">
        <f>R67*1.0%/4</f>
        <v/>
      </c>
      <c r="T24" s="242">
        <f>S67*1.0%/4</f>
        <v/>
      </c>
      <c r="U24" s="242">
        <f>T67*1.0%/4</f>
        <v/>
      </c>
      <c r="V24" s="242">
        <f>U67*1.0%/4</f>
        <v/>
      </c>
    </row>
    <row r="25">
      <c r="A25" s="165" t="inlineStr">
        <is>
          <t>Pre-tax income</t>
        </is>
      </c>
      <c r="B25" s="165" t="inlineStr">
        <is>
          <t>$mm</t>
        </is>
      </c>
      <c r="C25" s="242">
        <f>C21+C22-C23+C24</f>
        <v/>
      </c>
      <c r="D25" s="242">
        <f>D21+D22-D23+D24</f>
        <v/>
      </c>
      <c r="E25" s="242">
        <f>E21+E22-E23+E24</f>
        <v/>
      </c>
      <c r="F25" s="251">
        <f>F21+F22-F23+F24</f>
        <v/>
      </c>
      <c r="G25" s="252">
        <f>G21+G22-G23+G24</f>
        <v/>
      </c>
      <c r="H25" s="251">
        <f>H21+H22-H23+H24</f>
        <v/>
      </c>
      <c r="I25" s="242">
        <f>I21+I22-I23+I24</f>
        <v/>
      </c>
      <c r="J25" s="242">
        <f>J21+J22-J23+J24</f>
        <v/>
      </c>
      <c r="K25" s="242">
        <f>K21+K22-K23+K24</f>
        <v/>
      </c>
      <c r="L25" s="242">
        <f>L21+L22-L23+L24</f>
        <v/>
      </c>
      <c r="M25" s="242">
        <f>M21+M22-M23+M24</f>
        <v/>
      </c>
      <c r="N25" s="242">
        <f>N21+N22-N23+N24</f>
        <v/>
      </c>
      <c r="O25" s="242">
        <f>O21+O22-O23+O24</f>
        <v/>
      </c>
      <c r="P25" s="242">
        <f>P21+P22-P23+P24</f>
        <v/>
      </c>
      <c r="Q25" s="242">
        <f>Q21+Q22-Q23+Q24</f>
        <v/>
      </c>
      <c r="R25" s="242">
        <f>R21+R22-R23+R24</f>
        <v/>
      </c>
      <c r="S25" s="242">
        <f>S21+S22-S23+S24</f>
        <v/>
      </c>
      <c r="T25" s="242">
        <f>T21+T22-T23+T24</f>
        <v/>
      </c>
      <c r="U25" s="242">
        <f>U21+U22-U23+U24</f>
        <v/>
      </c>
      <c r="V25" s="242">
        <f>V21+V22-V23+V24</f>
        <v/>
      </c>
    </row>
    <row r="26">
      <c r="A26" s="165" t="inlineStr">
        <is>
          <t>Book tax expense</t>
        </is>
      </c>
      <c r="B26" s="165" t="inlineStr">
        <is>
          <t>$mm</t>
        </is>
      </c>
      <c r="C26" s="242">
        <f>-MAX(0,C25*Inputs!$B$15)</f>
        <v/>
      </c>
      <c r="D26" s="242">
        <f>-MAX(0,D25*Inputs!$B$15)</f>
        <v/>
      </c>
      <c r="E26" s="242">
        <f>-MAX(0,E25*Inputs!$B$15)</f>
        <v/>
      </c>
      <c r="F26" s="251">
        <f>-MAX(0,F25*Inputs!$B$15)</f>
        <v/>
      </c>
      <c r="G26" s="252">
        <f>-MAX(0,G25*Inputs!$B$15)</f>
        <v/>
      </c>
      <c r="H26" s="251">
        <f>-MAX(0,H25*Inputs!$B$15)</f>
        <v/>
      </c>
      <c r="I26" s="242">
        <f>-MAX(0,I25*Inputs!$B$15)</f>
        <v/>
      </c>
      <c r="J26" s="242">
        <f>-MAX(0,J25*Inputs!$B$15)</f>
        <v/>
      </c>
      <c r="K26" s="242">
        <f>-MAX(0,K25*Inputs!$B$15)</f>
        <v/>
      </c>
      <c r="L26" s="242">
        <f>-MAX(0,L25*Inputs!$B$15)</f>
        <v/>
      </c>
      <c r="M26" s="242">
        <f>-MAX(0,M25*Inputs!$B$15)</f>
        <v/>
      </c>
      <c r="N26" s="242">
        <f>-MAX(0,N25*Inputs!$B$15)</f>
        <v/>
      </c>
      <c r="O26" s="242">
        <f>-MAX(0,O25*Inputs!$B$15)</f>
        <v/>
      </c>
      <c r="P26" s="242">
        <f>-MAX(0,P25*Inputs!$B$15)</f>
        <v/>
      </c>
      <c r="Q26" s="242">
        <f>-MAX(0,Q25*Inputs!$B$15)</f>
        <v/>
      </c>
      <c r="R26" s="242">
        <f>-MAX(0,R25*Inputs!$B$15)</f>
        <v/>
      </c>
      <c r="S26" s="242">
        <f>-MAX(0,S25*Inputs!$B$15)</f>
        <v/>
      </c>
      <c r="T26" s="242">
        <f>-MAX(0,T25*Inputs!$B$15)</f>
        <v/>
      </c>
      <c r="U26" s="242">
        <f>-MAX(0,U25*Inputs!$B$15)</f>
        <v/>
      </c>
      <c r="V26" s="242">
        <f>-MAX(0,V25*Inputs!$B$15)</f>
        <v/>
      </c>
    </row>
    <row r="27">
      <c r="A27" s="165" t="inlineStr">
        <is>
          <t>Cash taxes</t>
        </is>
      </c>
      <c r="B27" s="165" t="inlineStr">
        <is>
          <t>$mm</t>
        </is>
      </c>
      <c r="C27" s="242">
        <f>-MAX(0,(C116-0)*Inputs!$B$15)</f>
        <v/>
      </c>
      <c r="D27" s="242">
        <f>-MAX(0,(D116-C115)*Inputs!$B$15)</f>
        <v/>
      </c>
      <c r="E27" s="242">
        <f>-MAX(0,(E116-D115)*Inputs!$B$15)</f>
        <v/>
      </c>
      <c r="F27" s="251">
        <f>-MAX(0,(F116-E115)*Inputs!$B$15)</f>
        <v/>
      </c>
      <c r="G27" s="252">
        <f>-MAX(0,(G116-F115)*Inputs!$B$15)</f>
        <v/>
      </c>
      <c r="H27" s="251">
        <f>-MAX(0,(H116-G115)*Inputs!$B$15)</f>
        <v/>
      </c>
      <c r="I27" s="242">
        <f>-MAX(0,(I116-H115)*Inputs!$B$15)</f>
        <v/>
      </c>
      <c r="J27" s="242">
        <f>-MAX(0,(J116-I115)*Inputs!$B$15)</f>
        <v/>
      </c>
      <c r="K27" s="242">
        <f>-MAX(0,(K116-J115)*Inputs!$B$15)</f>
        <v/>
      </c>
      <c r="L27" s="242">
        <f>-MAX(0,(L116-K115)*Inputs!$B$15)</f>
        <v/>
      </c>
      <c r="M27" s="242">
        <f>-MAX(0,(M116-L115)*Inputs!$B$15)</f>
        <v/>
      </c>
      <c r="N27" s="242">
        <f>-MAX(0,(N116-M115)*Inputs!$B$15)</f>
        <v/>
      </c>
      <c r="O27" s="242">
        <f>-MAX(0,(O116-N115)*Inputs!$B$15)</f>
        <v/>
      </c>
      <c r="P27" s="242">
        <f>-MAX(0,(P116-O115)*Inputs!$B$15)</f>
        <v/>
      </c>
      <c r="Q27" s="242">
        <f>-MAX(0,(Q116-P115)*Inputs!$B$15)</f>
        <v/>
      </c>
      <c r="R27" s="242">
        <f>-MAX(0,(R116-Q115)*Inputs!$B$15)</f>
        <v/>
      </c>
      <c r="S27" s="242">
        <f>-MAX(0,(S116-R115)*Inputs!$B$15)</f>
        <v/>
      </c>
      <c r="T27" s="242">
        <f>-MAX(0,(T116-S115)*Inputs!$B$15)</f>
        <v/>
      </c>
      <c r="U27" s="242">
        <f>-MAX(0,(U116-T115)*Inputs!$B$15)</f>
        <v/>
      </c>
      <c r="V27" s="242">
        <f>-MAX(0,(V116-U115)*Inputs!$B$15)</f>
        <v/>
      </c>
    </row>
    <row r="28">
      <c r="A28" s="165" t="inlineStr">
        <is>
          <t>Net income</t>
        </is>
      </c>
      <c r="B28" s="165" t="inlineStr">
        <is>
          <t>$mm</t>
        </is>
      </c>
      <c r="C28" s="242">
        <f>C25+C26</f>
        <v/>
      </c>
      <c r="D28" s="242">
        <f>D25+D26</f>
        <v/>
      </c>
      <c r="E28" s="242">
        <f>E25+E26</f>
        <v/>
      </c>
      <c r="F28" s="251">
        <f>F25+F26</f>
        <v/>
      </c>
      <c r="G28" s="252">
        <f>G25+G26</f>
        <v/>
      </c>
      <c r="H28" s="251">
        <f>H25+H26</f>
        <v/>
      </c>
      <c r="I28" s="242">
        <f>I25+I26</f>
        <v/>
      </c>
      <c r="J28" s="242">
        <f>J25+J26</f>
        <v/>
      </c>
      <c r="K28" s="242">
        <f>K25+K26</f>
        <v/>
      </c>
      <c r="L28" s="242">
        <f>L25+L26</f>
        <v/>
      </c>
      <c r="M28" s="242">
        <f>M25+M26</f>
        <v/>
      </c>
      <c r="N28" s="242">
        <f>N25+N26</f>
        <v/>
      </c>
      <c r="O28" s="242">
        <f>O25+O26</f>
        <v/>
      </c>
      <c r="P28" s="242">
        <f>P25+P26</f>
        <v/>
      </c>
      <c r="Q28" s="242">
        <f>Q25+Q26</f>
        <v/>
      </c>
      <c r="R28" s="242">
        <f>R25+R26</f>
        <v/>
      </c>
      <c r="S28" s="242">
        <f>S25+S26</f>
        <v/>
      </c>
      <c r="T28" s="242">
        <f>T25+T26</f>
        <v/>
      </c>
      <c r="U28" s="242">
        <f>U25+U26</f>
        <v/>
      </c>
      <c r="V28" s="242">
        <f>V25+V26</f>
        <v/>
      </c>
    </row>
    <row r="29">
      <c r="A29" s="39" t="inlineStr">
        <is>
          <t>Working Capital and Capital Expenditure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>
      <c r="A30" s="165" t="inlineStr">
        <is>
          <t>Accounts receivable</t>
        </is>
      </c>
      <c r="B30" s="165" t="inlineStr">
        <is>
          <t>$mm</t>
        </is>
      </c>
      <c r="C30" s="242">
        <f>(C5/'Scenario_Drivers'!C172)*'Scenario_Drivers'!C146/365</f>
        <v/>
      </c>
      <c r="D30" s="242">
        <f>(D5/'Scenario_Drivers'!D172)*'Scenario_Drivers'!D146/365</f>
        <v/>
      </c>
      <c r="E30" s="242">
        <f>14.5</f>
        <v/>
      </c>
      <c r="F30" s="251">
        <f>15.2</f>
        <v/>
      </c>
      <c r="G30" s="252">
        <f>15.9</f>
        <v/>
      </c>
      <c r="H30" s="251">
        <f>(H5/'Scenario_Drivers'!H172)*'Scenario_Drivers'!H146/365</f>
        <v/>
      </c>
      <c r="I30" s="242">
        <f>(I5/'Scenario_Drivers'!I172)*'Scenario_Drivers'!I146/365</f>
        <v/>
      </c>
      <c r="J30" s="242">
        <f>(J5/'Scenario_Drivers'!J172)*'Scenario_Drivers'!J146/365</f>
        <v/>
      </c>
      <c r="K30" s="242">
        <f>(K5/'Scenario_Drivers'!K172)*'Scenario_Drivers'!K146/365</f>
        <v/>
      </c>
      <c r="L30" s="242">
        <f>(L5/'Scenario_Drivers'!L172)*'Scenario_Drivers'!L146/365</f>
        <v/>
      </c>
      <c r="M30" s="242">
        <f>(M5/'Scenario_Drivers'!M172)*'Scenario_Drivers'!M146/365</f>
        <v/>
      </c>
      <c r="N30" s="242">
        <f>(N5/'Scenario_Drivers'!N172)*'Scenario_Drivers'!N146/365</f>
        <v/>
      </c>
      <c r="O30" s="242">
        <f>(O5/'Scenario_Drivers'!O172)*'Scenario_Drivers'!O146/365</f>
        <v/>
      </c>
      <c r="P30" s="242">
        <f>(P5/'Scenario_Drivers'!P172)*'Scenario_Drivers'!P146/365</f>
        <v/>
      </c>
      <c r="Q30" s="242">
        <f>(Q5/'Scenario_Drivers'!Q172)*'Scenario_Drivers'!Q146/365</f>
        <v/>
      </c>
      <c r="R30" s="242">
        <f>(R5/'Scenario_Drivers'!R172)*'Scenario_Drivers'!R146/365</f>
        <v/>
      </c>
      <c r="S30" s="242">
        <f>(S5/'Scenario_Drivers'!S172)*'Scenario_Drivers'!S146/365</f>
        <v/>
      </c>
      <c r="T30" s="242">
        <f>(T5/'Scenario_Drivers'!T172)*'Scenario_Drivers'!T146/365</f>
        <v/>
      </c>
      <c r="U30" s="242">
        <f>(U5/'Scenario_Drivers'!U172)*'Scenario_Drivers'!U146/365</f>
        <v/>
      </c>
      <c r="V30" s="242">
        <f>(V5/'Scenario_Drivers'!V172)*'Scenario_Drivers'!V146/365</f>
        <v/>
      </c>
    </row>
    <row r="31">
      <c r="A31" s="165" t="inlineStr">
        <is>
          <t>Unbilled WIP</t>
        </is>
      </c>
      <c r="B31" s="165" t="inlineStr">
        <is>
          <t>$mm</t>
        </is>
      </c>
      <c r="C31" s="242">
        <f>(C5/'Scenario_Drivers'!C172)*'Scenario_Drivers'!C147</f>
        <v/>
      </c>
      <c r="D31" s="242">
        <f>(D5/'Scenario_Drivers'!D172)*'Scenario_Drivers'!D147</f>
        <v/>
      </c>
      <c r="E31" s="242">
        <f>6.4</f>
        <v/>
      </c>
      <c r="F31" s="251">
        <f>8.3</f>
        <v/>
      </c>
      <c r="G31" s="252">
        <f>9.1</f>
        <v/>
      </c>
      <c r="H31" s="251">
        <f>(H5/'Scenario_Drivers'!H172)*'Scenario_Drivers'!H147</f>
        <v/>
      </c>
      <c r="I31" s="242">
        <f>(I5/'Scenario_Drivers'!I172)*'Scenario_Drivers'!I147</f>
        <v/>
      </c>
      <c r="J31" s="242">
        <f>(J5/'Scenario_Drivers'!J172)*'Scenario_Drivers'!J147</f>
        <v/>
      </c>
      <c r="K31" s="242">
        <f>(K5/'Scenario_Drivers'!K172)*'Scenario_Drivers'!K147</f>
        <v/>
      </c>
      <c r="L31" s="242">
        <f>(L5/'Scenario_Drivers'!L172)*'Scenario_Drivers'!L147</f>
        <v/>
      </c>
      <c r="M31" s="242">
        <f>(M5/'Scenario_Drivers'!M172)*'Scenario_Drivers'!M147</f>
        <v/>
      </c>
      <c r="N31" s="242">
        <f>(N5/'Scenario_Drivers'!N172)*'Scenario_Drivers'!N147</f>
        <v/>
      </c>
      <c r="O31" s="242">
        <f>(O5/'Scenario_Drivers'!O172)*'Scenario_Drivers'!O147</f>
        <v/>
      </c>
      <c r="P31" s="242">
        <f>(P5/'Scenario_Drivers'!P172)*'Scenario_Drivers'!P147</f>
        <v/>
      </c>
      <c r="Q31" s="242">
        <f>(Q5/'Scenario_Drivers'!Q172)*'Scenario_Drivers'!Q147</f>
        <v/>
      </c>
      <c r="R31" s="242">
        <f>(R5/'Scenario_Drivers'!R172)*'Scenario_Drivers'!R147</f>
        <v/>
      </c>
      <c r="S31" s="242">
        <f>(S5/'Scenario_Drivers'!S172)*'Scenario_Drivers'!S147</f>
        <v/>
      </c>
      <c r="T31" s="242">
        <f>(T5/'Scenario_Drivers'!T172)*'Scenario_Drivers'!T147</f>
        <v/>
      </c>
      <c r="U31" s="242">
        <f>(U5/'Scenario_Drivers'!U172)*'Scenario_Drivers'!U147</f>
        <v/>
      </c>
      <c r="V31" s="242">
        <f>(V5/'Scenario_Drivers'!V172)*'Scenario_Drivers'!V147</f>
        <v/>
      </c>
    </row>
    <row r="32">
      <c r="A32" s="165" t="inlineStr">
        <is>
          <t>Prepaids</t>
        </is>
      </c>
      <c r="B32" s="165" t="inlineStr">
        <is>
          <t>$mm</t>
        </is>
      </c>
      <c r="C32" s="242">
        <f>(C5/'Scenario_Drivers'!C172)*'Scenario_Drivers'!C148</f>
        <v/>
      </c>
      <c r="D32" s="242">
        <f>(D5/'Scenario_Drivers'!D172)*'Scenario_Drivers'!D148</f>
        <v/>
      </c>
      <c r="E32" s="242">
        <f>1.0</f>
        <v/>
      </c>
      <c r="F32" s="251">
        <f>1.1</f>
        <v/>
      </c>
      <c r="G32" s="252">
        <f>1.2</f>
        <v/>
      </c>
      <c r="H32" s="251">
        <f>(H5/'Scenario_Drivers'!H172)*'Scenario_Drivers'!H148</f>
        <v/>
      </c>
      <c r="I32" s="242">
        <f>(I5/'Scenario_Drivers'!I172)*'Scenario_Drivers'!I148</f>
        <v/>
      </c>
      <c r="J32" s="242">
        <f>(J5/'Scenario_Drivers'!J172)*'Scenario_Drivers'!J148</f>
        <v/>
      </c>
      <c r="K32" s="242">
        <f>(K5/'Scenario_Drivers'!K172)*'Scenario_Drivers'!K148</f>
        <v/>
      </c>
      <c r="L32" s="242">
        <f>(L5/'Scenario_Drivers'!L172)*'Scenario_Drivers'!L148</f>
        <v/>
      </c>
      <c r="M32" s="242">
        <f>(M5/'Scenario_Drivers'!M172)*'Scenario_Drivers'!M148</f>
        <v/>
      </c>
      <c r="N32" s="242">
        <f>(N5/'Scenario_Drivers'!N172)*'Scenario_Drivers'!N148</f>
        <v/>
      </c>
      <c r="O32" s="242">
        <f>(O5/'Scenario_Drivers'!O172)*'Scenario_Drivers'!O148</f>
        <v/>
      </c>
      <c r="P32" s="242">
        <f>(P5/'Scenario_Drivers'!P172)*'Scenario_Drivers'!P148</f>
        <v/>
      </c>
      <c r="Q32" s="242">
        <f>(Q5/'Scenario_Drivers'!Q172)*'Scenario_Drivers'!Q148</f>
        <v/>
      </c>
      <c r="R32" s="242">
        <f>(R5/'Scenario_Drivers'!R172)*'Scenario_Drivers'!R148</f>
        <v/>
      </c>
      <c r="S32" s="242">
        <f>(S5/'Scenario_Drivers'!S172)*'Scenario_Drivers'!S148</f>
        <v/>
      </c>
      <c r="T32" s="242">
        <f>(T5/'Scenario_Drivers'!T172)*'Scenario_Drivers'!T148</f>
        <v/>
      </c>
      <c r="U32" s="242">
        <f>(U5/'Scenario_Drivers'!U172)*'Scenario_Drivers'!U148</f>
        <v/>
      </c>
      <c r="V32" s="242">
        <f>(V5/'Scenario_Drivers'!V172)*'Scenario_Drivers'!V148</f>
        <v/>
      </c>
    </row>
    <row r="33">
      <c r="A33" s="165" t="inlineStr">
        <is>
          <t>Accounts payable</t>
        </is>
      </c>
      <c r="B33" s="165" t="inlineStr">
        <is>
          <t>$mm</t>
        </is>
      </c>
      <c r="C33" s="242">
        <f>(C5/'Scenario_Drivers'!C172)*'Scenario_Drivers'!C149</f>
        <v/>
      </c>
      <c r="D33" s="242">
        <f>(D5/'Scenario_Drivers'!D172)*'Scenario_Drivers'!D149</f>
        <v/>
      </c>
      <c r="E33" s="242">
        <f>4.5</f>
        <v/>
      </c>
      <c r="F33" s="251">
        <f>4.6</f>
        <v/>
      </c>
      <c r="G33" s="252">
        <f>5.0</f>
        <v/>
      </c>
      <c r="H33" s="251">
        <f>(H5/'Scenario_Drivers'!H172)*'Scenario_Drivers'!H149</f>
        <v/>
      </c>
      <c r="I33" s="242">
        <f>(I5/'Scenario_Drivers'!I172)*'Scenario_Drivers'!I149</f>
        <v/>
      </c>
      <c r="J33" s="242">
        <f>(J5/'Scenario_Drivers'!J172)*'Scenario_Drivers'!J149</f>
        <v/>
      </c>
      <c r="K33" s="242">
        <f>(K5/'Scenario_Drivers'!K172)*'Scenario_Drivers'!K149</f>
        <v/>
      </c>
      <c r="L33" s="242">
        <f>(L5/'Scenario_Drivers'!L172)*'Scenario_Drivers'!L149</f>
        <v/>
      </c>
      <c r="M33" s="242">
        <f>(M5/'Scenario_Drivers'!M172)*'Scenario_Drivers'!M149</f>
        <v/>
      </c>
      <c r="N33" s="242">
        <f>(N5/'Scenario_Drivers'!N172)*'Scenario_Drivers'!N149</f>
        <v/>
      </c>
      <c r="O33" s="242">
        <f>(O5/'Scenario_Drivers'!O172)*'Scenario_Drivers'!O149</f>
        <v/>
      </c>
      <c r="P33" s="242">
        <f>(P5/'Scenario_Drivers'!P172)*'Scenario_Drivers'!P149</f>
        <v/>
      </c>
      <c r="Q33" s="242">
        <f>(Q5/'Scenario_Drivers'!Q172)*'Scenario_Drivers'!Q149</f>
        <v/>
      </c>
      <c r="R33" s="242">
        <f>(R5/'Scenario_Drivers'!R172)*'Scenario_Drivers'!R149</f>
        <v/>
      </c>
      <c r="S33" s="242">
        <f>(S5/'Scenario_Drivers'!S172)*'Scenario_Drivers'!S149</f>
        <v/>
      </c>
      <c r="T33" s="242">
        <f>(T5/'Scenario_Drivers'!T172)*'Scenario_Drivers'!T149</f>
        <v/>
      </c>
      <c r="U33" s="242">
        <f>(U5/'Scenario_Drivers'!U172)*'Scenario_Drivers'!U149</f>
        <v/>
      </c>
      <c r="V33" s="242">
        <f>(V5/'Scenario_Drivers'!V172)*'Scenario_Drivers'!V149</f>
        <v/>
      </c>
    </row>
    <row r="34">
      <c r="A34" s="165" t="inlineStr">
        <is>
          <t>Accrued liabilities</t>
        </is>
      </c>
      <c r="B34" s="165" t="inlineStr">
        <is>
          <t>$mm</t>
        </is>
      </c>
      <c r="C34" s="242">
        <f>(C5/'Scenario_Drivers'!C172)*'Scenario_Drivers'!C150</f>
        <v/>
      </c>
      <c r="D34" s="242">
        <f>(D5/'Scenario_Drivers'!D172)*'Scenario_Drivers'!D150</f>
        <v/>
      </c>
      <c r="E34" s="242">
        <f>6.0</f>
        <v/>
      </c>
      <c r="F34" s="251">
        <f>6.2</f>
        <v/>
      </c>
      <c r="G34" s="252">
        <f>7.179</f>
        <v/>
      </c>
      <c r="H34" s="251">
        <f>(H5/'Scenario_Drivers'!H172)*'Scenario_Drivers'!H150</f>
        <v/>
      </c>
      <c r="I34" s="242">
        <f>(I5/'Scenario_Drivers'!I172)*'Scenario_Drivers'!I150</f>
        <v/>
      </c>
      <c r="J34" s="242">
        <f>(J5/'Scenario_Drivers'!J172)*'Scenario_Drivers'!J150</f>
        <v/>
      </c>
      <c r="K34" s="242">
        <f>(K5/'Scenario_Drivers'!K172)*'Scenario_Drivers'!K150</f>
        <v/>
      </c>
      <c r="L34" s="242">
        <f>(L5/'Scenario_Drivers'!L172)*'Scenario_Drivers'!L150</f>
        <v/>
      </c>
      <c r="M34" s="242">
        <f>(M5/'Scenario_Drivers'!M172)*'Scenario_Drivers'!M150</f>
        <v/>
      </c>
      <c r="N34" s="242">
        <f>(N5/'Scenario_Drivers'!N172)*'Scenario_Drivers'!N150</f>
        <v/>
      </c>
      <c r="O34" s="242">
        <f>(O5/'Scenario_Drivers'!O172)*'Scenario_Drivers'!O150</f>
        <v/>
      </c>
      <c r="P34" s="242">
        <f>(P5/'Scenario_Drivers'!P172)*'Scenario_Drivers'!P150</f>
        <v/>
      </c>
      <c r="Q34" s="242">
        <f>(Q5/'Scenario_Drivers'!Q172)*'Scenario_Drivers'!Q150</f>
        <v/>
      </c>
      <c r="R34" s="242">
        <f>(R5/'Scenario_Drivers'!R172)*'Scenario_Drivers'!R150</f>
        <v/>
      </c>
      <c r="S34" s="242">
        <f>(S5/'Scenario_Drivers'!S172)*'Scenario_Drivers'!S150</f>
        <v/>
      </c>
      <c r="T34" s="242">
        <f>(T5/'Scenario_Drivers'!T172)*'Scenario_Drivers'!T150</f>
        <v/>
      </c>
      <c r="U34" s="242">
        <f>(U5/'Scenario_Drivers'!U172)*'Scenario_Drivers'!U150</f>
        <v/>
      </c>
      <c r="V34" s="242">
        <f>(V5/'Scenario_Drivers'!V172)*'Scenario_Drivers'!V150</f>
        <v/>
      </c>
    </row>
    <row r="35">
      <c r="A35" s="165" t="inlineStr">
        <is>
          <t>Deferred revenue</t>
        </is>
      </c>
      <c r="B35" s="165" t="inlineStr">
        <is>
          <t>$mm</t>
        </is>
      </c>
      <c r="C35" s="242">
        <f>(C5/'Scenario_Drivers'!C172)*'Scenario_Drivers'!C151</f>
        <v/>
      </c>
      <c r="D35" s="242">
        <f>(D5/'Scenario_Drivers'!D172)*'Scenario_Drivers'!D151</f>
        <v/>
      </c>
      <c r="E35" s="242">
        <f>1.0</f>
        <v/>
      </c>
      <c r="F35" s="251">
        <f>1.0</f>
        <v/>
      </c>
      <c r="G35" s="252">
        <f>1.1</f>
        <v/>
      </c>
      <c r="H35" s="251">
        <f>(H5/'Scenario_Drivers'!H172)*'Scenario_Drivers'!H151</f>
        <v/>
      </c>
      <c r="I35" s="242">
        <f>(I5/'Scenario_Drivers'!I172)*'Scenario_Drivers'!I151</f>
        <v/>
      </c>
      <c r="J35" s="242">
        <f>(J5/'Scenario_Drivers'!J172)*'Scenario_Drivers'!J151</f>
        <v/>
      </c>
      <c r="K35" s="242">
        <f>(K5/'Scenario_Drivers'!K172)*'Scenario_Drivers'!K151</f>
        <v/>
      </c>
      <c r="L35" s="242">
        <f>(L5/'Scenario_Drivers'!L172)*'Scenario_Drivers'!L151</f>
        <v/>
      </c>
      <c r="M35" s="242">
        <f>(M5/'Scenario_Drivers'!M172)*'Scenario_Drivers'!M151</f>
        <v/>
      </c>
      <c r="N35" s="242">
        <f>(N5/'Scenario_Drivers'!N172)*'Scenario_Drivers'!N151</f>
        <v/>
      </c>
      <c r="O35" s="242">
        <f>(O5/'Scenario_Drivers'!O172)*'Scenario_Drivers'!O151</f>
        <v/>
      </c>
      <c r="P35" s="242">
        <f>(P5/'Scenario_Drivers'!P172)*'Scenario_Drivers'!P151</f>
        <v/>
      </c>
      <c r="Q35" s="242">
        <f>(Q5/'Scenario_Drivers'!Q172)*'Scenario_Drivers'!Q151</f>
        <v/>
      </c>
      <c r="R35" s="242">
        <f>(R5/'Scenario_Drivers'!R172)*'Scenario_Drivers'!R151</f>
        <v/>
      </c>
      <c r="S35" s="242">
        <f>(S5/'Scenario_Drivers'!S172)*'Scenario_Drivers'!S151</f>
        <v/>
      </c>
      <c r="T35" s="242">
        <f>(T5/'Scenario_Drivers'!T172)*'Scenario_Drivers'!T151</f>
        <v/>
      </c>
      <c r="U35" s="242">
        <f>(U5/'Scenario_Drivers'!U172)*'Scenario_Drivers'!U151</f>
        <v/>
      </c>
      <c r="V35" s="242">
        <f>(V5/'Scenario_Drivers'!V172)*'Scenario_Drivers'!V151</f>
        <v/>
      </c>
    </row>
    <row r="36">
      <c r="A36" s="165" t="inlineStr">
        <is>
          <t>Operating NWC</t>
        </is>
      </c>
      <c r="B36" s="165" t="inlineStr">
        <is>
          <t>$mm</t>
        </is>
      </c>
      <c r="C36" s="242">
        <f>C30+C31+C32-C33-C34-C35</f>
        <v/>
      </c>
      <c r="D36" s="242">
        <f>D30+D31+D32-D33-D34-D35</f>
        <v/>
      </c>
      <c r="E36" s="242">
        <f>E30+E31+E32-E33-E34-E35</f>
        <v/>
      </c>
      <c r="F36" s="251">
        <f>F30+F31+F32-F33-F34-F35</f>
        <v/>
      </c>
      <c r="G36" s="252">
        <f>G30+G31+G32-G33-G34-G35</f>
        <v/>
      </c>
      <c r="H36" s="251">
        <f>H30+H31+H32-H33-H34-H35</f>
        <v/>
      </c>
      <c r="I36" s="242">
        <f>I30+I31+I32-I33-I34-I35</f>
        <v/>
      </c>
      <c r="J36" s="242">
        <f>J30+J31+J32-J33-J34-J35</f>
        <v/>
      </c>
      <c r="K36" s="242">
        <f>K30+K31+K32-K33-K34-K35</f>
        <v/>
      </c>
      <c r="L36" s="242">
        <f>L30+L31+L32-L33-L34-L35</f>
        <v/>
      </c>
      <c r="M36" s="242">
        <f>M30+M31+M32-M33-M34-M35</f>
        <v/>
      </c>
      <c r="N36" s="242">
        <f>N30+N31+N32-N33-N34-N35</f>
        <v/>
      </c>
      <c r="O36" s="242">
        <f>O30+O31+O32-O33-O34-O35</f>
        <v/>
      </c>
      <c r="P36" s="242">
        <f>P30+P31+P32-P33-P34-P35</f>
        <v/>
      </c>
      <c r="Q36" s="242">
        <f>Q30+Q31+Q32-Q33-Q34-Q35</f>
        <v/>
      </c>
      <c r="R36" s="242">
        <f>R30+R31+R32-R33-R34-R35</f>
        <v/>
      </c>
      <c r="S36" s="242">
        <f>S30+S31+S32-S33-S34-S35</f>
        <v/>
      </c>
      <c r="T36" s="242">
        <f>T30+T31+T32-T33-T34-T35</f>
        <v/>
      </c>
      <c r="U36" s="242">
        <f>U30+U31+U32-U33-U34-U35</f>
        <v/>
      </c>
      <c r="V36" s="242">
        <f>V30+V31+V32-V33-V34-V35</f>
        <v/>
      </c>
    </row>
    <row r="37">
      <c r="A37" s="165" t="inlineStr">
        <is>
          <t>Acquired NWC</t>
        </is>
      </c>
      <c r="B37" s="165" t="inlineStr">
        <is>
          <t>$mm</t>
        </is>
      </c>
      <c r="C37" s="239">
        <f>'Scenario_Drivers'!C153</f>
        <v/>
      </c>
      <c r="D37" s="239">
        <f>'Scenario_Drivers'!D153</f>
        <v/>
      </c>
      <c r="E37" s="239">
        <f>'Scenario_Drivers'!E153</f>
        <v/>
      </c>
      <c r="F37" s="245">
        <f>'Scenario_Drivers'!F153</f>
        <v/>
      </c>
      <c r="G37" s="246">
        <f>'Scenario_Drivers'!G153</f>
        <v/>
      </c>
      <c r="H37" s="245">
        <f>'Scenario_Drivers'!H153</f>
        <v/>
      </c>
      <c r="I37" s="239">
        <f>'Scenario_Drivers'!I153</f>
        <v/>
      </c>
      <c r="J37" s="239">
        <f>'Scenario_Drivers'!J153</f>
        <v/>
      </c>
      <c r="K37" s="239">
        <f>'Scenario_Drivers'!K153</f>
        <v/>
      </c>
      <c r="L37" s="239">
        <f>'Scenario_Drivers'!L153</f>
        <v/>
      </c>
      <c r="M37" s="239">
        <f>'Scenario_Drivers'!M153</f>
        <v/>
      </c>
      <c r="N37" s="239">
        <f>'Scenario_Drivers'!N153</f>
        <v/>
      </c>
      <c r="O37" s="239">
        <f>'Scenario_Drivers'!O153</f>
        <v/>
      </c>
      <c r="P37" s="239">
        <f>'Scenario_Drivers'!P153</f>
        <v/>
      </c>
      <c r="Q37" s="239">
        <f>'Scenario_Drivers'!Q153</f>
        <v/>
      </c>
      <c r="R37" s="239">
        <f>'Scenario_Drivers'!R153</f>
        <v/>
      </c>
      <c r="S37" s="239">
        <f>'Scenario_Drivers'!S153</f>
        <v/>
      </c>
      <c r="T37" s="239">
        <f>'Scenario_Drivers'!T153</f>
        <v/>
      </c>
      <c r="U37" s="239">
        <f>'Scenario_Drivers'!U153</f>
        <v/>
      </c>
      <c r="V37" s="239">
        <f>'Scenario_Drivers'!V153</f>
        <v/>
      </c>
    </row>
    <row r="38">
      <c r="A38" s="165" t="inlineStr">
        <is>
          <t>Organic change in NWC</t>
        </is>
      </c>
      <c r="B38" s="165" t="inlineStr">
        <is>
          <t>$mm</t>
        </is>
      </c>
      <c r="C38" s="242">
        <f>C36-('S&amp;U_Opening'!$B$16+'S&amp;U_Opening'!$B$17+'S&amp;U_Opening'!$B$18-'S&amp;U_Opening'!$E$15-'S&amp;U_Opening'!$E$16-'S&amp;U_Opening'!$E$17)-C37</f>
        <v/>
      </c>
      <c r="D38" s="242">
        <f>D36-(C36)-D37</f>
        <v/>
      </c>
      <c r="E38" s="242">
        <f>E36-(D36)-E37</f>
        <v/>
      </c>
      <c r="F38" s="251">
        <f>F36-(E36)-F37</f>
        <v/>
      </c>
      <c r="G38" s="252">
        <f>G36-(F36)-G37</f>
        <v/>
      </c>
      <c r="H38" s="251">
        <f>H36-(G36)-H37</f>
        <v/>
      </c>
      <c r="I38" s="242">
        <f>I36-(H36)-I37</f>
        <v/>
      </c>
      <c r="J38" s="242">
        <f>J36-(I36)-J37</f>
        <v/>
      </c>
      <c r="K38" s="242">
        <f>K36-(J36)-K37</f>
        <v/>
      </c>
      <c r="L38" s="242">
        <f>L36-(K36)-L37</f>
        <v/>
      </c>
      <c r="M38" s="242">
        <f>M36-(L36)-M37</f>
        <v/>
      </c>
      <c r="N38" s="242">
        <f>N36-(M36)-N37</f>
        <v/>
      </c>
      <c r="O38" s="242">
        <f>O36-(N36)-O37</f>
        <v/>
      </c>
      <c r="P38" s="242">
        <f>P36-(O36)-P37</f>
        <v/>
      </c>
      <c r="Q38" s="242">
        <f>Q36-(P36)-Q37</f>
        <v/>
      </c>
      <c r="R38" s="242">
        <f>R36-(Q36)-R37</f>
        <v/>
      </c>
      <c r="S38" s="242">
        <f>S36-(R36)-S37</f>
        <v/>
      </c>
      <c r="T38" s="242">
        <f>T36-(S36)-T37</f>
        <v/>
      </c>
      <c r="U38" s="242">
        <f>U36-(T36)-U37</f>
        <v/>
      </c>
      <c r="V38" s="242">
        <f>V36-(U36)-V37</f>
        <v/>
      </c>
    </row>
    <row r="39">
      <c r="A39" s="165" t="inlineStr">
        <is>
          <t>Maintenance capex</t>
        </is>
      </c>
      <c r="B39" s="165" t="inlineStr">
        <is>
          <t>$mm</t>
        </is>
      </c>
      <c r="C39" s="242">
        <f>C5*'Scenario_Drivers'!C152*Inputs!$B$18</f>
        <v/>
      </c>
      <c r="D39" s="242">
        <f>D5*'Scenario_Drivers'!D152*Inputs!$B$18</f>
        <v/>
      </c>
      <c r="E39" s="242">
        <f>E5*'Scenario_Drivers'!E152*Inputs!$B$18</f>
        <v/>
      </c>
      <c r="F39" s="251">
        <f>F5*'Scenario_Drivers'!F152*Inputs!$B$18</f>
        <v/>
      </c>
      <c r="G39" s="252">
        <f>G5*'Scenario_Drivers'!G152*Inputs!$B$18</f>
        <v/>
      </c>
      <c r="H39" s="251">
        <f>H5*'Scenario_Drivers'!H152*Inputs!$B$18</f>
        <v/>
      </c>
      <c r="I39" s="242">
        <f>I5*'Scenario_Drivers'!I152*Inputs!$B$18</f>
        <v/>
      </c>
      <c r="J39" s="242">
        <f>J5*'Scenario_Drivers'!J152*Inputs!$B$18</f>
        <v/>
      </c>
      <c r="K39" s="242">
        <f>K5*'Scenario_Drivers'!K152*Inputs!$B$18</f>
        <v/>
      </c>
      <c r="L39" s="242">
        <f>L5*'Scenario_Drivers'!L152*Inputs!$B$18</f>
        <v/>
      </c>
      <c r="M39" s="242">
        <f>M5*'Scenario_Drivers'!M152*Inputs!$B$18</f>
        <v/>
      </c>
      <c r="N39" s="242">
        <f>N5*'Scenario_Drivers'!N152*Inputs!$B$18</f>
        <v/>
      </c>
      <c r="O39" s="242">
        <f>O5*'Scenario_Drivers'!O152*Inputs!$B$18</f>
        <v/>
      </c>
      <c r="P39" s="242">
        <f>P5*'Scenario_Drivers'!P152*Inputs!$B$18</f>
        <v/>
      </c>
      <c r="Q39" s="242">
        <f>Q5*'Scenario_Drivers'!Q152*Inputs!$B$18</f>
        <v/>
      </c>
      <c r="R39" s="242">
        <f>R5*'Scenario_Drivers'!R152*Inputs!$B$18</f>
        <v/>
      </c>
      <c r="S39" s="242">
        <f>S5*'Scenario_Drivers'!S152*Inputs!$B$18</f>
        <v/>
      </c>
      <c r="T39" s="242">
        <f>T5*'Scenario_Drivers'!T152*Inputs!$B$18</f>
        <v/>
      </c>
      <c r="U39" s="242">
        <f>U5*'Scenario_Drivers'!U152*Inputs!$B$18</f>
        <v/>
      </c>
      <c r="V39" s="242">
        <f>V5*'Scenario_Drivers'!V152*Inputs!$B$18</f>
        <v/>
      </c>
    </row>
    <row r="40">
      <c r="A40" s="165" t="inlineStr">
        <is>
          <t>Growth capex</t>
        </is>
      </c>
      <c r="B40" s="165" t="inlineStr">
        <is>
          <t>$mm</t>
        </is>
      </c>
      <c r="C40" s="242">
        <f>C5*'Scenario_Drivers'!C152*(1-Inputs!$B$18)</f>
        <v/>
      </c>
      <c r="D40" s="242">
        <f>D5*'Scenario_Drivers'!D152*(1-Inputs!$B$18)</f>
        <v/>
      </c>
      <c r="E40" s="242">
        <f>E5*'Scenario_Drivers'!E152*(1-Inputs!$B$18)</f>
        <v/>
      </c>
      <c r="F40" s="251">
        <f>F5*'Scenario_Drivers'!F152*(1-Inputs!$B$18)</f>
        <v/>
      </c>
      <c r="G40" s="252">
        <f>G5*'Scenario_Drivers'!G152*(1-Inputs!$B$18)</f>
        <v/>
      </c>
      <c r="H40" s="251">
        <f>H5*'Scenario_Drivers'!H152*(1-Inputs!$B$18)</f>
        <v/>
      </c>
      <c r="I40" s="242">
        <f>I5*'Scenario_Drivers'!I152*(1-Inputs!$B$18)</f>
        <v/>
      </c>
      <c r="J40" s="242">
        <f>J5*'Scenario_Drivers'!J152*(1-Inputs!$B$18)</f>
        <v/>
      </c>
      <c r="K40" s="242">
        <f>K5*'Scenario_Drivers'!K152*(1-Inputs!$B$18)</f>
        <v/>
      </c>
      <c r="L40" s="242">
        <f>L5*'Scenario_Drivers'!L152*(1-Inputs!$B$18)</f>
        <v/>
      </c>
      <c r="M40" s="242">
        <f>M5*'Scenario_Drivers'!M152*(1-Inputs!$B$18)</f>
        <v/>
      </c>
      <c r="N40" s="242">
        <f>N5*'Scenario_Drivers'!N152*(1-Inputs!$B$18)</f>
        <v/>
      </c>
      <c r="O40" s="242">
        <f>O5*'Scenario_Drivers'!O152*(1-Inputs!$B$18)</f>
        <v/>
      </c>
      <c r="P40" s="242">
        <f>P5*'Scenario_Drivers'!P152*(1-Inputs!$B$18)</f>
        <v/>
      </c>
      <c r="Q40" s="242">
        <f>Q5*'Scenario_Drivers'!Q152*(1-Inputs!$B$18)</f>
        <v/>
      </c>
      <c r="R40" s="242">
        <f>R5*'Scenario_Drivers'!R152*(1-Inputs!$B$18)</f>
        <v/>
      </c>
      <c r="S40" s="242">
        <f>S5*'Scenario_Drivers'!S152*(1-Inputs!$B$18)</f>
        <v/>
      </c>
      <c r="T40" s="242">
        <f>T5*'Scenario_Drivers'!T152*(1-Inputs!$B$18)</f>
        <v/>
      </c>
      <c r="U40" s="242">
        <f>U5*'Scenario_Drivers'!U152*(1-Inputs!$B$18)</f>
        <v/>
      </c>
      <c r="V40" s="242">
        <f>V5*'Scenario_Drivers'!V152*(1-Inputs!$B$18)</f>
        <v/>
      </c>
    </row>
    <row r="41">
      <c r="A41" s="165" t="inlineStr">
        <is>
          <t>Total capex</t>
        </is>
      </c>
      <c r="B41" s="165" t="inlineStr">
        <is>
          <t>$mm</t>
        </is>
      </c>
      <c r="C41" s="242">
        <f>SUM(C39:C40)</f>
        <v/>
      </c>
      <c r="D41" s="242">
        <f>SUM(D39:D40)</f>
        <v/>
      </c>
      <c r="E41" s="242">
        <f>SUM(E39:E40)</f>
        <v/>
      </c>
      <c r="F41" s="251">
        <f>SUM(F39:F40)</f>
        <v/>
      </c>
      <c r="G41" s="252">
        <f>SUM(G39:G40)</f>
        <v/>
      </c>
      <c r="H41" s="251">
        <f>SUM(H39:H40)</f>
        <v/>
      </c>
      <c r="I41" s="242">
        <f>SUM(I39:I40)</f>
        <v/>
      </c>
      <c r="J41" s="242">
        <f>SUM(J39:J40)</f>
        <v/>
      </c>
      <c r="K41" s="242">
        <f>SUM(K39:K40)</f>
        <v/>
      </c>
      <c r="L41" s="242">
        <f>SUM(L39:L40)</f>
        <v/>
      </c>
      <c r="M41" s="242">
        <f>SUM(M39:M40)</f>
        <v/>
      </c>
      <c r="N41" s="242">
        <f>SUM(N39:N40)</f>
        <v/>
      </c>
      <c r="O41" s="242">
        <f>SUM(O39:O40)</f>
        <v/>
      </c>
      <c r="P41" s="242">
        <f>SUM(P39:P40)</f>
        <v/>
      </c>
      <c r="Q41" s="242">
        <f>SUM(Q39:Q40)</f>
        <v/>
      </c>
      <c r="R41" s="242">
        <f>SUM(R39:R40)</f>
        <v/>
      </c>
      <c r="S41" s="242">
        <f>SUM(S39:S40)</f>
        <v/>
      </c>
      <c r="T41" s="242">
        <f>SUM(T39:T40)</f>
        <v/>
      </c>
      <c r="U41" s="242">
        <f>SUM(U39:U40)</f>
        <v/>
      </c>
      <c r="V41" s="242">
        <f>SUM(V39:V40)</f>
        <v/>
      </c>
    </row>
    <row r="42">
      <c r="A42" s="165" t="inlineStr">
        <is>
          <t>Acquired PP&amp;E</t>
        </is>
      </c>
      <c r="B42" s="165" t="inlineStr">
        <is>
          <t>$mm</t>
        </is>
      </c>
      <c r="C42" s="239">
        <f>'Scenario_Drivers'!C154</f>
        <v/>
      </c>
      <c r="D42" s="239">
        <f>'Scenario_Drivers'!D154</f>
        <v/>
      </c>
      <c r="E42" s="239">
        <f>'Scenario_Drivers'!E154</f>
        <v/>
      </c>
      <c r="F42" s="245">
        <f>'Scenario_Drivers'!F154</f>
        <v/>
      </c>
      <c r="G42" s="246">
        <f>'Scenario_Drivers'!G154</f>
        <v/>
      </c>
      <c r="H42" s="245">
        <f>'Scenario_Drivers'!H154</f>
        <v/>
      </c>
      <c r="I42" s="239">
        <f>'Scenario_Drivers'!I154</f>
        <v/>
      </c>
      <c r="J42" s="239">
        <f>'Scenario_Drivers'!J154</f>
        <v/>
      </c>
      <c r="K42" s="239">
        <f>'Scenario_Drivers'!K154</f>
        <v/>
      </c>
      <c r="L42" s="239">
        <f>'Scenario_Drivers'!L154</f>
        <v/>
      </c>
      <c r="M42" s="239">
        <f>'Scenario_Drivers'!M154</f>
        <v/>
      </c>
      <c r="N42" s="239">
        <f>'Scenario_Drivers'!N154</f>
        <v/>
      </c>
      <c r="O42" s="239">
        <f>'Scenario_Drivers'!O154</f>
        <v/>
      </c>
      <c r="P42" s="239">
        <f>'Scenario_Drivers'!P154</f>
        <v/>
      </c>
      <c r="Q42" s="239">
        <f>'Scenario_Drivers'!Q154</f>
        <v/>
      </c>
      <c r="R42" s="239">
        <f>'Scenario_Drivers'!R154</f>
        <v/>
      </c>
      <c r="S42" s="239">
        <f>'Scenario_Drivers'!S154</f>
        <v/>
      </c>
      <c r="T42" s="239">
        <f>'Scenario_Drivers'!T154</f>
        <v/>
      </c>
      <c r="U42" s="239">
        <f>'Scenario_Drivers'!U154</f>
        <v/>
      </c>
      <c r="V42" s="239">
        <f>'Scenario_Drivers'!V154</f>
        <v/>
      </c>
    </row>
    <row r="43">
      <c r="A43" s="165" t="inlineStr">
        <is>
          <t>Acquisition EV</t>
        </is>
      </c>
      <c r="B43" s="165" t="inlineStr">
        <is>
          <t>$mm</t>
        </is>
      </c>
      <c r="C43" s="239">
        <f>'Scenario_Drivers'!C155</f>
        <v/>
      </c>
      <c r="D43" s="239">
        <f>'Scenario_Drivers'!D155</f>
        <v/>
      </c>
      <c r="E43" s="239">
        <f>'Scenario_Drivers'!E155</f>
        <v/>
      </c>
      <c r="F43" s="245">
        <f>'Scenario_Drivers'!F155</f>
        <v/>
      </c>
      <c r="G43" s="246">
        <f>'Scenario_Drivers'!G155</f>
        <v/>
      </c>
      <c r="H43" s="245">
        <f>'Scenario_Drivers'!H155</f>
        <v/>
      </c>
      <c r="I43" s="239">
        <f>'Scenario_Drivers'!I155</f>
        <v/>
      </c>
      <c r="J43" s="239">
        <f>'Scenario_Drivers'!J155</f>
        <v/>
      </c>
      <c r="K43" s="239">
        <f>'Scenario_Drivers'!K155</f>
        <v/>
      </c>
      <c r="L43" s="239">
        <f>'Scenario_Drivers'!L155</f>
        <v/>
      </c>
      <c r="M43" s="239">
        <f>'Scenario_Drivers'!M155</f>
        <v/>
      </c>
      <c r="N43" s="239">
        <f>'Scenario_Drivers'!N155</f>
        <v/>
      </c>
      <c r="O43" s="239">
        <f>'Scenario_Drivers'!O155</f>
        <v/>
      </c>
      <c r="P43" s="239">
        <f>'Scenario_Drivers'!P155</f>
        <v/>
      </c>
      <c r="Q43" s="239">
        <f>'Scenario_Drivers'!Q155</f>
        <v/>
      </c>
      <c r="R43" s="239">
        <f>'Scenario_Drivers'!R155</f>
        <v/>
      </c>
      <c r="S43" s="239">
        <f>'Scenario_Drivers'!S155</f>
        <v/>
      </c>
      <c r="T43" s="239">
        <f>'Scenario_Drivers'!T155</f>
        <v/>
      </c>
      <c r="U43" s="239">
        <f>'Scenario_Drivers'!U155</f>
        <v/>
      </c>
      <c r="V43" s="239">
        <f>'Scenario_Drivers'!V155</f>
        <v/>
      </c>
    </row>
    <row r="44">
      <c r="A44" s="165" t="inlineStr">
        <is>
          <t>Acquisition fees</t>
        </is>
      </c>
      <c r="B44" s="165" t="inlineStr">
        <is>
          <t>$mm</t>
        </is>
      </c>
      <c r="C44" s="239">
        <f>'Scenario_Drivers'!C156</f>
        <v/>
      </c>
      <c r="D44" s="239">
        <f>'Scenario_Drivers'!D156</f>
        <v/>
      </c>
      <c r="E44" s="239">
        <f>'Scenario_Drivers'!E156</f>
        <v/>
      </c>
      <c r="F44" s="245">
        <f>'Scenario_Drivers'!F156</f>
        <v/>
      </c>
      <c r="G44" s="246">
        <f>'Scenario_Drivers'!G156</f>
        <v/>
      </c>
      <c r="H44" s="245">
        <f>'Scenario_Drivers'!H156</f>
        <v/>
      </c>
      <c r="I44" s="239">
        <f>'Scenario_Drivers'!I156</f>
        <v/>
      </c>
      <c r="J44" s="239">
        <f>'Scenario_Drivers'!J156</f>
        <v/>
      </c>
      <c r="K44" s="239">
        <f>'Scenario_Drivers'!K156</f>
        <v/>
      </c>
      <c r="L44" s="239">
        <f>'Scenario_Drivers'!L156</f>
        <v/>
      </c>
      <c r="M44" s="239">
        <f>'Scenario_Drivers'!M156</f>
        <v/>
      </c>
      <c r="N44" s="239">
        <f>'Scenario_Drivers'!N156</f>
        <v/>
      </c>
      <c r="O44" s="239">
        <f>'Scenario_Drivers'!O156</f>
        <v/>
      </c>
      <c r="P44" s="239">
        <f>'Scenario_Drivers'!P156</f>
        <v/>
      </c>
      <c r="Q44" s="239">
        <f>'Scenario_Drivers'!Q156</f>
        <v/>
      </c>
      <c r="R44" s="239">
        <f>'Scenario_Drivers'!R156</f>
        <v/>
      </c>
      <c r="S44" s="239">
        <f>'Scenario_Drivers'!S156</f>
        <v/>
      </c>
      <c r="T44" s="239">
        <f>'Scenario_Drivers'!T156</f>
        <v/>
      </c>
      <c r="U44" s="239">
        <f>'Scenario_Drivers'!U156</f>
        <v/>
      </c>
      <c r="V44" s="239">
        <f>'Scenario_Drivers'!V156</f>
        <v/>
      </c>
    </row>
    <row r="45">
      <c r="A45" s="165" t="inlineStr">
        <is>
          <t>Capitalized integration spend</t>
        </is>
      </c>
      <c r="B45" s="165" t="inlineStr">
        <is>
          <t>$mm</t>
        </is>
      </c>
      <c r="C45" s="239">
        <f>'Scenario_Drivers'!C163</f>
        <v/>
      </c>
      <c r="D45" s="239">
        <f>'Scenario_Drivers'!D163</f>
        <v/>
      </c>
      <c r="E45" s="239">
        <f>'Scenario_Drivers'!E163</f>
        <v/>
      </c>
      <c r="F45" s="245">
        <f>'Scenario_Drivers'!F163</f>
        <v/>
      </c>
      <c r="G45" s="246">
        <f>'Scenario_Drivers'!G163</f>
        <v/>
      </c>
      <c r="H45" s="245">
        <f>'Scenario_Drivers'!H163</f>
        <v/>
      </c>
      <c r="I45" s="239">
        <f>'Scenario_Drivers'!I163</f>
        <v/>
      </c>
      <c r="J45" s="239">
        <f>'Scenario_Drivers'!J163</f>
        <v/>
      </c>
      <c r="K45" s="239">
        <f>'Scenario_Drivers'!K163</f>
        <v/>
      </c>
      <c r="L45" s="239">
        <f>'Scenario_Drivers'!L163</f>
        <v/>
      </c>
      <c r="M45" s="239">
        <f>'Scenario_Drivers'!M163</f>
        <v/>
      </c>
      <c r="N45" s="239">
        <f>'Scenario_Drivers'!N163</f>
        <v/>
      </c>
      <c r="O45" s="239">
        <f>'Scenario_Drivers'!O163</f>
        <v/>
      </c>
      <c r="P45" s="239">
        <f>'Scenario_Drivers'!P163</f>
        <v/>
      </c>
      <c r="Q45" s="239">
        <f>'Scenario_Drivers'!Q163</f>
        <v/>
      </c>
      <c r="R45" s="239">
        <f>'Scenario_Drivers'!R163</f>
        <v/>
      </c>
      <c r="S45" s="239">
        <f>'Scenario_Drivers'!S163</f>
        <v/>
      </c>
      <c r="T45" s="239">
        <f>'Scenario_Drivers'!T163</f>
        <v/>
      </c>
      <c r="U45" s="239">
        <f>'Scenario_Drivers'!U163</f>
        <v/>
      </c>
      <c r="V45" s="239">
        <f>'Scenario_Drivers'!V163</f>
        <v/>
      </c>
    </row>
    <row r="46">
      <c r="A46" s="39" t="inlineStr">
        <is>
          <t>Cash Flow Statement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</row>
    <row r="47">
      <c r="A47" s="165" t="inlineStr">
        <is>
          <t>Net income - CF</t>
        </is>
      </c>
      <c r="B47" s="165" t="inlineStr">
        <is>
          <t>$mm</t>
        </is>
      </c>
      <c r="C47" s="242">
        <f>C28</f>
        <v/>
      </c>
      <c r="D47" s="242">
        <f>D28</f>
        <v/>
      </c>
      <c r="E47" s="242">
        <f>E28</f>
        <v/>
      </c>
      <c r="F47" s="251">
        <f>F28</f>
        <v/>
      </c>
      <c r="G47" s="252">
        <f>G28</f>
        <v/>
      </c>
      <c r="H47" s="251">
        <f>H28</f>
        <v/>
      </c>
      <c r="I47" s="242">
        <f>I28</f>
        <v/>
      </c>
      <c r="J47" s="242">
        <f>J28</f>
        <v/>
      </c>
      <c r="K47" s="242">
        <f>K28</f>
        <v/>
      </c>
      <c r="L47" s="242">
        <f>L28</f>
        <v/>
      </c>
      <c r="M47" s="242">
        <f>M28</f>
        <v/>
      </c>
      <c r="N47" s="242">
        <f>N28</f>
        <v/>
      </c>
      <c r="O47" s="242">
        <f>O28</f>
        <v/>
      </c>
      <c r="P47" s="242">
        <f>P28</f>
        <v/>
      </c>
      <c r="Q47" s="242">
        <f>Q28</f>
        <v/>
      </c>
      <c r="R47" s="242">
        <f>R28</f>
        <v/>
      </c>
      <c r="S47" s="242">
        <f>S28</f>
        <v/>
      </c>
      <c r="T47" s="242">
        <f>T28</f>
        <v/>
      </c>
      <c r="U47" s="242">
        <f>U28</f>
        <v/>
      </c>
      <c r="V47" s="242">
        <f>V28</f>
        <v/>
      </c>
    </row>
    <row r="48">
      <c r="A48" s="165" t="inlineStr">
        <is>
          <t>Total D&amp;A - CF</t>
        </is>
      </c>
      <c r="B48" s="165" t="inlineStr">
        <is>
          <t>$mm</t>
        </is>
      </c>
      <c r="C48" s="242">
        <f>C20</f>
        <v/>
      </c>
      <c r="D48" s="242">
        <f>D20</f>
        <v/>
      </c>
      <c r="E48" s="242">
        <f>E20</f>
        <v/>
      </c>
      <c r="F48" s="251">
        <f>F20</f>
        <v/>
      </c>
      <c r="G48" s="252">
        <f>G20</f>
        <v/>
      </c>
      <c r="H48" s="251">
        <f>H20</f>
        <v/>
      </c>
      <c r="I48" s="242">
        <f>I20</f>
        <v/>
      </c>
      <c r="J48" s="242">
        <f>J20</f>
        <v/>
      </c>
      <c r="K48" s="242">
        <f>K20</f>
        <v/>
      </c>
      <c r="L48" s="242">
        <f>L20</f>
        <v/>
      </c>
      <c r="M48" s="242">
        <f>M20</f>
        <v/>
      </c>
      <c r="N48" s="242">
        <f>N20</f>
        <v/>
      </c>
      <c r="O48" s="242">
        <f>O20</f>
        <v/>
      </c>
      <c r="P48" s="242">
        <f>P20</f>
        <v/>
      </c>
      <c r="Q48" s="242">
        <f>Q20</f>
        <v/>
      </c>
      <c r="R48" s="242">
        <f>R20</f>
        <v/>
      </c>
      <c r="S48" s="242">
        <f>S20</f>
        <v/>
      </c>
      <c r="T48" s="242">
        <f>T20</f>
        <v/>
      </c>
      <c r="U48" s="242">
        <f>U20</f>
        <v/>
      </c>
      <c r="V48" s="242">
        <f>V20</f>
        <v/>
      </c>
    </row>
    <row r="49">
      <c r="A49" s="165" t="inlineStr">
        <is>
          <t>Financing fee amortization - CF</t>
        </is>
      </c>
      <c r="B49" s="165" t="inlineStr">
        <is>
          <t>$mm</t>
        </is>
      </c>
      <c r="C49" s="242">
        <f>C23</f>
        <v/>
      </c>
      <c r="D49" s="242">
        <f>D23</f>
        <v/>
      </c>
      <c r="E49" s="242">
        <f>E23</f>
        <v/>
      </c>
      <c r="F49" s="251">
        <f>F23</f>
        <v/>
      </c>
      <c r="G49" s="252">
        <f>G23</f>
        <v/>
      </c>
      <c r="H49" s="251">
        <f>H23</f>
        <v/>
      </c>
      <c r="I49" s="242">
        <f>I23</f>
        <v/>
      </c>
      <c r="J49" s="242">
        <f>J23</f>
        <v/>
      </c>
      <c r="K49" s="242">
        <f>K23</f>
        <v/>
      </c>
      <c r="L49" s="242">
        <f>L23</f>
        <v/>
      </c>
      <c r="M49" s="242">
        <f>M23</f>
        <v/>
      </c>
      <c r="N49" s="242">
        <f>N23</f>
        <v/>
      </c>
      <c r="O49" s="242">
        <f>O23</f>
        <v/>
      </c>
      <c r="P49" s="242">
        <f>P23</f>
        <v/>
      </c>
      <c r="Q49" s="242">
        <f>Q23</f>
        <v/>
      </c>
      <c r="R49" s="242">
        <f>R23</f>
        <v/>
      </c>
      <c r="S49" s="242">
        <f>S23</f>
        <v/>
      </c>
      <c r="T49" s="242">
        <f>T23</f>
        <v/>
      </c>
      <c r="U49" s="242">
        <f>U23</f>
        <v/>
      </c>
      <c r="V49" s="242">
        <f>V23</f>
        <v/>
      </c>
    </row>
    <row r="50">
      <c r="A50" s="165" t="inlineStr">
        <is>
          <t>Deferred tax / non-cash tax</t>
        </is>
      </c>
      <c r="B50" s="165" t="inlineStr">
        <is>
          <t>$mm</t>
        </is>
      </c>
      <c r="C50" s="242">
        <f>-C26+C27</f>
        <v/>
      </c>
      <c r="D50" s="242">
        <f>-D26+D27</f>
        <v/>
      </c>
      <c r="E50" s="242">
        <f>-E26+E27</f>
        <v/>
      </c>
      <c r="F50" s="251">
        <f>-F26+F27</f>
        <v/>
      </c>
      <c r="G50" s="252">
        <f>-G26+G27</f>
        <v/>
      </c>
      <c r="H50" s="251">
        <f>-H26+H27</f>
        <v/>
      </c>
      <c r="I50" s="242">
        <f>-I26+I27</f>
        <v/>
      </c>
      <c r="J50" s="242">
        <f>-J26+J27</f>
        <v/>
      </c>
      <c r="K50" s="242">
        <f>-K26+K27</f>
        <v/>
      </c>
      <c r="L50" s="242">
        <f>-L26+L27</f>
        <v/>
      </c>
      <c r="M50" s="242">
        <f>-M26+M27</f>
        <v/>
      </c>
      <c r="N50" s="242">
        <f>-N26+N27</f>
        <v/>
      </c>
      <c r="O50" s="242">
        <f>-O26+O27</f>
        <v/>
      </c>
      <c r="P50" s="242">
        <f>-P26+P27</f>
        <v/>
      </c>
      <c r="Q50" s="242">
        <f>-Q26+Q27</f>
        <v/>
      </c>
      <c r="R50" s="242">
        <f>-R26+R27</f>
        <v/>
      </c>
      <c r="S50" s="242">
        <f>-S26+S27</f>
        <v/>
      </c>
      <c r="T50" s="242">
        <f>-T26+T27</f>
        <v/>
      </c>
      <c r="U50" s="242">
        <f>-U26+U27</f>
        <v/>
      </c>
      <c r="V50" s="242">
        <f>-V26+V27</f>
        <v/>
      </c>
    </row>
    <row r="51">
      <c r="A51" s="165" t="inlineStr">
        <is>
          <t>Change in NWC - CF</t>
        </is>
      </c>
      <c r="B51" s="165" t="inlineStr">
        <is>
          <t>$mm</t>
        </is>
      </c>
      <c r="C51" s="242">
        <f>-C38</f>
        <v/>
      </c>
      <c r="D51" s="242">
        <f>-D38</f>
        <v/>
      </c>
      <c r="E51" s="242">
        <f>-E38</f>
        <v/>
      </c>
      <c r="F51" s="251">
        <f>-F38</f>
        <v/>
      </c>
      <c r="G51" s="252">
        <f>-G38</f>
        <v/>
      </c>
      <c r="H51" s="251">
        <f>-H38</f>
        <v/>
      </c>
      <c r="I51" s="242">
        <f>-I38</f>
        <v/>
      </c>
      <c r="J51" s="242">
        <f>-J38</f>
        <v/>
      </c>
      <c r="K51" s="242">
        <f>-K38</f>
        <v/>
      </c>
      <c r="L51" s="242">
        <f>-L38</f>
        <v/>
      </c>
      <c r="M51" s="242">
        <f>-M38</f>
        <v/>
      </c>
      <c r="N51" s="242">
        <f>-N38</f>
        <v/>
      </c>
      <c r="O51" s="242">
        <f>-O38</f>
        <v/>
      </c>
      <c r="P51" s="242">
        <f>-P38</f>
        <v/>
      </c>
      <c r="Q51" s="242">
        <f>-Q38</f>
        <v/>
      </c>
      <c r="R51" s="242">
        <f>-R38</f>
        <v/>
      </c>
      <c r="S51" s="242">
        <f>-S38</f>
        <v/>
      </c>
      <c r="T51" s="242">
        <f>-T38</f>
        <v/>
      </c>
      <c r="U51" s="242">
        <f>-U38</f>
        <v/>
      </c>
      <c r="V51" s="242">
        <f>-V38</f>
        <v/>
      </c>
    </row>
    <row r="52">
      <c r="A52" s="165" t="inlineStr">
        <is>
          <t>Cash from operations</t>
        </is>
      </c>
      <c r="B52" s="165" t="inlineStr">
        <is>
          <t>$mm</t>
        </is>
      </c>
      <c r="C52" s="242">
        <f>SUM(C47:C51)</f>
        <v/>
      </c>
      <c r="D52" s="242">
        <f>SUM(D47:D51)</f>
        <v/>
      </c>
      <c r="E52" s="242">
        <f>SUM(E47:E51)</f>
        <v/>
      </c>
      <c r="F52" s="251">
        <f>SUM(F47:F51)</f>
        <v/>
      </c>
      <c r="G52" s="252">
        <f>SUM(G47:G51)</f>
        <v/>
      </c>
      <c r="H52" s="251">
        <f>SUM(H47:H51)</f>
        <v/>
      </c>
      <c r="I52" s="242">
        <f>SUM(I47:I51)</f>
        <v/>
      </c>
      <c r="J52" s="242">
        <f>SUM(J47:J51)</f>
        <v/>
      </c>
      <c r="K52" s="242">
        <f>SUM(K47:K51)</f>
        <v/>
      </c>
      <c r="L52" s="242">
        <f>SUM(L47:L51)</f>
        <v/>
      </c>
      <c r="M52" s="242">
        <f>SUM(M47:M51)</f>
        <v/>
      </c>
      <c r="N52" s="242">
        <f>SUM(N47:N51)</f>
        <v/>
      </c>
      <c r="O52" s="242">
        <f>SUM(O47:O51)</f>
        <v/>
      </c>
      <c r="P52" s="242">
        <f>SUM(P47:P51)</f>
        <v/>
      </c>
      <c r="Q52" s="242">
        <f>SUM(Q47:Q51)</f>
        <v/>
      </c>
      <c r="R52" s="242">
        <f>SUM(R47:R51)</f>
        <v/>
      </c>
      <c r="S52" s="242">
        <f>SUM(S47:S51)</f>
        <v/>
      </c>
      <c r="T52" s="242">
        <f>SUM(T47:T51)</f>
        <v/>
      </c>
      <c r="U52" s="242">
        <f>SUM(U47:U51)</f>
        <v/>
      </c>
      <c r="V52" s="242">
        <f>SUM(V47:V51)</f>
        <v/>
      </c>
    </row>
    <row r="53">
      <c r="A53" s="165" t="inlineStr">
        <is>
          <t>Capital expenditure - CF</t>
        </is>
      </c>
      <c r="B53" s="165" t="inlineStr">
        <is>
          <t>$mm</t>
        </is>
      </c>
      <c r="C53" s="242">
        <f>-C41</f>
        <v/>
      </c>
      <c r="D53" s="242">
        <f>-D41</f>
        <v/>
      </c>
      <c r="E53" s="242">
        <f>-E41</f>
        <v/>
      </c>
      <c r="F53" s="251">
        <f>-F41</f>
        <v/>
      </c>
      <c r="G53" s="252">
        <f>-G41</f>
        <v/>
      </c>
      <c r="H53" s="251">
        <f>-H41</f>
        <v/>
      </c>
      <c r="I53" s="242">
        <f>-I41</f>
        <v/>
      </c>
      <c r="J53" s="242">
        <f>-J41</f>
        <v/>
      </c>
      <c r="K53" s="242">
        <f>-K41</f>
        <v/>
      </c>
      <c r="L53" s="242">
        <f>-L41</f>
        <v/>
      </c>
      <c r="M53" s="242">
        <f>-M41</f>
        <v/>
      </c>
      <c r="N53" s="242">
        <f>-N41</f>
        <v/>
      </c>
      <c r="O53" s="242">
        <f>-O41</f>
        <v/>
      </c>
      <c r="P53" s="242">
        <f>-P41</f>
        <v/>
      </c>
      <c r="Q53" s="242">
        <f>-Q41</f>
        <v/>
      </c>
      <c r="R53" s="242">
        <f>-R41</f>
        <v/>
      </c>
      <c r="S53" s="242">
        <f>-S41</f>
        <v/>
      </c>
      <c r="T53" s="242">
        <f>-T41</f>
        <v/>
      </c>
      <c r="U53" s="242">
        <f>-U41</f>
        <v/>
      </c>
      <c r="V53" s="242">
        <f>-V41</f>
        <v/>
      </c>
    </row>
    <row r="54">
      <c r="A54" s="165" t="inlineStr">
        <is>
          <t>Acquisition EV - CF</t>
        </is>
      </c>
      <c r="B54" s="165" t="inlineStr">
        <is>
          <t>$mm</t>
        </is>
      </c>
      <c r="C54" s="242">
        <f>-C43</f>
        <v/>
      </c>
      <c r="D54" s="242">
        <f>-D43</f>
        <v/>
      </c>
      <c r="E54" s="242">
        <f>-E43</f>
        <v/>
      </c>
      <c r="F54" s="251">
        <f>-F43</f>
        <v/>
      </c>
      <c r="G54" s="252">
        <f>-G43</f>
        <v/>
      </c>
      <c r="H54" s="251">
        <f>-H43</f>
        <v/>
      </c>
      <c r="I54" s="242">
        <f>-I43</f>
        <v/>
      </c>
      <c r="J54" s="242">
        <f>-J43</f>
        <v/>
      </c>
      <c r="K54" s="242">
        <f>-K43</f>
        <v/>
      </c>
      <c r="L54" s="242">
        <f>-L43</f>
        <v/>
      </c>
      <c r="M54" s="242">
        <f>-M43</f>
        <v/>
      </c>
      <c r="N54" s="242">
        <f>-N43</f>
        <v/>
      </c>
      <c r="O54" s="242">
        <f>-O43</f>
        <v/>
      </c>
      <c r="P54" s="242">
        <f>-P43</f>
        <v/>
      </c>
      <c r="Q54" s="242">
        <f>-Q43</f>
        <v/>
      </c>
      <c r="R54" s="242">
        <f>-R43</f>
        <v/>
      </c>
      <c r="S54" s="242">
        <f>-S43</f>
        <v/>
      </c>
      <c r="T54" s="242">
        <f>-T43</f>
        <v/>
      </c>
      <c r="U54" s="242">
        <f>-U43</f>
        <v/>
      </c>
      <c r="V54" s="242">
        <f>-V43</f>
        <v/>
      </c>
    </row>
    <row r="55">
      <c r="A55" s="165" t="inlineStr">
        <is>
          <t>Capitalized integration spend - CF</t>
        </is>
      </c>
      <c r="B55" s="165" t="inlineStr">
        <is>
          <t>$mm</t>
        </is>
      </c>
      <c r="C55" s="242">
        <f>-C45</f>
        <v/>
      </c>
      <c r="D55" s="242">
        <f>-D45</f>
        <v/>
      </c>
      <c r="E55" s="242">
        <f>-E45</f>
        <v/>
      </c>
      <c r="F55" s="251">
        <f>-F45</f>
        <v/>
      </c>
      <c r="G55" s="252">
        <f>-G45</f>
        <v/>
      </c>
      <c r="H55" s="251">
        <f>-H45</f>
        <v/>
      </c>
      <c r="I55" s="242">
        <f>-I45</f>
        <v/>
      </c>
      <c r="J55" s="242">
        <f>-J45</f>
        <v/>
      </c>
      <c r="K55" s="242">
        <f>-K45</f>
        <v/>
      </c>
      <c r="L55" s="242">
        <f>-L45</f>
        <v/>
      </c>
      <c r="M55" s="242">
        <f>-M45</f>
        <v/>
      </c>
      <c r="N55" s="242">
        <f>-N45</f>
        <v/>
      </c>
      <c r="O55" s="242">
        <f>-O45</f>
        <v/>
      </c>
      <c r="P55" s="242">
        <f>-P45</f>
        <v/>
      </c>
      <c r="Q55" s="242">
        <f>-Q45</f>
        <v/>
      </c>
      <c r="R55" s="242">
        <f>-R45</f>
        <v/>
      </c>
      <c r="S55" s="242">
        <f>-S45</f>
        <v/>
      </c>
      <c r="T55" s="242">
        <f>-T45</f>
        <v/>
      </c>
      <c r="U55" s="242">
        <f>-U45</f>
        <v/>
      </c>
      <c r="V55" s="242">
        <f>-V45</f>
        <v/>
      </c>
    </row>
    <row r="56">
      <c r="A56" s="165" t="inlineStr">
        <is>
          <t>Cash from investing</t>
        </is>
      </c>
      <c r="B56" s="165" t="inlineStr">
        <is>
          <t>$mm</t>
        </is>
      </c>
      <c r="C56" s="242">
        <f>SUM(C53:C55)</f>
        <v/>
      </c>
      <c r="D56" s="242">
        <f>SUM(D53:D55)</f>
        <v/>
      </c>
      <c r="E56" s="242">
        <f>SUM(E53:E55)</f>
        <v/>
      </c>
      <c r="F56" s="251">
        <f>SUM(F53:F55)</f>
        <v/>
      </c>
      <c r="G56" s="252">
        <f>SUM(G53:G55)</f>
        <v/>
      </c>
      <c r="H56" s="251">
        <f>SUM(H53:H55)</f>
        <v/>
      </c>
      <c r="I56" s="242">
        <f>SUM(I53:I55)</f>
        <v/>
      </c>
      <c r="J56" s="242">
        <f>SUM(J53:J55)</f>
        <v/>
      </c>
      <c r="K56" s="242">
        <f>SUM(K53:K55)</f>
        <v/>
      </c>
      <c r="L56" s="242">
        <f>SUM(L53:L55)</f>
        <v/>
      </c>
      <c r="M56" s="242">
        <f>SUM(M53:M55)</f>
        <v/>
      </c>
      <c r="N56" s="242">
        <f>SUM(N53:N55)</f>
        <v/>
      </c>
      <c r="O56" s="242">
        <f>SUM(O53:O55)</f>
        <v/>
      </c>
      <c r="P56" s="242">
        <f>SUM(P53:P55)</f>
        <v/>
      </c>
      <c r="Q56" s="242">
        <f>SUM(Q53:Q55)</f>
        <v/>
      </c>
      <c r="R56" s="242">
        <f>SUM(R53:R55)</f>
        <v/>
      </c>
      <c r="S56" s="242">
        <f>SUM(S53:S55)</f>
        <v/>
      </c>
      <c r="T56" s="242">
        <f>SUM(T53:T55)</f>
        <v/>
      </c>
      <c r="U56" s="242">
        <f>SUM(U53:U55)</f>
        <v/>
      </c>
      <c r="V56" s="242">
        <f>SUM(V53:V55)</f>
        <v/>
      </c>
    </row>
    <row r="57">
      <c r="A57" s="165" t="inlineStr">
        <is>
          <t>Sponsor equity contribution</t>
        </is>
      </c>
      <c r="B57" s="165" t="inlineStr">
        <is>
          <t>$mm</t>
        </is>
      </c>
      <c r="C57" s="239">
        <f>'Scenario_Drivers'!C162</f>
        <v/>
      </c>
      <c r="D57" s="239">
        <f>'Scenario_Drivers'!D162</f>
        <v/>
      </c>
      <c r="E57" s="239">
        <f>'Scenario_Drivers'!E162</f>
        <v/>
      </c>
      <c r="F57" s="245">
        <f>'Scenario_Drivers'!F162</f>
        <v/>
      </c>
      <c r="G57" s="246">
        <f>'Scenario_Drivers'!G162</f>
        <v/>
      </c>
      <c r="H57" s="245">
        <f>'Scenario_Drivers'!H162</f>
        <v/>
      </c>
      <c r="I57" s="239">
        <f>'Scenario_Drivers'!I162</f>
        <v/>
      </c>
      <c r="J57" s="239">
        <f>'Scenario_Drivers'!J162</f>
        <v/>
      </c>
      <c r="K57" s="239">
        <f>'Scenario_Drivers'!K162</f>
        <v/>
      </c>
      <c r="L57" s="239">
        <f>'Scenario_Drivers'!L162</f>
        <v/>
      </c>
      <c r="M57" s="239">
        <f>'Scenario_Drivers'!M162</f>
        <v/>
      </c>
      <c r="N57" s="239">
        <f>'Scenario_Drivers'!N162</f>
        <v/>
      </c>
      <c r="O57" s="239">
        <f>'Scenario_Drivers'!O162</f>
        <v/>
      </c>
      <c r="P57" s="239">
        <f>'Scenario_Drivers'!P162</f>
        <v/>
      </c>
      <c r="Q57" s="239">
        <f>'Scenario_Drivers'!Q162</f>
        <v/>
      </c>
      <c r="R57" s="239">
        <f>'Scenario_Drivers'!R162</f>
        <v/>
      </c>
      <c r="S57" s="239">
        <f>'Scenario_Drivers'!S162</f>
        <v/>
      </c>
      <c r="T57" s="239">
        <f>'Scenario_Drivers'!T162</f>
        <v/>
      </c>
      <c r="U57" s="239">
        <f>'Scenario_Drivers'!U162</f>
        <v/>
      </c>
      <c r="V57" s="239">
        <f>'Scenario_Drivers'!V162</f>
        <v/>
      </c>
    </row>
    <row r="58">
      <c r="A58" s="165" t="inlineStr">
        <is>
          <t>DDTL draw</t>
        </is>
      </c>
      <c r="B58" s="165" t="inlineStr">
        <is>
          <t>$mm</t>
        </is>
      </c>
      <c r="C58" s="239">
        <f>'Scenario_Drivers'!C161</f>
        <v/>
      </c>
      <c r="D58" s="239">
        <f>'Scenario_Drivers'!D161</f>
        <v/>
      </c>
      <c r="E58" s="239">
        <f>'Scenario_Drivers'!E161</f>
        <v/>
      </c>
      <c r="F58" s="245">
        <f>'Scenario_Drivers'!F161</f>
        <v/>
      </c>
      <c r="G58" s="246">
        <f>'Scenario_Drivers'!G161</f>
        <v/>
      </c>
      <c r="H58" s="245">
        <f>'Scenario_Drivers'!H161</f>
        <v/>
      </c>
      <c r="I58" s="239">
        <f>'Scenario_Drivers'!I161</f>
        <v/>
      </c>
      <c r="J58" s="239">
        <f>'Scenario_Drivers'!J161</f>
        <v/>
      </c>
      <c r="K58" s="239">
        <f>'Scenario_Drivers'!K161</f>
        <v/>
      </c>
      <c r="L58" s="239">
        <f>'Scenario_Drivers'!L161</f>
        <v/>
      </c>
      <c r="M58" s="239">
        <f>'Scenario_Drivers'!M161</f>
        <v/>
      </c>
      <c r="N58" s="239">
        <f>'Scenario_Drivers'!N161</f>
        <v/>
      </c>
      <c r="O58" s="239">
        <f>'Scenario_Drivers'!O161</f>
        <v/>
      </c>
      <c r="P58" s="239">
        <f>'Scenario_Drivers'!P161</f>
        <v/>
      </c>
      <c r="Q58" s="239">
        <f>'Scenario_Drivers'!Q161</f>
        <v/>
      </c>
      <c r="R58" s="239">
        <f>'Scenario_Drivers'!R161</f>
        <v/>
      </c>
      <c r="S58" s="239">
        <f>'Scenario_Drivers'!S161</f>
        <v/>
      </c>
      <c r="T58" s="239">
        <f>'Scenario_Drivers'!T161</f>
        <v/>
      </c>
      <c r="U58" s="239">
        <f>'Scenario_Drivers'!U161</f>
        <v/>
      </c>
      <c r="V58" s="239">
        <f>'Scenario_Drivers'!V161</f>
        <v/>
      </c>
    </row>
    <row r="59">
      <c r="A59" s="165" t="inlineStr">
        <is>
          <t>Revolver draw</t>
        </is>
      </c>
      <c r="B59" s="165" t="inlineStr">
        <is>
          <t>$mm</t>
        </is>
      </c>
      <c r="C59" s="242">
        <f>IF('Scenario_Drivers'!C166&gt;=0,MAX(0,'Scenario_Drivers'!C166-0),IF('S&amp;U_Opening'!$B$15+C52+C56+C57+C58+C61+C62&lt;'Scenario_Drivers'!C165,MIN((MAX(0,Inputs!$B$20-'Scenario_Drivers'!C164))-0,'Scenario_Drivers'!C165-('S&amp;U_Opening'!$B$15+C52+C56+C57+C58+C61+C62)),0))</f>
        <v/>
      </c>
      <c r="D59" s="242">
        <f>IF('Scenario_Drivers'!D166&gt;=0,MAX(0,'Scenario_Drivers'!D166-C78),IF(C67+D52+D56+D57+D58+D61+D62&lt;'Scenario_Drivers'!D165,MIN((MAX(0,Inputs!$B$20-'Scenario_Drivers'!D164))-C78,'Scenario_Drivers'!D165-(C67+D52+D56+D57+D58+D61+D62)),0))</f>
        <v/>
      </c>
      <c r="E59" s="242">
        <f>IF('Scenario_Drivers'!E166&gt;=0,MAX(0,'Scenario_Drivers'!E166-D78),IF(D67+E52+E56+E57+E58+E61+E62&lt;'Scenario_Drivers'!E165,MIN((MAX(0,Inputs!$B$20-'Scenario_Drivers'!E164))-D78,'Scenario_Drivers'!E165-(D67+E52+E56+E57+E58+E61+E62)),0))</f>
        <v/>
      </c>
      <c r="F59" s="251">
        <f>IF('Scenario_Drivers'!F166&gt;=0,MAX(0,'Scenario_Drivers'!F166-E78),IF(E67+F52+F56+F57+F58+F61+F62&lt;'Scenario_Drivers'!F165,MIN((MAX(0,Inputs!$B$20-'Scenario_Drivers'!F164))-E78,'Scenario_Drivers'!F165-(E67+F52+F56+F57+F58+F61+F62)),0))</f>
        <v/>
      </c>
      <c r="G59" s="252">
        <f>IF('Scenario_Drivers'!G166&gt;=0,MAX(0,'Scenario_Drivers'!G166-F78),IF(F67+G52+G56+G57+G58+G61+G62&lt;'Scenario_Drivers'!G165,MIN((MAX(0,Inputs!$B$20-'Scenario_Drivers'!G164))-F78,'Scenario_Drivers'!G165-(F67+G52+G56+G57+G58+G61+G62)),0))</f>
        <v/>
      </c>
      <c r="H59" s="251">
        <f>IF('Scenario_Drivers'!H166&gt;=0,MAX(0,'Scenario_Drivers'!H166-G78),IF(G67+H52+H56+H57+H58+H61+H62&lt;'Scenario_Drivers'!H165,MIN((MAX(0,Inputs!$B$20-'Scenario_Drivers'!H164))-G78,'Scenario_Drivers'!H165-(G67+H52+H56+H57+H58+H61+H62)),0))</f>
        <v/>
      </c>
      <c r="I59" s="242">
        <f>IF('Scenario_Drivers'!I166&gt;=0,MAX(0,'Scenario_Drivers'!I166-H78),IF(H67+I52+I56+I57+I58+I61+I62&lt;'Scenario_Drivers'!I165,MIN((MAX(0,Inputs!$B$20-'Scenario_Drivers'!I164))-H78,'Scenario_Drivers'!I165-(H67+I52+I56+I57+I58+I61+I62)),0))</f>
        <v/>
      </c>
      <c r="J59" s="242">
        <f>IF('Scenario_Drivers'!J166&gt;=0,MAX(0,'Scenario_Drivers'!J166-I78),IF(I67+J52+J56+J57+J58+J61+J62&lt;'Scenario_Drivers'!J165,MIN((MAX(0,Inputs!$B$20-'Scenario_Drivers'!J164))-I78,'Scenario_Drivers'!J165-(I67+J52+J56+J57+J58+J61+J62)),0))</f>
        <v/>
      </c>
      <c r="K59" s="242">
        <f>IF('Scenario_Drivers'!K166&gt;=0,MAX(0,'Scenario_Drivers'!K166-J78),IF(J67+K52+K56+K57+K58+K61+K62&lt;'Scenario_Drivers'!K165,MIN((MAX(0,Inputs!$B$20-'Scenario_Drivers'!K164))-J78,'Scenario_Drivers'!K165-(J67+K52+K56+K57+K58+K61+K62)),0))</f>
        <v/>
      </c>
      <c r="L59" s="242">
        <f>IF('Scenario_Drivers'!L166&gt;=0,MAX(0,'Scenario_Drivers'!L166-K78),IF(K67+L52+L56+L57+L58+L61+L62&lt;'Scenario_Drivers'!L165,MIN((MAX(0,Inputs!$B$20-'Scenario_Drivers'!L164))-K78,'Scenario_Drivers'!L165-(K67+L52+L56+L57+L58+L61+L62)),0))</f>
        <v/>
      </c>
      <c r="M59" s="242">
        <f>IF('Scenario_Drivers'!M166&gt;=0,MAX(0,'Scenario_Drivers'!M166-L78),IF(L67+M52+M56+M57+M58+M61+M62&lt;'Scenario_Drivers'!M165,MIN((MAX(0,Inputs!$B$20-'Scenario_Drivers'!M164))-L78,'Scenario_Drivers'!M165-(L67+M52+M56+M57+M58+M61+M62)),0))</f>
        <v/>
      </c>
      <c r="N59" s="242">
        <f>IF('Scenario_Drivers'!N166&gt;=0,MAX(0,'Scenario_Drivers'!N166-M78),IF(M67+N52+N56+N57+N58+N61+N62&lt;'Scenario_Drivers'!N165,MIN((MAX(0,Inputs!$B$20-'Scenario_Drivers'!N164))-M78,'Scenario_Drivers'!N165-(M67+N52+N56+N57+N58+N61+N62)),0))</f>
        <v/>
      </c>
      <c r="O59" s="242">
        <f>IF('Scenario_Drivers'!O166&gt;=0,MAX(0,'Scenario_Drivers'!O166-N78),IF(N67+O52+O56+O57+O58+O61+O62&lt;'Scenario_Drivers'!O165,MIN((MAX(0,Inputs!$B$20-'Scenario_Drivers'!O164))-N78,'Scenario_Drivers'!O165-(N67+O52+O56+O57+O58+O61+O62)),0))</f>
        <v/>
      </c>
      <c r="P59" s="242">
        <f>IF('Scenario_Drivers'!P166&gt;=0,MAX(0,'Scenario_Drivers'!P166-O78),IF(O67+P52+P56+P57+P58+P61+P62&lt;'Scenario_Drivers'!P165,MIN((MAX(0,Inputs!$B$20-'Scenario_Drivers'!P164))-O78,'Scenario_Drivers'!P165-(O67+P52+P56+P57+P58+P61+P62)),0))</f>
        <v/>
      </c>
      <c r="Q59" s="242">
        <f>IF('Scenario_Drivers'!Q166&gt;=0,MAX(0,'Scenario_Drivers'!Q166-P78),IF(P67+Q52+Q56+Q57+Q58+Q61+Q62&lt;'Scenario_Drivers'!Q165,MIN((MAX(0,Inputs!$B$20-'Scenario_Drivers'!Q164))-P78,'Scenario_Drivers'!Q165-(P67+Q52+Q56+Q57+Q58+Q61+Q62)),0))</f>
        <v/>
      </c>
      <c r="R59" s="242">
        <f>IF('Scenario_Drivers'!R166&gt;=0,MAX(0,'Scenario_Drivers'!R166-Q78),IF(Q67+R52+R56+R57+R58+R61+R62&lt;'Scenario_Drivers'!R165,MIN((MAX(0,Inputs!$B$20-'Scenario_Drivers'!R164))-Q78,'Scenario_Drivers'!R165-(Q67+R52+R56+R57+R58+R61+R62)),0))</f>
        <v/>
      </c>
      <c r="S59" s="242">
        <f>IF('Scenario_Drivers'!S166&gt;=0,MAX(0,'Scenario_Drivers'!S166-R78),IF(R67+S52+S56+S57+S58+S61+S62&lt;'Scenario_Drivers'!S165,MIN((MAX(0,Inputs!$B$20-'Scenario_Drivers'!S164))-R78,'Scenario_Drivers'!S165-(R67+S52+S56+S57+S58+S61+S62)),0))</f>
        <v/>
      </c>
      <c r="T59" s="242">
        <f>IF('Scenario_Drivers'!T166&gt;=0,MAX(0,'Scenario_Drivers'!T166-S78),IF(S67+T52+T56+T57+T58+T61+T62&lt;'Scenario_Drivers'!T165,MIN((MAX(0,Inputs!$B$20-'Scenario_Drivers'!T164))-S78,'Scenario_Drivers'!T165-(S67+T52+T56+T57+T58+T61+T62)),0))</f>
        <v/>
      </c>
      <c r="U59" s="242">
        <f>IF('Scenario_Drivers'!U166&gt;=0,MAX(0,'Scenario_Drivers'!U166-T78),IF(T67+U52+U56+U57+U58+U61+U62&lt;'Scenario_Drivers'!U165,MIN((MAX(0,Inputs!$B$20-'Scenario_Drivers'!U164))-T78,'Scenario_Drivers'!U165-(T67+U52+U56+U57+U58+U61+U62)),0))</f>
        <v/>
      </c>
      <c r="V59" s="242">
        <f>IF('Scenario_Drivers'!V166&gt;=0,MAX(0,'Scenario_Drivers'!V166-U78),IF(U67+V52+V56+V57+V58+V61+V62&lt;'Scenario_Drivers'!V165,MIN((MAX(0,Inputs!$B$20-'Scenario_Drivers'!V164))-U78,'Scenario_Drivers'!V165-(U67+V52+V56+V57+V58+V61+V62)),0))</f>
        <v/>
      </c>
    </row>
    <row r="60">
      <c r="A60" s="165" t="inlineStr">
        <is>
          <t>Revolver repayment</t>
        </is>
      </c>
      <c r="B60" s="165" t="inlineStr">
        <is>
          <t>$mm</t>
        </is>
      </c>
      <c r="C60" s="242">
        <f>-(IF('Scenario_Drivers'!C167=1,0,IF('Scenario_Drivers'!C166&gt;=0,MAX(0,0-'Scenario_Drivers'!C166),IF('S&amp;U_Opening'!$B$15+C52+C56+C57+C58+C61+C62&gt;'Scenario_Drivers'!C165,MIN(0,('S&amp;U_Opening'!$B$15+C52+C56+C57+C58+C61+C62)-'Scenario_Drivers'!C165),0))))</f>
        <v/>
      </c>
      <c r="D60" s="242">
        <f>-(IF('Scenario_Drivers'!D167=1,C78,IF('Scenario_Drivers'!D166&gt;=0,MAX(0,C78-'Scenario_Drivers'!D166),IF(C67+D52+D56+D57+D58+D61+D62&gt;'Scenario_Drivers'!D165,MIN(C78,(C67+D52+D56+D57+D58+D61+D62)-'Scenario_Drivers'!D165),0))))</f>
        <v/>
      </c>
      <c r="E60" s="242">
        <f>-(IF('Scenario_Drivers'!E167=1,D78,IF('Scenario_Drivers'!E166&gt;=0,MAX(0,D78-'Scenario_Drivers'!E166),IF(D67+E52+E56+E57+E58+E61+E62&gt;'Scenario_Drivers'!E165,MIN(D78,(D67+E52+E56+E57+E58+E61+E62)-'Scenario_Drivers'!E165),0))))</f>
        <v/>
      </c>
      <c r="F60" s="251">
        <f>-(IF('Scenario_Drivers'!F167=1,E78,IF('Scenario_Drivers'!F166&gt;=0,MAX(0,E78-'Scenario_Drivers'!F166),IF(E67+F52+F56+F57+F58+F61+F62&gt;'Scenario_Drivers'!F165,MIN(E78,(E67+F52+F56+F57+F58+F61+F62)-'Scenario_Drivers'!F165),0))))</f>
        <v/>
      </c>
      <c r="G60" s="252">
        <f>-(IF('Scenario_Drivers'!G167=1,F78,IF('Scenario_Drivers'!G166&gt;=0,MAX(0,F78-'Scenario_Drivers'!G166),IF(F67+G52+G56+G57+G58+G61+G62&gt;'Scenario_Drivers'!G165,MIN(F78,(F67+G52+G56+G57+G58+G61+G62)-'Scenario_Drivers'!G165),0))))</f>
        <v/>
      </c>
      <c r="H60" s="251">
        <f>-(IF('Scenario_Drivers'!H167=1,G78,IF('Scenario_Drivers'!H166&gt;=0,MAX(0,G78-'Scenario_Drivers'!H166),IF(G67+H52+H56+H57+H58+H61+H62&gt;'Scenario_Drivers'!H165,MIN(G78,(G67+H52+H56+H57+H58+H61+H62)-'Scenario_Drivers'!H165),0))))</f>
        <v/>
      </c>
      <c r="I60" s="242">
        <f>-(IF('Scenario_Drivers'!I167=1,H78,IF('Scenario_Drivers'!I166&gt;=0,MAX(0,H78-'Scenario_Drivers'!I166),IF(H67+I52+I56+I57+I58+I61+I62&gt;'Scenario_Drivers'!I165,MIN(H78,(H67+I52+I56+I57+I58+I61+I62)-'Scenario_Drivers'!I165),0))))</f>
        <v/>
      </c>
      <c r="J60" s="242">
        <f>-(IF('Scenario_Drivers'!J167=1,I78,IF('Scenario_Drivers'!J166&gt;=0,MAX(0,I78-'Scenario_Drivers'!J166),IF(I67+J52+J56+J57+J58+J61+J62&gt;'Scenario_Drivers'!J165,MIN(I78,(I67+J52+J56+J57+J58+J61+J62)-'Scenario_Drivers'!J165),0))))</f>
        <v/>
      </c>
      <c r="K60" s="242">
        <f>-(IF('Scenario_Drivers'!K167=1,J78,IF('Scenario_Drivers'!K166&gt;=0,MAX(0,J78-'Scenario_Drivers'!K166),IF(J67+K52+K56+K57+K58+K61+K62&gt;'Scenario_Drivers'!K165,MIN(J78,(J67+K52+K56+K57+K58+K61+K62)-'Scenario_Drivers'!K165),0))))</f>
        <v/>
      </c>
      <c r="L60" s="242">
        <f>-(IF('Scenario_Drivers'!L167=1,K78,IF('Scenario_Drivers'!L166&gt;=0,MAX(0,K78-'Scenario_Drivers'!L166),IF(K67+L52+L56+L57+L58+L61+L62&gt;'Scenario_Drivers'!L165,MIN(K78,(K67+L52+L56+L57+L58+L61+L62)-'Scenario_Drivers'!L165),0))))</f>
        <v/>
      </c>
      <c r="M60" s="242">
        <f>-(IF('Scenario_Drivers'!M167=1,L78,IF('Scenario_Drivers'!M166&gt;=0,MAX(0,L78-'Scenario_Drivers'!M166),IF(L67+M52+M56+M57+M58+M61+M62&gt;'Scenario_Drivers'!M165,MIN(L78,(L67+M52+M56+M57+M58+M61+M62)-'Scenario_Drivers'!M165),0))))</f>
        <v/>
      </c>
      <c r="N60" s="242">
        <f>-(IF('Scenario_Drivers'!N167=1,M78,IF('Scenario_Drivers'!N166&gt;=0,MAX(0,M78-'Scenario_Drivers'!N166),IF(M67+N52+N56+N57+N58+N61+N62&gt;'Scenario_Drivers'!N165,MIN(M78,(M67+N52+N56+N57+N58+N61+N62)-'Scenario_Drivers'!N165),0))))</f>
        <v/>
      </c>
      <c r="O60" s="242">
        <f>-(IF('Scenario_Drivers'!O167=1,N78,IF('Scenario_Drivers'!O166&gt;=0,MAX(0,N78-'Scenario_Drivers'!O166),IF(N67+O52+O56+O57+O58+O61+O62&gt;'Scenario_Drivers'!O165,MIN(N78,(N67+O52+O56+O57+O58+O61+O62)-'Scenario_Drivers'!O165),0))))</f>
        <v/>
      </c>
      <c r="P60" s="242">
        <f>-(IF('Scenario_Drivers'!P167=1,O78,IF('Scenario_Drivers'!P166&gt;=0,MAX(0,O78-'Scenario_Drivers'!P166),IF(O67+P52+P56+P57+P58+P61+P62&gt;'Scenario_Drivers'!P165,MIN(O78,(O67+P52+P56+P57+P58+P61+P62)-'Scenario_Drivers'!P165),0))))</f>
        <v/>
      </c>
      <c r="Q60" s="242">
        <f>-(IF('Scenario_Drivers'!Q167=1,P78,IF('Scenario_Drivers'!Q166&gt;=0,MAX(0,P78-'Scenario_Drivers'!Q166),IF(P67+Q52+Q56+Q57+Q58+Q61+Q62&gt;'Scenario_Drivers'!Q165,MIN(P78,(P67+Q52+Q56+Q57+Q58+Q61+Q62)-'Scenario_Drivers'!Q165),0))))</f>
        <v/>
      </c>
      <c r="R60" s="242">
        <f>-(IF('Scenario_Drivers'!R167=1,Q78,IF('Scenario_Drivers'!R166&gt;=0,MAX(0,Q78-'Scenario_Drivers'!R166),IF(Q67+R52+R56+R57+R58+R61+R62&gt;'Scenario_Drivers'!R165,MIN(Q78,(Q67+R52+R56+R57+R58+R61+R62)-'Scenario_Drivers'!R165),0))))</f>
        <v/>
      </c>
      <c r="S60" s="242">
        <f>-(IF('Scenario_Drivers'!S167=1,R78,IF('Scenario_Drivers'!S166&gt;=0,MAX(0,R78-'Scenario_Drivers'!S166),IF(R67+S52+S56+S57+S58+S61+S62&gt;'Scenario_Drivers'!S165,MIN(R78,(R67+S52+S56+S57+S58+S61+S62)-'Scenario_Drivers'!S165),0))))</f>
        <v/>
      </c>
      <c r="T60" s="242">
        <f>-(IF('Scenario_Drivers'!T167=1,S78,IF('Scenario_Drivers'!T166&gt;=0,MAX(0,S78-'Scenario_Drivers'!T166),IF(S67+T52+T56+T57+T58+T61+T62&gt;'Scenario_Drivers'!T165,MIN(S78,(S67+T52+T56+T57+T58+T61+T62)-'Scenario_Drivers'!T165),0))))</f>
        <v/>
      </c>
      <c r="U60" s="242">
        <f>-(IF('Scenario_Drivers'!U167=1,T78,IF('Scenario_Drivers'!U166&gt;=0,MAX(0,T78-'Scenario_Drivers'!U166),IF(T67+U52+U56+U57+U58+U61+U62&gt;'Scenario_Drivers'!U165,MIN(T78,(T67+U52+U56+U57+U58+U61+U62)-'Scenario_Drivers'!U165),0))))</f>
        <v/>
      </c>
      <c r="V60" s="242">
        <f>-(IF('Scenario_Drivers'!V167=1,U78,IF('Scenario_Drivers'!V166&gt;=0,MAX(0,U78-'Scenario_Drivers'!V166),IF(U67+V52+V56+V57+V58+V61+V62&gt;'Scenario_Drivers'!V165,MIN(U78,(U67+V52+V56+V57+V58+V61+V62)-'Scenario_Drivers'!V165),0))))</f>
        <v/>
      </c>
    </row>
    <row r="61">
      <c r="A61" s="165" t="inlineStr">
        <is>
          <t>Scheduled term amortization</t>
        </is>
      </c>
      <c r="B61" s="165" t="inlineStr">
        <is>
          <t>$mm</t>
        </is>
      </c>
      <c r="C61" s="242">
        <f>-(MIN(0.107,'S&amp;U_Opening'!$E$18))</f>
        <v/>
      </c>
      <c r="D61" s="242">
        <f>-(MIN(0.107,C76))</f>
        <v/>
      </c>
      <c r="E61" s="242">
        <f>-(MIN(0.107,D76))</f>
        <v/>
      </c>
      <c r="F61" s="251">
        <f>-(MIN(0.107,E76))</f>
        <v/>
      </c>
      <c r="G61" s="252">
        <f>-(MIN(0.107,F76))</f>
        <v/>
      </c>
      <c r="H61" s="251">
        <f>-(MIN(0.107,G76))</f>
        <v/>
      </c>
      <c r="I61" s="242">
        <f>-(MIN(0.107,H76))</f>
        <v/>
      </c>
      <c r="J61" s="242">
        <f>-(MIN(0.107,I76))</f>
        <v/>
      </c>
      <c r="K61" s="242">
        <f>-(MIN(0.107,J76))</f>
        <v/>
      </c>
      <c r="L61" s="242">
        <f>-(MIN(0.107,K76))</f>
        <v/>
      </c>
      <c r="M61" s="242">
        <f>-(MIN(0.107,L76))</f>
        <v/>
      </c>
      <c r="N61" s="242">
        <f>-(MIN(0.107,M76))</f>
        <v/>
      </c>
      <c r="O61" s="242">
        <f>-(MIN(0.107,N76))</f>
        <v/>
      </c>
      <c r="P61" s="242">
        <f>-(MIN(0.107,O76))</f>
        <v/>
      </c>
      <c r="Q61" s="242">
        <f>-(MIN(0.107,P76))</f>
        <v/>
      </c>
      <c r="R61" s="242">
        <f>-(MIN(0.107,Q76))</f>
        <v/>
      </c>
      <c r="S61" s="242">
        <f>-(MIN(0.107,R76))</f>
        <v/>
      </c>
      <c r="T61" s="242">
        <f>-(MIN(0.107,S76))</f>
        <v/>
      </c>
      <c r="U61" s="242">
        <f>-(MIN(0.107,T76))</f>
        <v/>
      </c>
      <c r="V61" s="242">
        <f>-(MIN(0.107,U76))</f>
        <v/>
      </c>
    </row>
    <row r="62">
      <c r="A62" s="165" t="inlineStr">
        <is>
          <t>Scheduled DDTL amortization</t>
        </is>
      </c>
      <c r="B62" s="165" t="inlineStr">
        <is>
          <t>$mm</t>
        </is>
      </c>
      <c r="C62" s="242">
        <f>-(IF(0&gt;0,MIN(0.015,0),0))</f>
        <v/>
      </c>
      <c r="D62" s="242">
        <f>-(IF(C77&gt;0,MIN(0.015,C77),0))</f>
        <v/>
      </c>
      <c r="E62" s="242">
        <f>-(IF(D77&gt;0,MIN(0.015,D77),0))</f>
        <v/>
      </c>
      <c r="F62" s="251">
        <f>-(IF(E77&gt;0,MIN(0.015,E77),0))</f>
        <v/>
      </c>
      <c r="G62" s="252">
        <f>-(IF(F77&gt;0,MIN(0.015,F77),0))</f>
        <v/>
      </c>
      <c r="H62" s="251">
        <f>-(IF(G77&gt;0,MIN(0.015,G77),0))</f>
        <v/>
      </c>
      <c r="I62" s="242">
        <f>-(IF(H77&gt;0,MIN(0.015,H77),0))</f>
        <v/>
      </c>
      <c r="J62" s="242">
        <f>-(IF(I77&gt;0,MIN(0.015,I77),0))</f>
        <v/>
      </c>
      <c r="K62" s="242">
        <f>-(IF(J77&gt;0,MIN(0.015,J77),0))</f>
        <v/>
      </c>
      <c r="L62" s="242">
        <f>-(IF(K77&gt;0,MIN(0.015,K77),0))</f>
        <v/>
      </c>
      <c r="M62" s="242">
        <f>-(IF(L77&gt;0,MIN(0.015,L77),0))</f>
        <v/>
      </c>
      <c r="N62" s="242">
        <f>-(IF(M77&gt;0,MIN(0.015,M77),0))</f>
        <v/>
      </c>
      <c r="O62" s="242">
        <f>-(IF(N77&gt;0,MIN(0.015,N77),0))</f>
        <v/>
      </c>
      <c r="P62" s="242">
        <f>-(IF(O77&gt;0,MIN(0.015,O77),0))</f>
        <v/>
      </c>
      <c r="Q62" s="242">
        <f>-(IF(P77&gt;0,MIN(0.015,P77),0))</f>
        <v/>
      </c>
      <c r="R62" s="242">
        <f>-(IF(Q77&gt;0,MIN(0.015,Q77),0))</f>
        <v/>
      </c>
      <c r="S62" s="242">
        <f>-(IF(R77&gt;0,MIN(0.015,R77),0))</f>
        <v/>
      </c>
      <c r="T62" s="242">
        <f>-(IF(S77&gt;0,MIN(0.015,S77),0))</f>
        <v/>
      </c>
      <c r="U62" s="242">
        <f>-(IF(T77&gt;0,MIN(0.015,T77),0))</f>
        <v/>
      </c>
      <c r="V62" s="242">
        <f>-(IF(U77&gt;0,MIN(0.015,U77),0))</f>
        <v/>
      </c>
    </row>
    <row r="63">
      <c r="A63" s="165" t="inlineStr">
        <is>
          <t>ECF sweep</t>
        </is>
      </c>
      <c r="B63" s="165" t="inlineStr">
        <is>
          <t>$mm</t>
        </is>
      </c>
      <c r="C63" s="242">
        <f>-(0)</f>
        <v/>
      </c>
      <c r="D63" s="242">
        <f>-(0)</f>
        <v/>
      </c>
      <c r="E63" s="242">
        <f>-(MIN((MAX(0,D76+E61)),MAX(0,((D67+E52+E56+E57+E58+E61+E62)+E59+E60)-'Scenario_Drivers'!E165))*(IF((((MAX(0,D76+E61))+(MAX(0,D77+E58+E62))+(D78+E59+E60)-MIN(((D67+E52+E56+E57+E58+E61+E62)+E59+E60),Inputs!$B$19))/MAX(0.001,(SUM(C14:E14))))&gt;3.0,50%,IF((((MAX(0,D76+E61))+(MAX(0,D77+E58+E62))+(D78+E59+E60)-MIN(((D67+E52+E56+E57+E58+E61+E62)+E59+E60),Inputs!$B$19))/MAX(0.001,(SUM(C14:E14))))&gt;2.5,25%,0%))))</f>
        <v/>
      </c>
      <c r="F63" s="251">
        <f>-(0)</f>
        <v/>
      </c>
      <c r="G63" s="252">
        <f>-(0)</f>
        <v/>
      </c>
      <c r="H63" s="251">
        <f>-(0)</f>
        <v/>
      </c>
      <c r="I63" s="242">
        <f>-(MIN((MAX(0,H76+I61)),MAX(0,((H67+I52+I56+I57+I58+I61+I62)+I59+I60)-'Scenario_Drivers'!I165))*(IF((((MAX(0,H76+I61))+(MAX(0,H77+I58+I62))+(H78+I59+I60)-MIN(((H67+I52+I56+I57+I58+I61+I62)+I59+I60),Inputs!$B$19))/MAX(0.001,(SUM(F14:I14))))&gt;3.5,75%,25%)))</f>
        <v/>
      </c>
      <c r="J63" s="242">
        <f>-(0)</f>
        <v/>
      </c>
      <c r="K63" s="242">
        <f>-(0)</f>
        <v/>
      </c>
      <c r="L63" s="242">
        <f>-(0)</f>
        <v/>
      </c>
      <c r="M63" s="242">
        <f>-(MIN((MAX(0,L76+M61)),MAX(0,((L67+M52+M56+M57+M58+M61+M62)+M59+M60)-'Scenario_Drivers'!M165))*(IF((((MAX(0,L76+M61))+(MAX(0,L77+M58+M62))+(L78+M59+M60)-MIN(((L67+M52+M56+M57+M58+M61+M62)+M59+M60),Inputs!$B$19))/MAX(0.001,(SUM(J14:M14))))&gt;3.5,75%,25%)))</f>
        <v/>
      </c>
      <c r="N63" s="242">
        <f>-(0)</f>
        <v/>
      </c>
      <c r="O63" s="242">
        <f>-(0)</f>
        <v/>
      </c>
      <c r="P63" s="242">
        <f>-(0)</f>
        <v/>
      </c>
      <c r="Q63" s="242">
        <f>-(MIN((MAX(0,P76+Q61)),MAX(0,((P67+Q52+Q56+Q57+Q58+Q61+Q62)+Q59+Q60)-'Scenario_Drivers'!Q165))*(IF((((MAX(0,P76+Q61))+(MAX(0,P77+Q58+Q62))+(P78+Q59+Q60)-MIN(((P67+Q52+Q56+Q57+Q58+Q61+Q62)+Q59+Q60),Inputs!$B$19))/MAX(0.001,(SUM(N14:Q14))))&gt;3.5,75%,25%)))</f>
        <v/>
      </c>
      <c r="R63" s="242">
        <f>-(0)</f>
        <v/>
      </c>
      <c r="S63" s="242">
        <f>-(0)</f>
        <v/>
      </c>
      <c r="T63" s="242">
        <f>-(0)</f>
        <v/>
      </c>
      <c r="U63" s="242">
        <f>-(MIN((MAX(0,T76+U61)),MAX(0,((T67+U52+U56+U57+U58+U61+U62)+U59+U60)-'Scenario_Drivers'!U165))*(IF((((MAX(0,T76+U61))+(MAX(0,T77+U58+U62))+(T78+U59+U60)-MIN(((T67+U52+U56+U57+U58+U61+U62)+U59+U60),Inputs!$B$19))/MAX(0.001,(SUM(R14:U14))))&gt;3.5,75%,25%)))</f>
        <v/>
      </c>
      <c r="V63" s="242">
        <f>-(0)</f>
        <v/>
      </c>
    </row>
    <row r="64">
      <c r="A64" s="165" t="inlineStr">
        <is>
          <t>Cash from financing</t>
        </is>
      </c>
      <c r="B64" s="165" t="inlineStr">
        <is>
          <t>$mm</t>
        </is>
      </c>
      <c r="C64" s="242">
        <f>SUM(C57:C63)</f>
        <v/>
      </c>
      <c r="D64" s="242">
        <f>SUM(D57:D63)</f>
        <v/>
      </c>
      <c r="E64" s="242">
        <f>SUM(E57:E63)</f>
        <v/>
      </c>
      <c r="F64" s="251">
        <f>SUM(F57:F63)</f>
        <v/>
      </c>
      <c r="G64" s="252">
        <f>SUM(G57:G63)</f>
        <v/>
      </c>
      <c r="H64" s="251">
        <f>SUM(H57:H63)</f>
        <v/>
      </c>
      <c r="I64" s="242">
        <f>SUM(I57:I63)</f>
        <v/>
      </c>
      <c r="J64" s="242">
        <f>SUM(J57:J63)</f>
        <v/>
      </c>
      <c r="K64" s="242">
        <f>SUM(K57:K63)</f>
        <v/>
      </c>
      <c r="L64" s="242">
        <f>SUM(L57:L63)</f>
        <v/>
      </c>
      <c r="M64" s="242">
        <f>SUM(M57:M63)</f>
        <v/>
      </c>
      <c r="N64" s="242">
        <f>SUM(N57:N63)</f>
        <v/>
      </c>
      <c r="O64" s="242">
        <f>SUM(O57:O63)</f>
        <v/>
      </c>
      <c r="P64" s="242">
        <f>SUM(P57:P63)</f>
        <v/>
      </c>
      <c r="Q64" s="242">
        <f>SUM(Q57:Q63)</f>
        <v/>
      </c>
      <c r="R64" s="242">
        <f>SUM(R57:R63)</f>
        <v/>
      </c>
      <c r="S64" s="242">
        <f>SUM(S57:S63)</f>
        <v/>
      </c>
      <c r="T64" s="242">
        <f>SUM(T57:T63)</f>
        <v/>
      </c>
      <c r="U64" s="242">
        <f>SUM(U57:U63)</f>
        <v/>
      </c>
      <c r="V64" s="242">
        <f>SUM(V57:V63)</f>
        <v/>
      </c>
    </row>
    <row r="65">
      <c r="A65" s="165" t="inlineStr">
        <is>
          <t>Net change in cash</t>
        </is>
      </c>
      <c r="B65" s="165" t="inlineStr">
        <is>
          <t>$mm</t>
        </is>
      </c>
      <c r="C65" s="242">
        <f>C52+C56+C64</f>
        <v/>
      </c>
      <c r="D65" s="242">
        <f>D52+D56+D64</f>
        <v/>
      </c>
      <c r="E65" s="242">
        <f>E52+E56+E64</f>
        <v/>
      </c>
      <c r="F65" s="251">
        <f>F52+F56+F64</f>
        <v/>
      </c>
      <c r="G65" s="252">
        <f>G52+G56+G64</f>
        <v/>
      </c>
      <c r="H65" s="251">
        <f>H52+H56+H64</f>
        <v/>
      </c>
      <c r="I65" s="242">
        <f>I52+I56+I64</f>
        <v/>
      </c>
      <c r="J65" s="242">
        <f>J52+J56+J64</f>
        <v/>
      </c>
      <c r="K65" s="242">
        <f>K52+K56+K64</f>
        <v/>
      </c>
      <c r="L65" s="242">
        <f>L52+L56+L64</f>
        <v/>
      </c>
      <c r="M65" s="242">
        <f>M52+M56+M64</f>
        <v/>
      </c>
      <c r="N65" s="242">
        <f>N52+N56+N64</f>
        <v/>
      </c>
      <c r="O65" s="242">
        <f>O52+O56+O64</f>
        <v/>
      </c>
      <c r="P65" s="242">
        <f>P52+P56+P64</f>
        <v/>
      </c>
      <c r="Q65" s="242">
        <f>Q52+Q56+Q64</f>
        <v/>
      </c>
      <c r="R65" s="242">
        <f>R52+R56+R64</f>
        <v/>
      </c>
      <c r="S65" s="242">
        <f>S52+S56+S64</f>
        <v/>
      </c>
      <c r="T65" s="242">
        <f>T52+T56+T64</f>
        <v/>
      </c>
      <c r="U65" s="242">
        <f>U52+U56+U64</f>
        <v/>
      </c>
      <c r="V65" s="242">
        <f>V52+V56+V64</f>
        <v/>
      </c>
    </row>
    <row r="66">
      <c r="A66" s="165" t="inlineStr">
        <is>
          <t>Beginning cash</t>
        </is>
      </c>
      <c r="B66" s="165" t="inlineStr">
        <is>
          <t>$mm</t>
        </is>
      </c>
      <c r="C66" s="242">
        <f>'S&amp;U_Opening'!$B$15</f>
        <v/>
      </c>
      <c r="D66" s="242">
        <f>C67</f>
        <v/>
      </c>
      <c r="E66" s="242">
        <f>D67</f>
        <v/>
      </c>
      <c r="F66" s="251">
        <f>E67</f>
        <v/>
      </c>
      <c r="G66" s="252">
        <f>F67</f>
        <v/>
      </c>
      <c r="H66" s="251">
        <f>G67</f>
        <v/>
      </c>
      <c r="I66" s="242">
        <f>H67</f>
        <v/>
      </c>
      <c r="J66" s="242">
        <f>I67</f>
        <v/>
      </c>
      <c r="K66" s="242">
        <f>J67</f>
        <v/>
      </c>
      <c r="L66" s="242">
        <f>K67</f>
        <v/>
      </c>
      <c r="M66" s="242">
        <f>L67</f>
        <v/>
      </c>
      <c r="N66" s="242">
        <f>M67</f>
        <v/>
      </c>
      <c r="O66" s="242">
        <f>N67</f>
        <v/>
      </c>
      <c r="P66" s="242">
        <f>O67</f>
        <v/>
      </c>
      <c r="Q66" s="242">
        <f>P67</f>
        <v/>
      </c>
      <c r="R66" s="242">
        <f>Q67</f>
        <v/>
      </c>
      <c r="S66" s="242">
        <f>R67</f>
        <v/>
      </c>
      <c r="T66" s="242">
        <f>S67</f>
        <v/>
      </c>
      <c r="U66" s="242">
        <f>T67</f>
        <v/>
      </c>
      <c r="V66" s="242">
        <f>U67</f>
        <v/>
      </c>
    </row>
    <row r="67">
      <c r="A67" s="165" t="inlineStr">
        <is>
          <t>Ending cash</t>
        </is>
      </c>
      <c r="B67" s="165" t="inlineStr">
        <is>
          <t>$mm</t>
        </is>
      </c>
      <c r="C67" s="242">
        <f>C66+C65</f>
        <v/>
      </c>
      <c r="D67" s="242">
        <f>D66+D65</f>
        <v/>
      </c>
      <c r="E67" s="242">
        <f>E66+E65</f>
        <v/>
      </c>
      <c r="F67" s="251">
        <f>F66+F65</f>
        <v/>
      </c>
      <c r="G67" s="252">
        <f>G66+G65</f>
        <v/>
      </c>
      <c r="H67" s="251">
        <f>H66+H65</f>
        <v/>
      </c>
      <c r="I67" s="242">
        <f>I66+I65</f>
        <v/>
      </c>
      <c r="J67" s="242">
        <f>J66+J65</f>
        <v/>
      </c>
      <c r="K67" s="242">
        <f>K66+K65</f>
        <v/>
      </c>
      <c r="L67" s="242">
        <f>L66+L65</f>
        <v/>
      </c>
      <c r="M67" s="242">
        <f>M66+M65</f>
        <v/>
      </c>
      <c r="N67" s="242">
        <f>N66+N65</f>
        <v/>
      </c>
      <c r="O67" s="242">
        <f>O66+O65</f>
        <v/>
      </c>
      <c r="P67" s="242">
        <f>P66+P65</f>
        <v/>
      </c>
      <c r="Q67" s="242">
        <f>Q66+Q65</f>
        <v/>
      </c>
      <c r="R67" s="242">
        <f>R66+R65</f>
        <v/>
      </c>
      <c r="S67" s="242">
        <f>S66+S65</f>
        <v/>
      </c>
      <c r="T67" s="242">
        <f>T66+T65</f>
        <v/>
      </c>
      <c r="U67" s="242">
        <f>U66+U65</f>
        <v/>
      </c>
      <c r="V67" s="242">
        <f>V66+V65</f>
        <v/>
      </c>
    </row>
    <row r="68">
      <c r="A68" s="39" t="inlineStr">
        <is>
          <t>Balance Sheet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</row>
    <row r="69">
      <c r="A69" s="165" t="inlineStr">
        <is>
          <t>PP&amp;E, net</t>
        </is>
      </c>
      <c r="B69" s="165" t="inlineStr">
        <is>
          <t>$mm</t>
        </is>
      </c>
      <c r="C69" s="242">
        <f>'S&amp;U_Opening'!$B$19+C41+C42-C17</f>
        <v/>
      </c>
      <c r="D69" s="242">
        <f>C69+D41+D42-D17</f>
        <v/>
      </c>
      <c r="E69" s="242">
        <f>D69+E41+E42-E17</f>
        <v/>
      </c>
      <c r="F69" s="251">
        <f>E69+F41+F42-F17</f>
        <v/>
      </c>
      <c r="G69" s="252">
        <f>F69+G41+G42-G17</f>
        <v/>
      </c>
      <c r="H69" s="251">
        <f>G69+H41+H42-H17</f>
        <v/>
      </c>
      <c r="I69" s="242">
        <f>H69+I41+I42-I17</f>
        <v/>
      </c>
      <c r="J69" s="242">
        <f>I69+J41+J42-J17</f>
        <v/>
      </c>
      <c r="K69" s="242">
        <f>J69+K41+K42-K17</f>
        <v/>
      </c>
      <c r="L69" s="242">
        <f>K69+L41+L42-L17</f>
        <v/>
      </c>
      <c r="M69" s="242">
        <f>L69+M41+M42-M17</f>
        <v/>
      </c>
      <c r="N69" s="242">
        <f>M69+N41+N42-N17</f>
        <v/>
      </c>
      <c r="O69" s="242">
        <f>N69+O41+O42-O17</f>
        <v/>
      </c>
      <c r="P69" s="242">
        <f>O69+P41+P42-P17</f>
        <v/>
      </c>
      <c r="Q69" s="242">
        <f>P69+Q41+Q42-Q17</f>
        <v/>
      </c>
      <c r="R69" s="242">
        <f>Q69+R41+R42-R17</f>
        <v/>
      </c>
      <c r="S69" s="242">
        <f>R69+S41+S42-S17</f>
        <v/>
      </c>
      <c r="T69" s="242">
        <f>S69+T41+T42-T17</f>
        <v/>
      </c>
      <c r="U69" s="242">
        <f>T69+U41+U42-U17</f>
        <v/>
      </c>
      <c r="V69" s="242">
        <f>U69+V41+V42-V17</f>
        <v/>
      </c>
    </row>
    <row r="70">
      <c r="A70" s="165" t="inlineStr">
        <is>
          <t>Goodwill</t>
        </is>
      </c>
      <c r="B70" s="165" t="inlineStr">
        <is>
          <t>$mm</t>
        </is>
      </c>
      <c r="C70" s="242">
        <f>'S&amp;U_Opening'!$B$20+'Scenario_Drivers'!C158</f>
        <v/>
      </c>
      <c r="D70" s="242">
        <f>C70+'Scenario_Drivers'!D158</f>
        <v/>
      </c>
      <c r="E70" s="242">
        <f>D70+'Scenario_Drivers'!E158</f>
        <v/>
      </c>
      <c r="F70" s="251">
        <f>E70+'Scenario_Drivers'!F158</f>
        <v/>
      </c>
      <c r="G70" s="252">
        <f>F70+'Scenario_Drivers'!G158</f>
        <v/>
      </c>
      <c r="H70" s="251">
        <f>G70+'Scenario_Drivers'!H158</f>
        <v/>
      </c>
      <c r="I70" s="242">
        <f>H70+'Scenario_Drivers'!I158</f>
        <v/>
      </c>
      <c r="J70" s="242">
        <f>I70+'Scenario_Drivers'!J158</f>
        <v/>
      </c>
      <c r="K70" s="242">
        <f>J70+'Scenario_Drivers'!K158</f>
        <v/>
      </c>
      <c r="L70" s="242">
        <f>K70+'Scenario_Drivers'!L158</f>
        <v/>
      </c>
      <c r="M70" s="242">
        <f>L70+'Scenario_Drivers'!M158</f>
        <v/>
      </c>
      <c r="N70" s="242">
        <f>M70+'Scenario_Drivers'!N158</f>
        <v/>
      </c>
      <c r="O70" s="242">
        <f>N70+'Scenario_Drivers'!O158</f>
        <v/>
      </c>
      <c r="P70" s="242">
        <f>O70+'Scenario_Drivers'!P158</f>
        <v/>
      </c>
      <c r="Q70" s="242">
        <f>P70+'Scenario_Drivers'!Q158</f>
        <v/>
      </c>
      <c r="R70" s="242">
        <f>Q70+'Scenario_Drivers'!R158</f>
        <v/>
      </c>
      <c r="S70" s="242">
        <f>R70+'Scenario_Drivers'!S158</f>
        <v/>
      </c>
      <c r="T70" s="242">
        <f>S70+'Scenario_Drivers'!T158</f>
        <v/>
      </c>
      <c r="U70" s="242">
        <f>T70+'Scenario_Drivers'!U158</f>
        <v/>
      </c>
      <c r="V70" s="242">
        <f>U70+'Scenario_Drivers'!V158</f>
        <v/>
      </c>
    </row>
    <row r="71">
      <c r="A71" s="165" t="inlineStr">
        <is>
          <t>Intangibles, net</t>
        </is>
      </c>
      <c r="B71" s="165" t="inlineStr">
        <is>
          <t>$mm</t>
        </is>
      </c>
      <c r="C71" s="242">
        <f>MAX(0,SUM('S&amp;U_Opening'!$B$21:$B$23)+'Scenario_Drivers'!C157-C18)</f>
        <v/>
      </c>
      <c r="D71" s="242">
        <f>MAX(0,C71+'Scenario_Drivers'!D157-D18)</f>
        <v/>
      </c>
      <c r="E71" s="242">
        <f>MAX(0,D71+'Scenario_Drivers'!E157-E18)</f>
        <v/>
      </c>
      <c r="F71" s="251">
        <f>MAX(0,E71+'Scenario_Drivers'!F157-F18)</f>
        <v/>
      </c>
      <c r="G71" s="252">
        <f>MAX(0,F71+'Scenario_Drivers'!G157-G18)</f>
        <v/>
      </c>
      <c r="H71" s="251">
        <f>MAX(0,G71+'Scenario_Drivers'!H157-H18)</f>
        <v/>
      </c>
      <c r="I71" s="242">
        <f>MAX(0,H71+'Scenario_Drivers'!I157-I18)</f>
        <v/>
      </c>
      <c r="J71" s="242">
        <f>MAX(0,I71+'Scenario_Drivers'!J157-J18)</f>
        <v/>
      </c>
      <c r="K71" s="242">
        <f>MAX(0,J71+'Scenario_Drivers'!K157-K18)</f>
        <v/>
      </c>
      <c r="L71" s="242">
        <f>MAX(0,K71+'Scenario_Drivers'!L157-L18)</f>
        <v/>
      </c>
      <c r="M71" s="242">
        <f>MAX(0,L71+'Scenario_Drivers'!M157-M18)</f>
        <v/>
      </c>
      <c r="N71" s="242">
        <f>MAX(0,M71+'Scenario_Drivers'!N157-N18)</f>
        <v/>
      </c>
      <c r="O71" s="242">
        <f>MAX(0,N71+'Scenario_Drivers'!O157-O18)</f>
        <v/>
      </c>
      <c r="P71" s="242">
        <f>MAX(0,O71+'Scenario_Drivers'!P157-P18)</f>
        <v/>
      </c>
      <c r="Q71" s="242">
        <f>MAX(0,P71+'Scenario_Drivers'!Q157-Q18)</f>
        <v/>
      </c>
      <c r="R71" s="242">
        <f>MAX(0,Q71+'Scenario_Drivers'!R157-R18)</f>
        <v/>
      </c>
      <c r="S71" s="242">
        <f>MAX(0,R71+'Scenario_Drivers'!S157-S18)</f>
        <v/>
      </c>
      <c r="T71" s="242">
        <f>MAX(0,S71+'Scenario_Drivers'!T157-T18)</f>
        <v/>
      </c>
      <c r="U71" s="242">
        <f>MAX(0,T71+'Scenario_Drivers'!U157-U18)</f>
        <v/>
      </c>
      <c r="V71" s="242">
        <f>MAX(0,U71+'Scenario_Drivers'!V157-V18)</f>
        <v/>
      </c>
    </row>
    <row r="72">
      <c r="A72" s="165" t="inlineStr">
        <is>
          <t>Integration asset</t>
        </is>
      </c>
      <c r="B72" s="165" t="inlineStr">
        <is>
          <t>$mm</t>
        </is>
      </c>
      <c r="C72" s="242">
        <f>MAX(0,0+C45-C19)</f>
        <v/>
      </c>
      <c r="D72" s="242">
        <f>MAX(0,C72+D45-D19)</f>
        <v/>
      </c>
      <c r="E72" s="242">
        <f>MAX(0,D72+E45-E19)</f>
        <v/>
      </c>
      <c r="F72" s="251">
        <f>MAX(0,E72+F45-F19)</f>
        <v/>
      </c>
      <c r="G72" s="252">
        <f>MAX(0,F72+G45-G19)</f>
        <v/>
      </c>
      <c r="H72" s="251">
        <f>MAX(0,G72+H45-H19)</f>
        <v/>
      </c>
      <c r="I72" s="242">
        <f>MAX(0,H72+I45-I19)</f>
        <v/>
      </c>
      <c r="J72" s="242">
        <f>MAX(0,I72+J45-J19)</f>
        <v/>
      </c>
      <c r="K72" s="242">
        <f>MAX(0,J72+K45-K19)</f>
        <v/>
      </c>
      <c r="L72" s="242">
        <f>MAX(0,K72+L45-L19)</f>
        <v/>
      </c>
      <c r="M72" s="242">
        <f>MAX(0,L72+M45-M19)</f>
        <v/>
      </c>
      <c r="N72" s="242">
        <f>MAX(0,M72+N45-N19)</f>
        <v/>
      </c>
      <c r="O72" s="242">
        <f>MAX(0,N72+O45-O19)</f>
        <v/>
      </c>
      <c r="P72" s="242">
        <f>MAX(0,O72+P45-P19)</f>
        <v/>
      </c>
      <c r="Q72" s="242">
        <f>MAX(0,P72+Q45-Q19)</f>
        <v/>
      </c>
      <c r="R72" s="242">
        <f>MAX(0,Q72+R45-R19)</f>
        <v/>
      </c>
      <c r="S72" s="242">
        <f>MAX(0,R72+S45-S19)</f>
        <v/>
      </c>
      <c r="T72" s="242">
        <f>MAX(0,S72+T45-T19)</f>
        <v/>
      </c>
      <c r="U72" s="242">
        <f>MAX(0,T72+U45-U19)</f>
        <v/>
      </c>
      <c r="V72" s="242">
        <f>MAX(0,U72+V45-V19)</f>
        <v/>
      </c>
    </row>
    <row r="73">
      <c r="A73" s="165" t="inlineStr">
        <is>
          <t>Deferred financing fees</t>
        </is>
      </c>
      <c r="B73" s="165" t="inlineStr">
        <is>
          <t>$mm</t>
        </is>
      </c>
      <c r="C73" s="242">
        <f>MAX(0,'S&amp;U_Opening'!$B$24-C23)</f>
        <v/>
      </c>
      <c r="D73" s="242">
        <f>MAX(0,C73-D23)</f>
        <v/>
      </c>
      <c r="E73" s="242">
        <f>MAX(0,D73-E23)</f>
        <v/>
      </c>
      <c r="F73" s="251">
        <f>MAX(0,E73-F23)</f>
        <v/>
      </c>
      <c r="G73" s="252">
        <f>MAX(0,F73-G23)</f>
        <v/>
      </c>
      <c r="H73" s="251">
        <f>MAX(0,G73-H23)</f>
        <v/>
      </c>
      <c r="I73" s="242">
        <f>MAX(0,H73-I23)</f>
        <v/>
      </c>
      <c r="J73" s="242">
        <f>MAX(0,I73-J23)</f>
        <v/>
      </c>
      <c r="K73" s="242">
        <f>MAX(0,J73-K23)</f>
        <v/>
      </c>
      <c r="L73" s="242">
        <f>MAX(0,K73-L23)</f>
        <v/>
      </c>
      <c r="M73" s="242">
        <f>MAX(0,L73-M23)</f>
        <v/>
      </c>
      <c r="N73" s="242">
        <f>MAX(0,M73-N23)</f>
        <v/>
      </c>
      <c r="O73" s="242">
        <f>MAX(0,N73-O23)</f>
        <v/>
      </c>
      <c r="P73" s="242">
        <f>MAX(0,O73-P23)</f>
        <v/>
      </c>
      <c r="Q73" s="242">
        <f>MAX(0,P73-Q23)</f>
        <v/>
      </c>
      <c r="R73" s="242">
        <f>MAX(0,Q73-R23)</f>
        <v/>
      </c>
      <c r="S73" s="242">
        <f>MAX(0,R73-S23)</f>
        <v/>
      </c>
      <c r="T73" s="242">
        <f>MAX(0,S73-T23)</f>
        <v/>
      </c>
      <c r="U73" s="242">
        <f>MAX(0,T73-U23)</f>
        <v/>
      </c>
      <c r="V73" s="242">
        <f>MAX(0,U73-V23)</f>
        <v/>
      </c>
    </row>
    <row r="74">
      <c r="A74" s="165" t="inlineStr">
        <is>
          <t>Other assets</t>
        </is>
      </c>
      <c r="B74" s="165" t="inlineStr">
        <is>
          <t>$mm</t>
        </is>
      </c>
      <c r="C74" s="242">
        <f>1.3</f>
        <v/>
      </c>
      <c r="D74" s="242">
        <f>1.3</f>
        <v/>
      </c>
      <c r="E74" s="242">
        <f>1.3</f>
        <v/>
      </c>
      <c r="F74" s="251">
        <f>1.3</f>
        <v/>
      </c>
      <c r="G74" s="252">
        <f>1.3</f>
        <v/>
      </c>
      <c r="H74" s="251">
        <f>1.3</f>
        <v/>
      </c>
      <c r="I74" s="242">
        <f>1.3</f>
        <v/>
      </c>
      <c r="J74" s="242">
        <f>1.3</f>
        <v/>
      </c>
      <c r="K74" s="242">
        <f>1.3</f>
        <v/>
      </c>
      <c r="L74" s="242">
        <f>1.3</f>
        <v/>
      </c>
      <c r="M74" s="242">
        <f>1.3</f>
        <v/>
      </c>
      <c r="N74" s="242">
        <f>1.3</f>
        <v/>
      </c>
      <c r="O74" s="242">
        <f>1.3</f>
        <v/>
      </c>
      <c r="P74" s="242">
        <f>1.3</f>
        <v/>
      </c>
      <c r="Q74" s="242">
        <f>1.3</f>
        <v/>
      </c>
      <c r="R74" s="242">
        <f>1.3</f>
        <v/>
      </c>
      <c r="S74" s="242">
        <f>1.3</f>
        <v/>
      </c>
      <c r="T74" s="242">
        <f>1.3</f>
        <v/>
      </c>
      <c r="U74" s="242">
        <f>1.3</f>
        <v/>
      </c>
      <c r="V74" s="242">
        <f>1.3</f>
        <v/>
      </c>
    </row>
    <row r="75">
      <c r="A75" s="165" t="inlineStr">
        <is>
          <t>Total assets</t>
        </is>
      </c>
      <c r="B75" s="165" t="inlineStr">
        <is>
          <t>$mm</t>
        </is>
      </c>
      <c r="C75" s="242">
        <f>SUM(C67,C30,C31,C32,C69,C70,C71,C72,C73,C74)</f>
        <v/>
      </c>
      <c r="D75" s="242">
        <f>SUM(D67,D30,D31,D32,D69,D70,D71,D72,D73,D74)</f>
        <v/>
      </c>
      <c r="E75" s="242">
        <f>SUM(E67,E30,E31,E32,E69,E70,E71,E72,E73,E74)</f>
        <v/>
      </c>
      <c r="F75" s="251">
        <f>SUM(F67,F30,F31,F32,F69,F70,F71,F72,F73,F74)</f>
        <v/>
      </c>
      <c r="G75" s="252">
        <f>SUM(G67,G30,G31,G32,G69,G70,G71,G72,G73,G74)</f>
        <v/>
      </c>
      <c r="H75" s="251">
        <f>SUM(H67,H30,H31,H32,H69,H70,H71,H72,H73,H74)</f>
        <v/>
      </c>
      <c r="I75" s="242">
        <f>SUM(I67,I30,I31,I32,I69,I70,I71,I72,I73,I74)</f>
        <v/>
      </c>
      <c r="J75" s="242">
        <f>SUM(J67,J30,J31,J32,J69,J70,J71,J72,J73,J74)</f>
        <v/>
      </c>
      <c r="K75" s="242">
        <f>SUM(K67,K30,K31,K32,K69,K70,K71,K72,K73,K74)</f>
        <v/>
      </c>
      <c r="L75" s="242">
        <f>SUM(L67,L30,L31,L32,L69,L70,L71,L72,L73,L74)</f>
        <v/>
      </c>
      <c r="M75" s="242">
        <f>SUM(M67,M30,M31,M32,M69,M70,M71,M72,M73,M74)</f>
        <v/>
      </c>
      <c r="N75" s="242">
        <f>SUM(N67,N30,N31,N32,N69,N70,N71,N72,N73,N74)</f>
        <v/>
      </c>
      <c r="O75" s="242">
        <f>SUM(O67,O30,O31,O32,O69,O70,O71,O72,O73,O74)</f>
        <v/>
      </c>
      <c r="P75" s="242">
        <f>SUM(P67,P30,P31,P32,P69,P70,P71,P72,P73,P74)</f>
        <v/>
      </c>
      <c r="Q75" s="242">
        <f>SUM(Q67,Q30,Q31,Q32,Q69,Q70,Q71,Q72,Q73,Q74)</f>
        <v/>
      </c>
      <c r="R75" s="242">
        <f>SUM(R67,R30,R31,R32,R69,R70,R71,R72,R73,R74)</f>
        <v/>
      </c>
      <c r="S75" s="242">
        <f>SUM(S67,S30,S31,S32,S69,S70,S71,S72,S73,S74)</f>
        <v/>
      </c>
      <c r="T75" s="242">
        <f>SUM(T67,T30,T31,T32,T69,T70,T71,T72,T73,T74)</f>
        <v/>
      </c>
      <c r="U75" s="242">
        <f>SUM(U67,U30,U31,U32,U69,U70,U71,U72,U73,U74)</f>
        <v/>
      </c>
      <c r="V75" s="242">
        <f>SUM(V67,V30,V31,V32,V69,V70,V71,V72,V73,V74)</f>
        <v/>
      </c>
    </row>
    <row r="76">
      <c r="A76" s="165" t="inlineStr">
        <is>
          <t>Term loan</t>
        </is>
      </c>
      <c r="B76" s="165" t="inlineStr">
        <is>
          <t>$mm</t>
        </is>
      </c>
      <c r="C76" s="242">
        <f>MAX(0,MAX(0,'S&amp;U_Opening'!$E$18+C61)+C63)</f>
        <v/>
      </c>
      <c r="D76" s="242">
        <f>MAX(0,MAX(0,C76+D61)+D63)</f>
        <v/>
      </c>
      <c r="E76" s="242">
        <f>MAX(0,MAX(0,D76+E61)+E63)</f>
        <v/>
      </c>
      <c r="F76" s="251">
        <f>MAX(0,MAX(0,E76+F61)+F63)</f>
        <v/>
      </c>
      <c r="G76" s="252">
        <f>MAX(0,MAX(0,F76+G61)+G63)</f>
        <v/>
      </c>
      <c r="H76" s="251">
        <f>MAX(0,MAX(0,G76+H61)+H63)</f>
        <v/>
      </c>
      <c r="I76" s="242">
        <f>MAX(0,MAX(0,H76+I61)+I63)</f>
        <v/>
      </c>
      <c r="J76" s="242">
        <f>MAX(0,MAX(0,I76+J61)+J63)</f>
        <v/>
      </c>
      <c r="K76" s="242">
        <f>MAX(0,MAX(0,J76+K61)+K63)</f>
        <v/>
      </c>
      <c r="L76" s="242">
        <f>MAX(0,MAX(0,K76+L61)+L63)</f>
        <v/>
      </c>
      <c r="M76" s="242">
        <f>MAX(0,MAX(0,L76+M61)+M63)</f>
        <v/>
      </c>
      <c r="N76" s="242">
        <f>MAX(0,MAX(0,M76+N61)+N63)</f>
        <v/>
      </c>
      <c r="O76" s="242">
        <f>MAX(0,MAX(0,N76+O61)+O63)</f>
        <v/>
      </c>
      <c r="P76" s="242">
        <f>MAX(0,MAX(0,O76+P61)+P63)</f>
        <v/>
      </c>
      <c r="Q76" s="242">
        <f>MAX(0,MAX(0,P76+Q61)+Q63)</f>
        <v/>
      </c>
      <c r="R76" s="242">
        <f>MAX(0,MAX(0,Q76+R61)+R63)</f>
        <v/>
      </c>
      <c r="S76" s="242">
        <f>MAX(0,MAX(0,R76+S61)+S63)</f>
        <v/>
      </c>
      <c r="T76" s="242">
        <f>MAX(0,MAX(0,S76+T61)+T63)</f>
        <v/>
      </c>
      <c r="U76" s="242">
        <f>MAX(0,MAX(0,T76+U61)+U63)</f>
        <v/>
      </c>
      <c r="V76" s="242">
        <f>MAX(0,MAX(0,U76+V61)+V63)</f>
        <v/>
      </c>
    </row>
    <row r="77">
      <c r="A77" s="165" t="inlineStr">
        <is>
          <t>DDTL</t>
        </is>
      </c>
      <c r="B77" s="165" t="inlineStr">
        <is>
          <t>$mm</t>
        </is>
      </c>
      <c r="C77" s="242">
        <f>MAX(0,0+C58+C62)</f>
        <v/>
      </c>
      <c r="D77" s="242">
        <f>MAX(0,C77+D58+D62)</f>
        <v/>
      </c>
      <c r="E77" s="242">
        <f>MAX(0,D77+E58+E62)</f>
        <v/>
      </c>
      <c r="F77" s="251">
        <f>MAX(0,E77+F58+F62)</f>
        <v/>
      </c>
      <c r="G77" s="252">
        <f>MAX(0,F77+G58+G62)</f>
        <v/>
      </c>
      <c r="H77" s="251">
        <f>MAX(0,G77+H58+H62)</f>
        <v/>
      </c>
      <c r="I77" s="242">
        <f>MAX(0,H77+I58+I62)</f>
        <v/>
      </c>
      <c r="J77" s="242">
        <f>MAX(0,I77+J58+J62)</f>
        <v/>
      </c>
      <c r="K77" s="242">
        <f>MAX(0,J77+K58+K62)</f>
        <v/>
      </c>
      <c r="L77" s="242">
        <f>MAX(0,K77+L58+L62)</f>
        <v/>
      </c>
      <c r="M77" s="242">
        <f>MAX(0,L77+M58+M62)</f>
        <v/>
      </c>
      <c r="N77" s="242">
        <f>MAX(0,M77+N58+N62)</f>
        <v/>
      </c>
      <c r="O77" s="242">
        <f>MAX(0,N77+O58+O62)</f>
        <v/>
      </c>
      <c r="P77" s="242">
        <f>MAX(0,O77+P58+P62)</f>
        <v/>
      </c>
      <c r="Q77" s="242">
        <f>MAX(0,P77+Q58+Q62)</f>
        <v/>
      </c>
      <c r="R77" s="242">
        <f>MAX(0,Q77+R58+R62)</f>
        <v/>
      </c>
      <c r="S77" s="242">
        <f>MAX(0,R77+S58+S62)</f>
        <v/>
      </c>
      <c r="T77" s="242">
        <f>MAX(0,S77+T58+T62)</f>
        <v/>
      </c>
      <c r="U77" s="242">
        <f>MAX(0,T77+U58+U62)</f>
        <v/>
      </c>
      <c r="V77" s="242">
        <f>MAX(0,U77+V58+V62)</f>
        <v/>
      </c>
    </row>
    <row r="78">
      <c r="A78" s="165" t="inlineStr">
        <is>
          <t>Revolver</t>
        </is>
      </c>
      <c r="B78" s="165" t="inlineStr">
        <is>
          <t>$mm</t>
        </is>
      </c>
      <c r="C78" s="242">
        <f>0+C59+C60</f>
        <v/>
      </c>
      <c r="D78" s="242">
        <f>C78+D59+D60</f>
        <v/>
      </c>
      <c r="E78" s="242">
        <f>D78+E59+E60</f>
        <v/>
      </c>
      <c r="F78" s="251">
        <f>E78+F59+F60</f>
        <v/>
      </c>
      <c r="G78" s="252">
        <f>F78+G59+G60</f>
        <v/>
      </c>
      <c r="H78" s="251">
        <f>G78+H59+H60</f>
        <v/>
      </c>
      <c r="I78" s="242">
        <f>H78+I59+I60</f>
        <v/>
      </c>
      <c r="J78" s="242">
        <f>I78+J59+J60</f>
        <v/>
      </c>
      <c r="K78" s="242">
        <f>J78+K59+K60</f>
        <v/>
      </c>
      <c r="L78" s="242">
        <f>K78+L59+L60</f>
        <v/>
      </c>
      <c r="M78" s="242">
        <f>L78+M59+M60</f>
        <v/>
      </c>
      <c r="N78" s="242">
        <f>M78+N59+N60</f>
        <v/>
      </c>
      <c r="O78" s="242">
        <f>N78+O59+O60</f>
        <v/>
      </c>
      <c r="P78" s="242">
        <f>O78+P59+P60</f>
        <v/>
      </c>
      <c r="Q78" s="242">
        <f>P78+Q59+Q60</f>
        <v/>
      </c>
      <c r="R78" s="242">
        <f>Q78+R59+R60</f>
        <v/>
      </c>
      <c r="S78" s="242">
        <f>R78+S59+S60</f>
        <v/>
      </c>
      <c r="T78" s="242">
        <f>S78+T59+T60</f>
        <v/>
      </c>
      <c r="U78" s="242">
        <f>T78+U59+U60</f>
        <v/>
      </c>
      <c r="V78" s="242">
        <f>U78+V59+V60</f>
        <v/>
      </c>
    </row>
    <row r="79">
      <c r="A79" s="165" t="inlineStr">
        <is>
          <t>Accounts payable - BS</t>
        </is>
      </c>
      <c r="B79" s="165" t="inlineStr">
        <is>
          <t>$mm</t>
        </is>
      </c>
      <c r="C79" s="242">
        <f>C33</f>
        <v/>
      </c>
      <c r="D79" s="242">
        <f>D33</f>
        <v/>
      </c>
      <c r="E79" s="242">
        <f>E33</f>
        <v/>
      </c>
      <c r="F79" s="251">
        <f>F33</f>
        <v/>
      </c>
      <c r="G79" s="252">
        <f>G33</f>
        <v/>
      </c>
      <c r="H79" s="251">
        <f>H33</f>
        <v/>
      </c>
      <c r="I79" s="242">
        <f>I33</f>
        <v/>
      </c>
      <c r="J79" s="242">
        <f>J33</f>
        <v/>
      </c>
      <c r="K79" s="242">
        <f>K33</f>
        <v/>
      </c>
      <c r="L79" s="242">
        <f>L33</f>
        <v/>
      </c>
      <c r="M79" s="242">
        <f>M33</f>
        <v/>
      </c>
      <c r="N79" s="242">
        <f>N33</f>
        <v/>
      </c>
      <c r="O79" s="242">
        <f>O33</f>
        <v/>
      </c>
      <c r="P79" s="242">
        <f>P33</f>
        <v/>
      </c>
      <c r="Q79" s="242">
        <f>Q33</f>
        <v/>
      </c>
      <c r="R79" s="242">
        <f>R33</f>
        <v/>
      </c>
      <c r="S79" s="242">
        <f>S33</f>
        <v/>
      </c>
      <c r="T79" s="242">
        <f>T33</f>
        <v/>
      </c>
      <c r="U79" s="242">
        <f>U33</f>
        <v/>
      </c>
      <c r="V79" s="242">
        <f>V33</f>
        <v/>
      </c>
    </row>
    <row r="80">
      <c r="A80" s="165" t="inlineStr">
        <is>
          <t>Accrued liabilities - BS</t>
        </is>
      </c>
      <c r="B80" s="165" t="inlineStr">
        <is>
          <t>$mm</t>
        </is>
      </c>
      <c r="C80" s="242">
        <f>C34</f>
        <v/>
      </c>
      <c r="D80" s="242">
        <f>D34</f>
        <v/>
      </c>
      <c r="E80" s="242">
        <f>E34</f>
        <v/>
      </c>
      <c r="F80" s="251">
        <f>F34</f>
        <v/>
      </c>
      <c r="G80" s="252">
        <f>G34</f>
        <v/>
      </c>
      <c r="H80" s="251">
        <f>H34</f>
        <v/>
      </c>
      <c r="I80" s="242">
        <f>I34</f>
        <v/>
      </c>
      <c r="J80" s="242">
        <f>J34</f>
        <v/>
      </c>
      <c r="K80" s="242">
        <f>K34</f>
        <v/>
      </c>
      <c r="L80" s="242">
        <f>L34</f>
        <v/>
      </c>
      <c r="M80" s="242">
        <f>M34</f>
        <v/>
      </c>
      <c r="N80" s="242">
        <f>N34</f>
        <v/>
      </c>
      <c r="O80" s="242">
        <f>O34</f>
        <v/>
      </c>
      <c r="P80" s="242">
        <f>P34</f>
        <v/>
      </c>
      <c r="Q80" s="242">
        <f>Q34</f>
        <v/>
      </c>
      <c r="R80" s="242">
        <f>R34</f>
        <v/>
      </c>
      <c r="S80" s="242">
        <f>S34</f>
        <v/>
      </c>
      <c r="T80" s="242">
        <f>T34</f>
        <v/>
      </c>
      <c r="U80" s="242">
        <f>U34</f>
        <v/>
      </c>
      <c r="V80" s="242">
        <f>V34</f>
        <v/>
      </c>
    </row>
    <row r="81">
      <c r="A81" s="165" t="inlineStr">
        <is>
          <t>Deferred revenue - BS</t>
        </is>
      </c>
      <c r="B81" s="165" t="inlineStr">
        <is>
          <t>$mm</t>
        </is>
      </c>
      <c r="C81" s="242">
        <f>C35</f>
        <v/>
      </c>
      <c r="D81" s="242">
        <f>D35</f>
        <v/>
      </c>
      <c r="E81" s="242">
        <f>E35</f>
        <v/>
      </c>
      <c r="F81" s="251">
        <f>F35</f>
        <v/>
      </c>
      <c r="G81" s="252">
        <f>G35</f>
        <v/>
      </c>
      <c r="H81" s="251">
        <f>H35</f>
        <v/>
      </c>
      <c r="I81" s="242">
        <f>I35</f>
        <v/>
      </c>
      <c r="J81" s="242">
        <f>J35</f>
        <v/>
      </c>
      <c r="K81" s="242">
        <f>K35</f>
        <v/>
      </c>
      <c r="L81" s="242">
        <f>L35</f>
        <v/>
      </c>
      <c r="M81" s="242">
        <f>M35</f>
        <v/>
      </c>
      <c r="N81" s="242">
        <f>N35</f>
        <v/>
      </c>
      <c r="O81" s="242">
        <f>O35</f>
        <v/>
      </c>
      <c r="P81" s="242">
        <f>P35</f>
        <v/>
      </c>
      <c r="Q81" s="242">
        <f>Q35</f>
        <v/>
      </c>
      <c r="R81" s="242">
        <f>R35</f>
        <v/>
      </c>
      <c r="S81" s="242">
        <f>S35</f>
        <v/>
      </c>
      <c r="T81" s="242">
        <f>T35</f>
        <v/>
      </c>
      <c r="U81" s="242">
        <f>U35</f>
        <v/>
      </c>
      <c r="V81" s="242">
        <f>V35</f>
        <v/>
      </c>
    </row>
    <row r="82">
      <c r="A82" s="165" t="inlineStr">
        <is>
          <t>Deferred tax liability</t>
        </is>
      </c>
      <c r="B82" s="165" t="inlineStr">
        <is>
          <t>$mm</t>
        </is>
      </c>
      <c r="C82" s="242">
        <f>MAX(0,'S&amp;U_Opening'!$E$19+'Scenario_Drivers'!C159-C26+C27)</f>
        <v/>
      </c>
      <c r="D82" s="242">
        <f>MAX(0,C82+'Scenario_Drivers'!D159-D26+D27)</f>
        <v/>
      </c>
      <c r="E82" s="242">
        <f>MAX(0,D82+'Scenario_Drivers'!E159-E26+E27)</f>
        <v/>
      </c>
      <c r="F82" s="251">
        <f>MAX(0,E82+'Scenario_Drivers'!F159-F26+F27)</f>
        <v/>
      </c>
      <c r="G82" s="252">
        <f>MAX(0,F82+'Scenario_Drivers'!G159-G26+G27)</f>
        <v/>
      </c>
      <c r="H82" s="251">
        <f>MAX(0,G82+'Scenario_Drivers'!H159-H26+H27)</f>
        <v/>
      </c>
      <c r="I82" s="242">
        <f>MAX(0,H82+'Scenario_Drivers'!I159-I26+I27)</f>
        <v/>
      </c>
      <c r="J82" s="242">
        <f>MAX(0,I82+'Scenario_Drivers'!J159-J26+J27)</f>
        <v/>
      </c>
      <c r="K82" s="242">
        <f>MAX(0,J82+'Scenario_Drivers'!K159-K26+K27)</f>
        <v/>
      </c>
      <c r="L82" s="242">
        <f>MAX(0,K82+'Scenario_Drivers'!L159-L26+L27)</f>
        <v/>
      </c>
      <c r="M82" s="242">
        <f>MAX(0,L82+'Scenario_Drivers'!M159-M26+M27)</f>
        <v/>
      </c>
      <c r="N82" s="242">
        <f>MAX(0,M82+'Scenario_Drivers'!N159-N26+N27)</f>
        <v/>
      </c>
      <c r="O82" s="242">
        <f>MAX(0,N82+'Scenario_Drivers'!O159-O26+O27)</f>
        <v/>
      </c>
      <c r="P82" s="242">
        <f>MAX(0,O82+'Scenario_Drivers'!P159-P26+P27)</f>
        <v/>
      </c>
      <c r="Q82" s="242">
        <f>MAX(0,P82+'Scenario_Drivers'!Q159-Q26+Q27)</f>
        <v/>
      </c>
      <c r="R82" s="242">
        <f>MAX(0,Q82+'Scenario_Drivers'!R159-R26+R27)</f>
        <v/>
      </c>
      <c r="S82" s="242">
        <f>MAX(0,R82+'Scenario_Drivers'!S159-S26+S27)</f>
        <v/>
      </c>
      <c r="T82" s="242">
        <f>MAX(0,S82+'Scenario_Drivers'!T159-T26+T27)</f>
        <v/>
      </c>
      <c r="U82" s="242">
        <f>MAX(0,T82+'Scenario_Drivers'!U159-U26+U27)</f>
        <v/>
      </c>
      <c r="V82" s="242">
        <f>MAX(0,U82+'Scenario_Drivers'!V159-V26+V27)</f>
        <v/>
      </c>
    </row>
    <row r="83">
      <c r="A83" s="165" t="inlineStr">
        <is>
          <t>Other liabilities</t>
        </is>
      </c>
      <c r="B83" s="165" t="inlineStr">
        <is>
          <t>$mm</t>
        </is>
      </c>
      <c r="C83" s="242">
        <f>'S&amp;U_Opening'!$E$20+'Scenario_Drivers'!C160</f>
        <v/>
      </c>
      <c r="D83" s="242">
        <f>C83+'Scenario_Drivers'!D160</f>
        <v/>
      </c>
      <c r="E83" s="242">
        <f>D83+'Scenario_Drivers'!E160</f>
        <v/>
      </c>
      <c r="F83" s="251">
        <f>E83+'Scenario_Drivers'!F160</f>
        <v/>
      </c>
      <c r="G83" s="252">
        <f>F83+'Scenario_Drivers'!G160</f>
        <v/>
      </c>
      <c r="H83" s="251">
        <f>G83+'Scenario_Drivers'!H160</f>
        <v/>
      </c>
      <c r="I83" s="242">
        <f>H83+'Scenario_Drivers'!I160</f>
        <v/>
      </c>
      <c r="J83" s="242">
        <f>I83+'Scenario_Drivers'!J160</f>
        <v/>
      </c>
      <c r="K83" s="242">
        <f>J83+'Scenario_Drivers'!K160</f>
        <v/>
      </c>
      <c r="L83" s="242">
        <f>K83+'Scenario_Drivers'!L160</f>
        <v/>
      </c>
      <c r="M83" s="242">
        <f>L83+'Scenario_Drivers'!M160</f>
        <v/>
      </c>
      <c r="N83" s="242">
        <f>M83+'Scenario_Drivers'!N160</f>
        <v/>
      </c>
      <c r="O83" s="242">
        <f>N83+'Scenario_Drivers'!O160</f>
        <v/>
      </c>
      <c r="P83" s="242">
        <f>O83+'Scenario_Drivers'!P160</f>
        <v/>
      </c>
      <c r="Q83" s="242">
        <f>P83+'Scenario_Drivers'!Q160</f>
        <v/>
      </c>
      <c r="R83" s="242">
        <f>Q83+'Scenario_Drivers'!R160</f>
        <v/>
      </c>
      <c r="S83" s="242">
        <f>R83+'Scenario_Drivers'!S160</f>
        <v/>
      </c>
      <c r="T83" s="242">
        <f>S83+'Scenario_Drivers'!T160</f>
        <v/>
      </c>
      <c r="U83" s="242">
        <f>T83+'Scenario_Drivers'!U160</f>
        <v/>
      </c>
      <c r="V83" s="242">
        <f>U83+'Scenario_Drivers'!V160</f>
        <v/>
      </c>
    </row>
    <row r="84">
      <c r="A84" s="165" t="inlineStr">
        <is>
          <t>Total liabilities</t>
        </is>
      </c>
      <c r="B84" s="165" t="inlineStr">
        <is>
          <t>$mm</t>
        </is>
      </c>
      <c r="C84" s="242">
        <f>SUM(C76:C83)</f>
        <v/>
      </c>
      <c r="D84" s="242">
        <f>SUM(D76:D83)</f>
        <v/>
      </c>
      <c r="E84" s="242">
        <f>SUM(E76:E83)</f>
        <v/>
      </c>
      <c r="F84" s="251">
        <f>SUM(F76:F83)</f>
        <v/>
      </c>
      <c r="G84" s="252">
        <f>SUM(G76:G83)</f>
        <v/>
      </c>
      <c r="H84" s="251">
        <f>SUM(H76:H83)</f>
        <v/>
      </c>
      <c r="I84" s="242">
        <f>SUM(I76:I83)</f>
        <v/>
      </c>
      <c r="J84" s="242">
        <f>SUM(J76:J83)</f>
        <v/>
      </c>
      <c r="K84" s="242">
        <f>SUM(K76:K83)</f>
        <v/>
      </c>
      <c r="L84" s="242">
        <f>SUM(L76:L83)</f>
        <v/>
      </c>
      <c r="M84" s="242">
        <f>SUM(M76:M83)</f>
        <v/>
      </c>
      <c r="N84" s="242">
        <f>SUM(N76:N83)</f>
        <v/>
      </c>
      <c r="O84" s="242">
        <f>SUM(O76:O83)</f>
        <v/>
      </c>
      <c r="P84" s="242">
        <f>SUM(P76:P83)</f>
        <v/>
      </c>
      <c r="Q84" s="242">
        <f>SUM(Q76:Q83)</f>
        <v/>
      </c>
      <c r="R84" s="242">
        <f>SUM(R76:R83)</f>
        <v/>
      </c>
      <c r="S84" s="242">
        <f>SUM(S76:S83)</f>
        <v/>
      </c>
      <c r="T84" s="242">
        <f>SUM(T76:T83)</f>
        <v/>
      </c>
      <c r="U84" s="242">
        <f>SUM(U76:U83)</f>
        <v/>
      </c>
      <c r="V84" s="242">
        <f>SUM(V76:V83)</f>
        <v/>
      </c>
    </row>
    <row r="85">
      <c r="A85" s="165" t="inlineStr">
        <is>
          <t>Equity</t>
        </is>
      </c>
      <c r="B85" s="165" t="inlineStr">
        <is>
          <t>$mm</t>
        </is>
      </c>
      <c r="C85" s="242">
        <f>'S&amp;U_Opening'!$E$21+C28+C57</f>
        <v/>
      </c>
      <c r="D85" s="242">
        <f>C85+D28+D57</f>
        <v/>
      </c>
      <c r="E85" s="242">
        <f>D85+E28+E57</f>
        <v/>
      </c>
      <c r="F85" s="251">
        <f>E85+F28+F57</f>
        <v/>
      </c>
      <c r="G85" s="252">
        <f>F85+G28+G57</f>
        <v/>
      </c>
      <c r="H85" s="251">
        <f>G85+H28+H57</f>
        <v/>
      </c>
      <c r="I85" s="242">
        <f>H85+I28+I57</f>
        <v/>
      </c>
      <c r="J85" s="242">
        <f>I85+J28+J57</f>
        <v/>
      </c>
      <c r="K85" s="242">
        <f>J85+K28+K57</f>
        <v/>
      </c>
      <c r="L85" s="242">
        <f>K85+L28+L57</f>
        <v/>
      </c>
      <c r="M85" s="242">
        <f>L85+M28+M57</f>
        <v/>
      </c>
      <c r="N85" s="242">
        <f>M85+N28+N57</f>
        <v/>
      </c>
      <c r="O85" s="242">
        <f>N85+O28+O57</f>
        <v/>
      </c>
      <c r="P85" s="242">
        <f>O85+P28+P57</f>
        <v/>
      </c>
      <c r="Q85" s="242">
        <f>P85+Q28+Q57</f>
        <v/>
      </c>
      <c r="R85" s="242">
        <f>Q85+R28+R57</f>
        <v/>
      </c>
      <c r="S85" s="242">
        <f>R85+S28+S57</f>
        <v/>
      </c>
      <c r="T85" s="242">
        <f>S85+T28+T57</f>
        <v/>
      </c>
      <c r="U85" s="242">
        <f>T85+U28+U57</f>
        <v/>
      </c>
      <c r="V85" s="242">
        <f>U85+V28+V57</f>
        <v/>
      </c>
    </row>
    <row r="86">
      <c r="A86" s="165" t="inlineStr">
        <is>
          <t>Total liabilities &amp; equity</t>
        </is>
      </c>
      <c r="B86" s="165" t="inlineStr">
        <is>
          <t>$mm</t>
        </is>
      </c>
      <c r="C86" s="242">
        <f>C84+C85</f>
        <v/>
      </c>
      <c r="D86" s="242">
        <f>D84+D85</f>
        <v/>
      </c>
      <c r="E86" s="242">
        <f>E84+E85</f>
        <v/>
      </c>
      <c r="F86" s="251">
        <f>F84+F85</f>
        <v/>
      </c>
      <c r="G86" s="252">
        <f>G84+G85</f>
        <v/>
      </c>
      <c r="H86" s="251">
        <f>H84+H85</f>
        <v/>
      </c>
      <c r="I86" s="242">
        <f>I84+I85</f>
        <v/>
      </c>
      <c r="J86" s="242">
        <f>J84+J85</f>
        <v/>
      </c>
      <c r="K86" s="242">
        <f>K84+K85</f>
        <v/>
      </c>
      <c r="L86" s="242">
        <f>L84+L85</f>
        <v/>
      </c>
      <c r="M86" s="242">
        <f>M84+M85</f>
        <v/>
      </c>
      <c r="N86" s="242">
        <f>N84+N85</f>
        <v/>
      </c>
      <c r="O86" s="242">
        <f>O84+O85</f>
        <v/>
      </c>
      <c r="P86" s="242">
        <f>P84+P85</f>
        <v/>
      </c>
      <c r="Q86" s="242">
        <f>Q84+Q85</f>
        <v/>
      </c>
      <c r="R86" s="242">
        <f>R84+R85</f>
        <v/>
      </c>
      <c r="S86" s="242">
        <f>S84+S85</f>
        <v/>
      </c>
      <c r="T86" s="242">
        <f>T84+T85</f>
        <v/>
      </c>
      <c r="U86" s="242">
        <f>U84+U85</f>
        <v/>
      </c>
      <c r="V86" s="242">
        <f>V84+V85</f>
        <v/>
      </c>
    </row>
    <row r="87">
      <c r="A87" s="165" t="inlineStr">
        <is>
          <t>Balance sheet check</t>
        </is>
      </c>
      <c r="B87" s="165" t="inlineStr">
        <is>
          <t>$mm</t>
        </is>
      </c>
      <c r="C87" s="242">
        <f>C75-C86</f>
        <v/>
      </c>
      <c r="D87" s="242">
        <f>D75-D86</f>
        <v/>
      </c>
      <c r="E87" s="242">
        <f>E75-E86</f>
        <v/>
      </c>
      <c r="F87" s="251">
        <f>F75-F86</f>
        <v/>
      </c>
      <c r="G87" s="252">
        <f>G75-G86</f>
        <v/>
      </c>
      <c r="H87" s="251">
        <f>H75-H86</f>
        <v/>
      </c>
      <c r="I87" s="242">
        <f>I75-I86</f>
        <v/>
      </c>
      <c r="J87" s="242">
        <f>J75-J86</f>
        <v/>
      </c>
      <c r="K87" s="242">
        <f>K75-K86</f>
        <v/>
      </c>
      <c r="L87" s="242">
        <f>L75-L86</f>
        <v/>
      </c>
      <c r="M87" s="242">
        <f>M75-M86</f>
        <v/>
      </c>
      <c r="N87" s="242">
        <f>N75-N86</f>
        <v/>
      </c>
      <c r="O87" s="242">
        <f>O75-O86</f>
        <v/>
      </c>
      <c r="P87" s="242">
        <f>P75-P86</f>
        <v/>
      </c>
      <c r="Q87" s="242">
        <f>Q75-Q86</f>
        <v/>
      </c>
      <c r="R87" s="242">
        <f>R75-R86</f>
        <v/>
      </c>
      <c r="S87" s="242">
        <f>S75-S86</f>
        <v/>
      </c>
      <c r="T87" s="242">
        <f>T75-T86</f>
        <v/>
      </c>
      <c r="U87" s="242">
        <f>U75-U86</f>
        <v/>
      </c>
      <c r="V87" s="242">
        <f>V75-V86</f>
        <v/>
      </c>
    </row>
    <row r="88">
      <c r="A88" s="39" t="inlineStr">
        <is>
          <t>Debt and Covenant Metrics</t>
        </is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</row>
    <row r="89">
      <c r="A89" s="165" t="inlineStr">
        <is>
          <t>Gross debt</t>
        </is>
      </c>
      <c r="B89" s="165" t="inlineStr">
        <is>
          <t>$mm</t>
        </is>
      </c>
      <c r="C89" s="242">
        <f>SUM(C76:C78)</f>
        <v/>
      </c>
      <c r="D89" s="242">
        <f>SUM(D76:D78)</f>
        <v/>
      </c>
      <c r="E89" s="242">
        <f>SUM(E76:E78)</f>
        <v/>
      </c>
      <c r="F89" s="251">
        <f>SUM(F76:F78)</f>
        <v/>
      </c>
      <c r="G89" s="252">
        <f>SUM(G76:G78)</f>
        <v/>
      </c>
      <c r="H89" s="251">
        <f>SUM(H76:H78)</f>
        <v/>
      </c>
      <c r="I89" s="242">
        <f>SUM(I76:I78)</f>
        <v/>
      </c>
      <c r="J89" s="242">
        <f>SUM(J76:J78)</f>
        <v/>
      </c>
      <c r="K89" s="242">
        <f>SUM(K76:K78)</f>
        <v/>
      </c>
      <c r="L89" s="242">
        <f>SUM(L76:L78)</f>
        <v/>
      </c>
      <c r="M89" s="242">
        <f>SUM(M76:M78)</f>
        <v/>
      </c>
      <c r="N89" s="242">
        <f>SUM(N76:N78)</f>
        <v/>
      </c>
      <c r="O89" s="242">
        <f>SUM(O76:O78)</f>
        <v/>
      </c>
      <c r="P89" s="242">
        <f>SUM(P76:P78)</f>
        <v/>
      </c>
      <c r="Q89" s="242">
        <f>SUM(Q76:Q78)</f>
        <v/>
      </c>
      <c r="R89" s="242">
        <f>SUM(R76:R78)</f>
        <v/>
      </c>
      <c r="S89" s="242">
        <f>SUM(S76:S78)</f>
        <v/>
      </c>
      <c r="T89" s="242">
        <f>SUM(T76:T78)</f>
        <v/>
      </c>
      <c r="U89" s="242">
        <f>SUM(U76:U78)</f>
        <v/>
      </c>
      <c r="V89" s="242">
        <f>SUM(V76:V78)</f>
        <v/>
      </c>
    </row>
    <row r="90">
      <c r="A90" s="165" t="inlineStr">
        <is>
          <t>Eligible cash</t>
        </is>
      </c>
      <c r="B90" s="165" t="inlineStr">
        <is>
          <t>$mm</t>
        </is>
      </c>
      <c r="C90" s="242">
        <f>MIN(C67,Inputs!$B$19)</f>
        <v/>
      </c>
      <c r="D90" s="242">
        <f>MIN(D67,Inputs!$B$19)</f>
        <v/>
      </c>
      <c r="E90" s="242">
        <f>MIN(E67,Inputs!$B$19)</f>
        <v/>
      </c>
      <c r="F90" s="251">
        <f>MIN(F67,Inputs!$B$19)</f>
        <v/>
      </c>
      <c r="G90" s="252">
        <f>MIN(G67,Inputs!$B$19)</f>
        <v/>
      </c>
      <c r="H90" s="251">
        <f>MIN(H67,Inputs!$B$19)</f>
        <v/>
      </c>
      <c r="I90" s="242">
        <f>MIN(I67,Inputs!$B$19)</f>
        <v/>
      </c>
      <c r="J90" s="242">
        <f>MIN(J67,Inputs!$B$19)</f>
        <v/>
      </c>
      <c r="K90" s="242">
        <f>MIN(K67,Inputs!$B$19)</f>
        <v/>
      </c>
      <c r="L90" s="242">
        <f>MIN(L67,Inputs!$B$19)</f>
        <v/>
      </c>
      <c r="M90" s="242">
        <f>MIN(M67,Inputs!$B$19)</f>
        <v/>
      </c>
      <c r="N90" s="242">
        <f>MIN(N67,Inputs!$B$19)</f>
        <v/>
      </c>
      <c r="O90" s="242">
        <f>MIN(O67,Inputs!$B$19)</f>
        <v/>
      </c>
      <c r="P90" s="242">
        <f>MIN(P67,Inputs!$B$19)</f>
        <v/>
      </c>
      <c r="Q90" s="242">
        <f>MIN(Q67,Inputs!$B$19)</f>
        <v/>
      </c>
      <c r="R90" s="242">
        <f>MIN(R67,Inputs!$B$19)</f>
        <v/>
      </c>
      <c r="S90" s="242">
        <f>MIN(S67,Inputs!$B$19)</f>
        <v/>
      </c>
      <c r="T90" s="242">
        <f>MIN(T67,Inputs!$B$19)</f>
        <v/>
      </c>
      <c r="U90" s="242">
        <f>MIN(U67,Inputs!$B$19)</f>
        <v/>
      </c>
      <c r="V90" s="242">
        <f>MIN(V67,Inputs!$B$19)</f>
        <v/>
      </c>
    </row>
    <row r="91">
      <c r="A91" s="165" t="inlineStr">
        <is>
          <t>Covenant net debt</t>
        </is>
      </c>
      <c r="B91" s="165" t="inlineStr">
        <is>
          <t>$mm</t>
        </is>
      </c>
      <c r="C91" s="242">
        <f>C89-C90</f>
        <v/>
      </c>
      <c r="D91" s="242">
        <f>D89-D90</f>
        <v/>
      </c>
      <c r="E91" s="242">
        <f>E89-E90</f>
        <v/>
      </c>
      <c r="F91" s="251">
        <f>F89-F90</f>
        <v/>
      </c>
      <c r="G91" s="252">
        <f>G89-G90</f>
        <v/>
      </c>
      <c r="H91" s="251">
        <f>H89-H90</f>
        <v/>
      </c>
      <c r="I91" s="242">
        <f>I89-I90</f>
        <v/>
      </c>
      <c r="J91" s="242">
        <f>J89-J90</f>
        <v/>
      </c>
      <c r="K91" s="242">
        <f>K89-K90</f>
        <v/>
      </c>
      <c r="L91" s="242">
        <f>L89-L90</f>
        <v/>
      </c>
      <c r="M91" s="242">
        <f>M89-M90</f>
        <v/>
      </c>
      <c r="N91" s="242">
        <f>N89-N90</f>
        <v/>
      </c>
      <c r="O91" s="242">
        <f>O89-O90</f>
        <v/>
      </c>
      <c r="P91" s="242">
        <f>P89-P90</f>
        <v/>
      </c>
      <c r="Q91" s="242">
        <f>Q89-Q90</f>
        <v/>
      </c>
      <c r="R91" s="242">
        <f>R89-R90</f>
        <v/>
      </c>
      <c r="S91" s="242">
        <f>S89-S90</f>
        <v/>
      </c>
      <c r="T91" s="242">
        <f>T89-T90</f>
        <v/>
      </c>
      <c r="U91" s="242">
        <f>U89-U90</f>
        <v/>
      </c>
      <c r="V91" s="242">
        <f>V89-V90</f>
        <v/>
      </c>
    </row>
    <row r="92">
      <c r="A92" s="165" t="inlineStr">
        <is>
          <t>Economic net debt</t>
        </is>
      </c>
      <c r="B92" s="165" t="inlineStr">
        <is>
          <t>$mm</t>
        </is>
      </c>
      <c r="C92" s="242">
        <f>C89-C67</f>
        <v/>
      </c>
      <c r="D92" s="242">
        <f>D89-D67</f>
        <v/>
      </c>
      <c r="E92" s="242">
        <f>E89-E67</f>
        <v/>
      </c>
      <c r="F92" s="251">
        <f>F89-F67</f>
        <v/>
      </c>
      <c r="G92" s="252">
        <f>G89-G67</f>
        <v/>
      </c>
      <c r="H92" s="251">
        <f>H89-H67</f>
        <v/>
      </c>
      <c r="I92" s="242">
        <f>I89-I67</f>
        <v/>
      </c>
      <c r="J92" s="242">
        <f>J89-J67</f>
        <v/>
      </c>
      <c r="K92" s="242">
        <f>K89-K67</f>
        <v/>
      </c>
      <c r="L92" s="242">
        <f>L89-L67</f>
        <v/>
      </c>
      <c r="M92" s="242">
        <f>M89-M67</f>
        <v/>
      </c>
      <c r="N92" s="242">
        <f>N89-N67</f>
        <v/>
      </c>
      <c r="O92" s="242">
        <f>O89-O67</f>
        <v/>
      </c>
      <c r="P92" s="242">
        <f>P89-P67</f>
        <v/>
      </c>
      <c r="Q92" s="242">
        <f>Q89-Q67</f>
        <v/>
      </c>
      <c r="R92" s="242">
        <f>R89-R67</f>
        <v/>
      </c>
      <c r="S92" s="242">
        <f>S89-S67</f>
        <v/>
      </c>
      <c r="T92" s="242">
        <f>T89-T67</f>
        <v/>
      </c>
      <c r="U92" s="242">
        <f>U89-U67</f>
        <v/>
      </c>
      <c r="V92" s="242">
        <f>V89-V67</f>
        <v/>
      </c>
    </row>
    <row r="93">
      <c r="A93" s="165" t="inlineStr">
        <is>
          <t>LTM revenue</t>
        </is>
      </c>
      <c r="B93" s="165" t="inlineStr">
        <is>
          <t>$mm</t>
        </is>
      </c>
      <c r="C93" s="242">
        <f>SUM(C5:C5)</f>
        <v/>
      </c>
      <c r="D93" s="242">
        <f>SUM(C5:D5)</f>
        <v/>
      </c>
      <c r="E93" s="242">
        <f>SUM(C5:E5)</f>
        <v/>
      </c>
      <c r="F93" s="251">
        <f>SUM(C5:F5)</f>
        <v/>
      </c>
      <c r="G93" s="252">
        <f>SUM(D5:G5)</f>
        <v/>
      </c>
      <c r="H93" s="251">
        <f>SUM(E5:H5)</f>
        <v/>
      </c>
      <c r="I93" s="242">
        <f>SUM(F5:I5)</f>
        <v/>
      </c>
      <c r="J93" s="242">
        <f>SUM(G5:J5)</f>
        <v/>
      </c>
      <c r="K93" s="242">
        <f>SUM(H5:K5)</f>
        <v/>
      </c>
      <c r="L93" s="242">
        <f>SUM(I5:L5)</f>
        <v/>
      </c>
      <c r="M93" s="242">
        <f>SUM(J5:M5)</f>
        <v/>
      </c>
      <c r="N93" s="242">
        <f>SUM(K5:N5)</f>
        <v/>
      </c>
      <c r="O93" s="242">
        <f>SUM(L5:O5)</f>
        <v/>
      </c>
      <c r="P93" s="242">
        <f>SUM(M5:P5)</f>
        <v/>
      </c>
      <c r="Q93" s="242">
        <f>SUM(N5:Q5)</f>
        <v/>
      </c>
      <c r="R93" s="242">
        <f>SUM(O5:R5)</f>
        <v/>
      </c>
      <c r="S93" s="242">
        <f>SUM(P5:S5)</f>
        <v/>
      </c>
      <c r="T93" s="242">
        <f>SUM(Q5:T5)</f>
        <v/>
      </c>
      <c r="U93" s="242">
        <f>SUM(R5:U5)</f>
        <v/>
      </c>
      <c r="V93" s="242">
        <f>SUM(S5:V5)</f>
        <v/>
      </c>
    </row>
    <row r="94">
      <c r="A94" s="165" t="inlineStr">
        <is>
          <t>LTM reported EBITDA</t>
        </is>
      </c>
      <c r="B94" s="165" t="inlineStr">
        <is>
          <t>$mm</t>
        </is>
      </c>
      <c r="C94" s="242">
        <f>SUM(C12:C12)</f>
        <v/>
      </c>
      <c r="D94" s="242">
        <f>SUM(C12:D12)</f>
        <v/>
      </c>
      <c r="E94" s="242">
        <f>SUM(C12:E12)</f>
        <v/>
      </c>
      <c r="F94" s="251">
        <f>SUM(C12:F12)</f>
        <v/>
      </c>
      <c r="G94" s="252">
        <f>SUM(D12:G12)</f>
        <v/>
      </c>
      <c r="H94" s="251">
        <f>SUM(E12:H12)</f>
        <v/>
      </c>
      <c r="I94" s="242">
        <f>SUM(F12:I12)</f>
        <v/>
      </c>
      <c r="J94" s="242">
        <f>SUM(G12:J12)</f>
        <v/>
      </c>
      <c r="K94" s="242">
        <f>SUM(H12:K12)</f>
        <v/>
      </c>
      <c r="L94" s="242">
        <f>SUM(I12:L12)</f>
        <v/>
      </c>
      <c r="M94" s="242">
        <f>SUM(J12:M12)</f>
        <v/>
      </c>
      <c r="N94" s="242">
        <f>SUM(K12:N12)</f>
        <v/>
      </c>
      <c r="O94" s="242">
        <f>SUM(L12:O12)</f>
        <v/>
      </c>
      <c r="P94" s="242">
        <f>SUM(M12:P12)</f>
        <v/>
      </c>
      <c r="Q94" s="242">
        <f>SUM(N12:Q12)</f>
        <v/>
      </c>
      <c r="R94" s="242">
        <f>SUM(O12:R12)</f>
        <v/>
      </c>
      <c r="S94" s="242">
        <f>SUM(P12:S12)</f>
        <v/>
      </c>
      <c r="T94" s="242">
        <f>SUM(Q12:T12)</f>
        <v/>
      </c>
      <c r="U94" s="242">
        <f>SUM(R12:U12)</f>
        <v/>
      </c>
      <c r="V94" s="242">
        <f>SUM(S12:V12)</f>
        <v/>
      </c>
    </row>
    <row r="95">
      <c r="A95" s="165" t="inlineStr">
        <is>
          <t>LTM firm EBITDA</t>
        </is>
      </c>
      <c r="B95" s="165" t="inlineStr">
        <is>
          <t>$mm</t>
        </is>
      </c>
      <c r="C95" s="242">
        <f>SUM(C10:C10)</f>
        <v/>
      </c>
      <c r="D95" s="242">
        <f>SUM(C10:D10)</f>
        <v/>
      </c>
      <c r="E95" s="242">
        <f>SUM(C10:E10)</f>
        <v/>
      </c>
      <c r="F95" s="251">
        <f>SUM(C10:F10)</f>
        <v/>
      </c>
      <c r="G95" s="252">
        <f>SUM(D10:G10)</f>
        <v/>
      </c>
      <c r="H95" s="251">
        <f>SUM(E10:H10)</f>
        <v/>
      </c>
      <c r="I95" s="242">
        <f>SUM(F10:I10)</f>
        <v/>
      </c>
      <c r="J95" s="242">
        <f>SUM(G10:J10)</f>
        <v/>
      </c>
      <c r="K95" s="242">
        <f>SUM(H10:K10)</f>
        <v/>
      </c>
      <c r="L95" s="242">
        <f>SUM(I10:L10)</f>
        <v/>
      </c>
      <c r="M95" s="242">
        <f>SUM(J10:M10)</f>
        <v/>
      </c>
      <c r="N95" s="242">
        <f>SUM(K10:N10)</f>
        <v/>
      </c>
      <c r="O95" s="242">
        <f>SUM(L10:O10)</f>
        <v/>
      </c>
      <c r="P95" s="242">
        <f>SUM(M10:P10)</f>
        <v/>
      </c>
      <c r="Q95" s="242">
        <f>SUM(N10:Q10)</f>
        <v/>
      </c>
      <c r="R95" s="242">
        <f>SUM(O10:R10)</f>
        <v/>
      </c>
      <c r="S95" s="242">
        <f>SUM(P10:S10)</f>
        <v/>
      </c>
      <c r="T95" s="242">
        <f>SUM(Q10:T10)</f>
        <v/>
      </c>
      <c r="U95" s="242">
        <f>SUM(R10:U10)</f>
        <v/>
      </c>
      <c r="V95" s="242">
        <f>SUM(S10:V10)</f>
        <v/>
      </c>
    </row>
    <row r="96">
      <c r="A96" s="165" t="inlineStr">
        <is>
          <t>LTM add-backs</t>
        </is>
      </c>
      <c r="B96" s="165" t="inlineStr">
        <is>
          <t>$mm</t>
        </is>
      </c>
      <c r="C96" s="242">
        <f>SUM(C13:C13)</f>
        <v/>
      </c>
      <c r="D96" s="242">
        <f>SUM(C13:D13)</f>
        <v/>
      </c>
      <c r="E96" s="242">
        <f>SUM(C13:E13)</f>
        <v/>
      </c>
      <c r="F96" s="251">
        <f>SUM(C13:F13)</f>
        <v/>
      </c>
      <c r="G96" s="252">
        <f>SUM(D13:G13)</f>
        <v/>
      </c>
      <c r="H96" s="251">
        <f>SUM(E13:H13)</f>
        <v/>
      </c>
      <c r="I96" s="242">
        <f>SUM(F13:I13)</f>
        <v/>
      </c>
      <c r="J96" s="242">
        <f>SUM(G13:J13)</f>
        <v/>
      </c>
      <c r="K96" s="242">
        <f>SUM(H13:K13)</f>
        <v/>
      </c>
      <c r="L96" s="242">
        <f>SUM(I13:L13)</f>
        <v/>
      </c>
      <c r="M96" s="242">
        <f>SUM(J13:M13)</f>
        <v/>
      </c>
      <c r="N96" s="242">
        <f>SUM(K13:N13)</f>
        <v/>
      </c>
      <c r="O96" s="242">
        <f>SUM(L13:O13)</f>
        <v/>
      </c>
      <c r="P96" s="242">
        <f>SUM(M13:P13)</f>
        <v/>
      </c>
      <c r="Q96" s="242">
        <f>SUM(N13:Q13)</f>
        <v/>
      </c>
      <c r="R96" s="242">
        <f>SUM(O13:R13)</f>
        <v/>
      </c>
      <c r="S96" s="242">
        <f>SUM(P13:S13)</f>
        <v/>
      </c>
      <c r="T96" s="242">
        <f>SUM(Q13:T13)</f>
        <v/>
      </c>
      <c r="U96" s="242">
        <f>SUM(R13:U13)</f>
        <v/>
      </c>
      <c r="V96" s="242">
        <f>SUM(S13:V13)</f>
        <v/>
      </c>
    </row>
    <row r="97">
      <c r="A97" s="165" t="inlineStr">
        <is>
          <t>LTM covenant EBITDA</t>
        </is>
      </c>
      <c r="B97" s="165" t="inlineStr">
        <is>
          <t>$mm</t>
        </is>
      </c>
      <c r="C97" s="242">
        <f>SUM(C14:C14)</f>
        <v/>
      </c>
      <c r="D97" s="242">
        <f>SUM(C14:D14)</f>
        <v/>
      </c>
      <c r="E97" s="242">
        <f>SUM(C14:E14)</f>
        <v/>
      </c>
      <c r="F97" s="251">
        <f>SUM(C14:F14)</f>
        <v/>
      </c>
      <c r="G97" s="252">
        <f>SUM(D14:G14)</f>
        <v/>
      </c>
      <c r="H97" s="251">
        <f>SUM(E14:H14)</f>
        <v/>
      </c>
      <c r="I97" s="242">
        <f>SUM(F14:I14)</f>
        <v/>
      </c>
      <c r="J97" s="242">
        <f>SUM(G14:J14)</f>
        <v/>
      </c>
      <c r="K97" s="242">
        <f>SUM(H14:K14)</f>
        <v/>
      </c>
      <c r="L97" s="242">
        <f>SUM(I14:L14)</f>
        <v/>
      </c>
      <c r="M97" s="242">
        <f>SUM(J14:M14)</f>
        <v/>
      </c>
      <c r="N97" s="242">
        <f>SUM(K14:N14)</f>
        <v/>
      </c>
      <c r="O97" s="242">
        <f>SUM(L14:O14)</f>
        <v/>
      </c>
      <c r="P97" s="242">
        <f>SUM(M14:P14)</f>
        <v/>
      </c>
      <c r="Q97" s="242">
        <f>SUM(N14:Q14)</f>
        <v/>
      </c>
      <c r="R97" s="242">
        <f>SUM(O14:R14)</f>
        <v/>
      </c>
      <c r="S97" s="242">
        <f>SUM(P14:S14)</f>
        <v/>
      </c>
      <c r="T97" s="242">
        <f>SUM(Q14:T14)</f>
        <v/>
      </c>
      <c r="U97" s="242">
        <f>SUM(R14:U14)</f>
        <v/>
      </c>
      <c r="V97" s="242">
        <f>SUM(S14:V14)</f>
        <v/>
      </c>
    </row>
    <row r="98">
      <c r="A98" s="165" t="inlineStr">
        <is>
          <t>Total net leverage</t>
        </is>
      </c>
      <c r="B98" s="165" t="inlineStr">
        <is>
          <t>x</t>
        </is>
      </c>
      <c r="C98" s="243">
        <f>C91/MAX(0.001,C97)</f>
        <v/>
      </c>
      <c r="D98" s="243">
        <f>D91/MAX(0.001,D97)</f>
        <v/>
      </c>
      <c r="E98" s="243">
        <f>E91/MAX(0.001,E97)</f>
        <v/>
      </c>
      <c r="F98" s="253">
        <f>F91/MAX(0.001,F97)</f>
        <v/>
      </c>
      <c r="G98" s="254">
        <f>G91/MAX(0.001,G97)</f>
        <v/>
      </c>
      <c r="H98" s="253">
        <f>H91/MAX(0.001,H97)</f>
        <v/>
      </c>
      <c r="I98" s="243">
        <f>I91/MAX(0.001,I97)</f>
        <v/>
      </c>
      <c r="J98" s="243">
        <f>J91/MAX(0.001,J97)</f>
        <v/>
      </c>
      <c r="K98" s="243">
        <f>K91/MAX(0.001,K97)</f>
        <v/>
      </c>
      <c r="L98" s="243">
        <f>L91/MAX(0.001,L97)</f>
        <v/>
      </c>
      <c r="M98" s="243">
        <f>M91/MAX(0.001,M97)</f>
        <v/>
      </c>
      <c r="N98" s="243">
        <f>N91/MAX(0.001,N97)</f>
        <v/>
      </c>
      <c r="O98" s="243">
        <f>O91/MAX(0.001,O97)</f>
        <v/>
      </c>
      <c r="P98" s="243">
        <f>P91/MAX(0.001,P97)</f>
        <v/>
      </c>
      <c r="Q98" s="243">
        <f>Q91/MAX(0.001,Q97)</f>
        <v/>
      </c>
      <c r="R98" s="243">
        <f>R91/MAX(0.001,R97)</f>
        <v/>
      </c>
      <c r="S98" s="243">
        <f>S91/MAX(0.001,S97)</f>
        <v/>
      </c>
      <c r="T98" s="243">
        <f>T91/MAX(0.001,T97)</f>
        <v/>
      </c>
      <c r="U98" s="243">
        <f>U91/MAX(0.001,U97)</f>
        <v/>
      </c>
      <c r="V98" s="243">
        <f>V91/MAX(0.001,V97)</f>
        <v/>
      </c>
    </row>
    <row r="99">
      <c r="A99" s="165" t="inlineStr">
        <is>
          <t>Gross leverage</t>
        </is>
      </c>
      <c r="B99" s="165" t="inlineStr">
        <is>
          <t>x</t>
        </is>
      </c>
      <c r="C99" s="243">
        <f>C89/MAX(0.001,C95)</f>
        <v/>
      </c>
      <c r="D99" s="243">
        <f>D89/MAX(0.001,D95)</f>
        <v/>
      </c>
      <c r="E99" s="243">
        <f>E89/MAX(0.001,E95)</f>
        <v/>
      </c>
      <c r="F99" s="253">
        <f>F89/MAX(0.001,F95)</f>
        <v/>
      </c>
      <c r="G99" s="254">
        <f>G89/MAX(0.001,G95)</f>
        <v/>
      </c>
      <c r="H99" s="253">
        <f>H89/MAX(0.001,H95)</f>
        <v/>
      </c>
      <c r="I99" s="243">
        <f>I89/MAX(0.001,I95)</f>
        <v/>
      </c>
      <c r="J99" s="243">
        <f>J89/MAX(0.001,J95)</f>
        <v/>
      </c>
      <c r="K99" s="243">
        <f>K89/MAX(0.001,K95)</f>
        <v/>
      </c>
      <c r="L99" s="243">
        <f>L89/MAX(0.001,L95)</f>
        <v/>
      </c>
      <c r="M99" s="243">
        <f>M89/MAX(0.001,M95)</f>
        <v/>
      </c>
      <c r="N99" s="243">
        <f>N89/MAX(0.001,N95)</f>
        <v/>
      </c>
      <c r="O99" s="243">
        <f>O89/MAX(0.001,O95)</f>
        <v/>
      </c>
      <c r="P99" s="243">
        <f>P89/MAX(0.001,P95)</f>
        <v/>
      </c>
      <c r="Q99" s="243">
        <f>Q89/MAX(0.001,Q95)</f>
        <v/>
      </c>
      <c r="R99" s="243">
        <f>R89/MAX(0.001,R95)</f>
        <v/>
      </c>
      <c r="S99" s="243">
        <f>S89/MAX(0.001,S95)</f>
        <v/>
      </c>
      <c r="T99" s="243">
        <f>T89/MAX(0.001,T95)</f>
        <v/>
      </c>
      <c r="U99" s="243">
        <f>U89/MAX(0.001,U95)</f>
        <v/>
      </c>
      <c r="V99" s="243">
        <f>V89/MAX(0.001,V95)</f>
        <v/>
      </c>
    </row>
    <row r="100">
      <c r="A100" s="165" t="inlineStr">
        <is>
          <t>Fixed charge coverage</t>
        </is>
      </c>
      <c r="B100" s="165" t="inlineStr">
        <is>
          <t>x</t>
        </is>
      </c>
      <c r="C100" s="243">
        <f>(C94-SUM(C27:C27)-SUM(C41:C41))/MAX(0.001,(-SUM(C22:C22)-SUM(C61:C61)-SUM(C62:C62)))</f>
        <v/>
      </c>
      <c r="D100" s="243">
        <f>(D94-SUM(C27:D27)-SUM(C41:D41))/MAX(0.001,(-SUM(C22:D22)-SUM(C61:D61)-SUM(C62:D62)))</f>
        <v/>
      </c>
      <c r="E100" s="243">
        <f>(E94-SUM(C27:E27)-SUM(C41:E41))/MAX(0.001,(-SUM(C22:E22)-SUM(C61:E61)-SUM(C62:E62)))</f>
        <v/>
      </c>
      <c r="F100" s="253">
        <f>(F94-SUM(C27:F27)-SUM(C41:F41))/MAX(0.001,(-SUM(C22:F22)-SUM(C61:F61)-SUM(C62:F62)))</f>
        <v/>
      </c>
      <c r="G100" s="254">
        <f>(G94-SUM(D27:G27)-SUM(D41:G41))/MAX(0.001,(-SUM(D22:G22)-SUM(D61:G61)-SUM(D62:G62)))</f>
        <v/>
      </c>
      <c r="H100" s="253">
        <f>(H94-SUM(E27:H27)-SUM(E41:H41))/MAX(0.001,(-SUM(E22:H22)-SUM(E61:H61)-SUM(E62:H62)))</f>
        <v/>
      </c>
      <c r="I100" s="243">
        <f>(I94-SUM(F27:I27)-SUM(F41:I41))/MAX(0.001,(-SUM(F22:I22)-SUM(F61:I61)-SUM(F62:I62)))</f>
        <v/>
      </c>
      <c r="J100" s="243">
        <f>(J94-SUM(G27:J27)-SUM(G41:J41))/MAX(0.001,(-SUM(G22:J22)-SUM(G61:J61)-SUM(G62:J62)))</f>
        <v/>
      </c>
      <c r="K100" s="243">
        <f>(K94-SUM(H27:K27)-SUM(H41:K41))/MAX(0.001,(-SUM(H22:K22)-SUM(H61:K61)-SUM(H62:K62)))</f>
        <v/>
      </c>
      <c r="L100" s="243">
        <f>(L94-SUM(I27:L27)-SUM(I41:L41))/MAX(0.001,(-SUM(I22:L22)-SUM(I61:L61)-SUM(I62:L62)))</f>
        <v/>
      </c>
      <c r="M100" s="243">
        <f>(M94-SUM(J27:M27)-SUM(J41:M41))/MAX(0.001,(-SUM(J22:M22)-SUM(J61:M61)-SUM(J62:M62)))</f>
        <v/>
      </c>
      <c r="N100" s="243">
        <f>(N94-SUM(K27:N27)-SUM(K41:N41))/MAX(0.001,(-SUM(K22:N22)-SUM(K61:N61)-SUM(K62:N62)))</f>
        <v/>
      </c>
      <c r="O100" s="243">
        <f>(O94-SUM(L27:O27)-SUM(L41:O41))/MAX(0.001,(-SUM(L22:O22)-SUM(L61:O61)-SUM(L62:O62)))</f>
        <v/>
      </c>
      <c r="P100" s="243">
        <f>(P94-SUM(M27:P27)-SUM(M41:P41))/MAX(0.001,(-SUM(M22:P22)-SUM(M61:P61)-SUM(M62:P62)))</f>
        <v/>
      </c>
      <c r="Q100" s="243">
        <f>(Q94-SUM(N27:Q27)-SUM(N41:Q41))/MAX(0.001,(-SUM(N22:Q22)-SUM(N61:Q61)-SUM(N62:Q62)))</f>
        <v/>
      </c>
      <c r="R100" s="243">
        <f>(R94-SUM(O27:R27)-SUM(O41:R41))/MAX(0.001,(-SUM(O22:R22)-SUM(O61:R61)-SUM(O62:R62)))</f>
        <v/>
      </c>
      <c r="S100" s="243">
        <f>(S94-SUM(P27:S27)-SUM(P41:S41))/MAX(0.001,(-SUM(P22:S22)-SUM(P61:S61)-SUM(P62:S62)))</f>
        <v/>
      </c>
      <c r="T100" s="243">
        <f>(T94-SUM(Q27:T27)-SUM(Q41:T41))/MAX(0.001,(-SUM(Q22:T22)-SUM(Q61:T61)-SUM(Q62:T62)))</f>
        <v/>
      </c>
      <c r="U100" s="243">
        <f>(U94-SUM(R27:U27)-SUM(R41:U41))/MAX(0.001,(-SUM(R22:U22)-SUM(R61:U61)-SUM(R62:U62)))</f>
        <v/>
      </c>
      <c r="V100" s="243">
        <f>(V94-SUM(S27:V27)-SUM(S41:V41))/MAX(0.001,(-SUM(S22:V22)-SUM(S61:V61)-SUM(S62:V62)))</f>
        <v/>
      </c>
    </row>
    <row r="101">
      <c r="A101" s="165" t="inlineStr">
        <is>
          <t>Revolver availability</t>
        </is>
      </c>
      <c r="B101" s="165" t="inlineStr">
        <is>
          <t>$mm</t>
        </is>
      </c>
      <c r="C101" s="242">
        <f>MAX(0,Inputs!$B$20-C78-'Scenario_Drivers'!C164)</f>
        <v/>
      </c>
      <c r="D101" s="242">
        <f>MAX(0,Inputs!$B$20-D78-'Scenario_Drivers'!D164)</f>
        <v/>
      </c>
      <c r="E101" s="242">
        <f>MAX(0,Inputs!$B$20-E78-'Scenario_Drivers'!E164)</f>
        <v/>
      </c>
      <c r="F101" s="251">
        <f>MAX(0,Inputs!$B$20-F78-'Scenario_Drivers'!F164)</f>
        <v/>
      </c>
      <c r="G101" s="252">
        <f>MAX(0,Inputs!$B$20-G78-'Scenario_Drivers'!G164)</f>
        <v/>
      </c>
      <c r="H101" s="251">
        <f>MAX(0,Inputs!$B$20-H78-'Scenario_Drivers'!H164)</f>
        <v/>
      </c>
      <c r="I101" s="242">
        <f>MAX(0,Inputs!$B$20-I78-'Scenario_Drivers'!I164)</f>
        <v/>
      </c>
      <c r="J101" s="242">
        <f>MAX(0,Inputs!$B$20-J78-'Scenario_Drivers'!J164)</f>
        <v/>
      </c>
      <c r="K101" s="242">
        <f>MAX(0,Inputs!$B$20-K78-'Scenario_Drivers'!K164)</f>
        <v/>
      </c>
      <c r="L101" s="242">
        <f>MAX(0,Inputs!$B$20-L78-'Scenario_Drivers'!L164)</f>
        <v/>
      </c>
      <c r="M101" s="242">
        <f>MAX(0,Inputs!$B$20-M78-'Scenario_Drivers'!M164)</f>
        <v/>
      </c>
      <c r="N101" s="242">
        <f>MAX(0,Inputs!$B$20-N78-'Scenario_Drivers'!N164)</f>
        <v/>
      </c>
      <c r="O101" s="242">
        <f>MAX(0,Inputs!$B$20-O78-'Scenario_Drivers'!O164)</f>
        <v/>
      </c>
      <c r="P101" s="242">
        <f>MAX(0,Inputs!$B$20-P78-'Scenario_Drivers'!P164)</f>
        <v/>
      </c>
      <c r="Q101" s="242">
        <f>MAX(0,Inputs!$B$20-Q78-'Scenario_Drivers'!Q164)</f>
        <v/>
      </c>
      <c r="R101" s="242">
        <f>MAX(0,Inputs!$B$20-R78-'Scenario_Drivers'!R164)</f>
        <v/>
      </c>
      <c r="S101" s="242">
        <f>MAX(0,Inputs!$B$20-S78-'Scenario_Drivers'!S164)</f>
        <v/>
      </c>
      <c r="T101" s="242">
        <f>MAX(0,Inputs!$B$20-T78-'Scenario_Drivers'!T164)</f>
        <v/>
      </c>
      <c r="U101" s="242">
        <f>MAX(0,Inputs!$B$20-U78-'Scenario_Drivers'!U164)</f>
        <v/>
      </c>
      <c r="V101" s="242">
        <f>MAX(0,Inputs!$B$20-V78-'Scenario_Drivers'!V164)</f>
        <v/>
      </c>
    </row>
    <row r="102">
      <c r="A102" s="165" t="inlineStr">
        <is>
          <t>Liquidity</t>
        </is>
      </c>
      <c r="B102" s="165" t="inlineStr">
        <is>
          <t>$mm</t>
        </is>
      </c>
      <c r="C102" s="242">
        <f>C67+C101</f>
        <v/>
      </c>
      <c r="D102" s="242">
        <f>D67+D101</f>
        <v/>
      </c>
      <c r="E102" s="242">
        <f>E67+E101</f>
        <v/>
      </c>
      <c r="F102" s="251">
        <f>F67+F101</f>
        <v/>
      </c>
      <c r="G102" s="252">
        <f>G67+G101</f>
        <v/>
      </c>
      <c r="H102" s="251">
        <f>H67+H101</f>
        <v/>
      </c>
      <c r="I102" s="242">
        <f>I67+I101</f>
        <v/>
      </c>
      <c r="J102" s="242">
        <f>J67+J101</f>
        <v/>
      </c>
      <c r="K102" s="242">
        <f>K67+K101</f>
        <v/>
      </c>
      <c r="L102" s="242">
        <f>L67+L101</f>
        <v/>
      </c>
      <c r="M102" s="242">
        <f>M67+M101</f>
        <v/>
      </c>
      <c r="N102" s="242">
        <f>N67+N101</f>
        <v/>
      </c>
      <c r="O102" s="242">
        <f>O67+O101</f>
        <v/>
      </c>
      <c r="P102" s="242">
        <f>P67+P101</f>
        <v/>
      </c>
      <c r="Q102" s="242">
        <f>Q67+Q101</f>
        <v/>
      </c>
      <c r="R102" s="242">
        <f>R67+R101</f>
        <v/>
      </c>
      <c r="S102" s="242">
        <f>S67+S101</f>
        <v/>
      </c>
      <c r="T102" s="242">
        <f>T67+T101</f>
        <v/>
      </c>
      <c r="U102" s="242">
        <f>U67+U101</f>
        <v/>
      </c>
      <c r="V102" s="242">
        <f>V67+V101</f>
        <v/>
      </c>
    </row>
    <row r="103">
      <c r="A103" s="165" t="inlineStr">
        <is>
          <t>Covenant limit</t>
        </is>
      </c>
      <c r="B103" s="165" t="inlineStr">
        <is>
          <t>x</t>
        </is>
      </c>
      <c r="C103" s="244">
        <f>'Scenario_Drivers'!C168</f>
        <v/>
      </c>
      <c r="D103" s="244">
        <f>'Scenario_Drivers'!D168</f>
        <v/>
      </c>
      <c r="E103" s="244">
        <f>'Scenario_Drivers'!E168</f>
        <v/>
      </c>
      <c r="F103" s="255">
        <f>'Scenario_Drivers'!F168</f>
        <v/>
      </c>
      <c r="G103" s="256">
        <f>'Scenario_Drivers'!G168</f>
        <v/>
      </c>
      <c r="H103" s="255">
        <f>'Scenario_Drivers'!H168</f>
        <v/>
      </c>
      <c r="I103" s="244">
        <f>'Scenario_Drivers'!I168</f>
        <v/>
      </c>
      <c r="J103" s="244">
        <f>'Scenario_Drivers'!J168</f>
        <v/>
      </c>
      <c r="K103" s="244">
        <f>'Scenario_Drivers'!K168</f>
        <v/>
      </c>
      <c r="L103" s="244">
        <f>'Scenario_Drivers'!L168</f>
        <v/>
      </c>
      <c r="M103" s="244">
        <f>'Scenario_Drivers'!M168</f>
        <v/>
      </c>
      <c r="N103" s="244">
        <f>'Scenario_Drivers'!N168</f>
        <v/>
      </c>
      <c r="O103" s="244">
        <f>'Scenario_Drivers'!O168</f>
        <v/>
      </c>
      <c r="P103" s="244">
        <f>'Scenario_Drivers'!P168</f>
        <v/>
      </c>
      <c r="Q103" s="244">
        <f>'Scenario_Drivers'!Q168</f>
        <v/>
      </c>
      <c r="R103" s="244">
        <f>'Scenario_Drivers'!R168</f>
        <v/>
      </c>
      <c r="S103" s="244">
        <f>'Scenario_Drivers'!S168</f>
        <v/>
      </c>
      <c r="T103" s="244">
        <f>'Scenario_Drivers'!T168</f>
        <v/>
      </c>
      <c r="U103" s="244">
        <f>'Scenario_Drivers'!U168</f>
        <v/>
      </c>
      <c r="V103" s="244">
        <f>'Scenario_Drivers'!V168</f>
        <v/>
      </c>
    </row>
    <row r="104">
      <c r="A104" s="165" t="inlineStr">
        <is>
          <t>Covenant headroom</t>
        </is>
      </c>
      <c r="B104" s="165" t="inlineStr">
        <is>
          <t>x</t>
        </is>
      </c>
      <c r="C104" s="243">
        <f>C103-C98</f>
        <v/>
      </c>
      <c r="D104" s="243">
        <f>D103-D98</f>
        <v/>
      </c>
      <c r="E104" s="243">
        <f>E103-E98</f>
        <v/>
      </c>
      <c r="F104" s="253">
        <f>F103-F98</f>
        <v/>
      </c>
      <c r="G104" s="254">
        <f>G103-G98</f>
        <v/>
      </c>
      <c r="H104" s="253">
        <f>H103-H98</f>
        <v/>
      </c>
      <c r="I104" s="243">
        <f>I103-I98</f>
        <v/>
      </c>
      <c r="J104" s="243">
        <f>J103-J98</f>
        <v/>
      </c>
      <c r="K104" s="243">
        <f>K103-K98</f>
        <v/>
      </c>
      <c r="L104" s="243">
        <f>L103-L98</f>
        <v/>
      </c>
      <c r="M104" s="243">
        <f>M103-M98</f>
        <v/>
      </c>
      <c r="N104" s="243">
        <f>N103-N98</f>
        <v/>
      </c>
      <c r="O104" s="243">
        <f>O103-O98</f>
        <v/>
      </c>
      <c r="P104" s="243">
        <f>P103-P98</f>
        <v/>
      </c>
      <c r="Q104" s="243">
        <f>Q103-Q98</f>
        <v/>
      </c>
      <c r="R104" s="243">
        <f>R103-R98</f>
        <v/>
      </c>
      <c r="S104" s="243">
        <f>S103-S98</f>
        <v/>
      </c>
      <c r="T104" s="243">
        <f>T103-T98</f>
        <v/>
      </c>
      <c r="U104" s="243">
        <f>U103-U98</f>
        <v/>
      </c>
      <c r="V104" s="243">
        <f>V103-V98</f>
        <v/>
      </c>
    </row>
    <row r="105">
      <c r="A105" s="165" t="inlineStr">
        <is>
          <t>20% add-back cap</t>
        </is>
      </c>
      <c r="B105" s="165" t="inlineStr">
        <is>
          <t>$mm</t>
        </is>
      </c>
      <c r="C105" s="242">
        <f>20%*C94</f>
        <v/>
      </c>
      <c r="D105" s="242">
        <f>20%*D94</f>
        <v/>
      </c>
      <c r="E105" s="242">
        <f>20%*E94</f>
        <v/>
      </c>
      <c r="F105" s="251">
        <f>20%*F94</f>
        <v/>
      </c>
      <c r="G105" s="252">
        <f>20%*G94</f>
        <v/>
      </c>
      <c r="H105" s="251">
        <f>20%*H94</f>
        <v/>
      </c>
      <c r="I105" s="242">
        <f>20%*I94</f>
        <v/>
      </c>
      <c r="J105" s="242">
        <f>20%*J94</f>
        <v/>
      </c>
      <c r="K105" s="242">
        <f>20%*K94</f>
        <v/>
      </c>
      <c r="L105" s="242">
        <f>20%*L94</f>
        <v/>
      </c>
      <c r="M105" s="242">
        <f>20%*M94</f>
        <v/>
      </c>
      <c r="N105" s="242">
        <f>20%*N94</f>
        <v/>
      </c>
      <c r="O105" s="242">
        <f>20%*O94</f>
        <v/>
      </c>
      <c r="P105" s="242">
        <f>20%*P94</f>
        <v/>
      </c>
      <c r="Q105" s="242">
        <f>20%*Q94</f>
        <v/>
      </c>
      <c r="R105" s="242">
        <f>20%*R94</f>
        <v/>
      </c>
      <c r="S105" s="242">
        <f>20%*S94</f>
        <v/>
      </c>
      <c r="T105" s="242">
        <f>20%*T94</f>
        <v/>
      </c>
      <c r="U105" s="242">
        <f>20%*U94</f>
        <v/>
      </c>
      <c r="V105" s="242">
        <f>20%*V94</f>
        <v/>
      </c>
    </row>
    <row r="106">
      <c r="A106" s="165" t="inlineStr">
        <is>
          <t>15% add-back cap</t>
        </is>
      </c>
      <c r="B106" s="165" t="inlineStr">
        <is>
          <t>$mm</t>
        </is>
      </c>
      <c r="C106" s="242">
        <f>15%*C94</f>
        <v/>
      </c>
      <c r="D106" s="242">
        <f>15%*D94</f>
        <v/>
      </c>
      <c r="E106" s="242">
        <f>15%*E94</f>
        <v/>
      </c>
      <c r="F106" s="251">
        <f>15%*F94</f>
        <v/>
      </c>
      <c r="G106" s="252">
        <f>15%*G94</f>
        <v/>
      </c>
      <c r="H106" s="251">
        <f>15%*H94</f>
        <v/>
      </c>
      <c r="I106" s="242">
        <f>15%*I94</f>
        <v/>
      </c>
      <c r="J106" s="242">
        <f>15%*J94</f>
        <v/>
      </c>
      <c r="K106" s="242">
        <f>15%*K94</f>
        <v/>
      </c>
      <c r="L106" s="242">
        <f>15%*L94</f>
        <v/>
      </c>
      <c r="M106" s="242">
        <f>15%*M94</f>
        <v/>
      </c>
      <c r="N106" s="242">
        <f>15%*N94</f>
        <v/>
      </c>
      <c r="O106" s="242">
        <f>15%*O94</f>
        <v/>
      </c>
      <c r="P106" s="242">
        <f>15%*P94</f>
        <v/>
      </c>
      <c r="Q106" s="242">
        <f>15%*Q94</f>
        <v/>
      </c>
      <c r="R106" s="242">
        <f>15%*R94</f>
        <v/>
      </c>
      <c r="S106" s="242">
        <f>15%*S94</f>
        <v/>
      </c>
      <c r="T106" s="242">
        <f>15%*T94</f>
        <v/>
      </c>
      <c r="U106" s="242">
        <f>15%*U94</f>
        <v/>
      </c>
      <c r="V106" s="242">
        <f>15%*V94</f>
        <v/>
      </c>
    </row>
    <row r="107">
      <c r="A107" s="165" t="inlineStr">
        <is>
          <t>Applicable add-back headroom</t>
        </is>
      </c>
      <c r="B107" s="165" t="inlineStr">
        <is>
          <t>$mm</t>
        </is>
      </c>
      <c r="C107" s="242">
        <f>C105-C96</f>
        <v/>
      </c>
      <c r="D107" s="242">
        <f>D105-D96</f>
        <v/>
      </c>
      <c r="E107" s="242">
        <f>E105-E96</f>
        <v/>
      </c>
      <c r="F107" s="251">
        <f>F105-F96</f>
        <v/>
      </c>
      <c r="G107" s="252">
        <f>G105-G96</f>
        <v/>
      </c>
      <c r="H107" s="251">
        <f>H106-H96</f>
        <v/>
      </c>
      <c r="I107" s="242">
        <f>I106-I96</f>
        <v/>
      </c>
      <c r="J107" s="242">
        <f>J106-J96</f>
        <v/>
      </c>
      <c r="K107" s="242">
        <f>K106-K96</f>
        <v/>
      </c>
      <c r="L107" s="242">
        <f>L106-L96</f>
        <v/>
      </c>
      <c r="M107" s="242">
        <f>M106-M96</f>
        <v/>
      </c>
      <c r="N107" s="242">
        <f>N106-N96</f>
        <v/>
      </c>
      <c r="O107" s="242">
        <f>O106-O96</f>
        <v/>
      </c>
      <c r="P107" s="242">
        <f>P106-P96</f>
        <v/>
      </c>
      <c r="Q107" s="242">
        <f>Q106-Q96</f>
        <v/>
      </c>
      <c r="R107" s="242">
        <f>R106-R96</f>
        <v/>
      </c>
      <c r="S107" s="242">
        <f>S106-S96</f>
        <v/>
      </c>
      <c r="T107" s="242">
        <f>T106-T96</f>
        <v/>
      </c>
      <c r="U107" s="242">
        <f>U106-U96</f>
        <v/>
      </c>
      <c r="V107" s="242">
        <f>V106-V96</f>
        <v/>
      </c>
    </row>
    <row r="108">
      <c r="A108" s="165" t="inlineStr">
        <is>
          <t>Minimum liquidity</t>
        </is>
      </c>
      <c r="B108" s="165" t="inlineStr">
        <is>
          <t>$mm</t>
        </is>
      </c>
      <c r="C108" s="242">
        <f>3.0</f>
        <v/>
      </c>
      <c r="D108" s="242">
        <f>3.0</f>
        <v/>
      </c>
      <c r="E108" s="242">
        <f>3.0</f>
        <v/>
      </c>
      <c r="F108" s="251">
        <f>3.0</f>
        <v/>
      </c>
      <c r="G108" s="252">
        <f>3.0</f>
        <v/>
      </c>
      <c r="H108" s="251">
        <f>4.0</f>
        <v/>
      </c>
      <c r="I108" s="242">
        <f>4.0</f>
        <v/>
      </c>
      <c r="J108" s="242">
        <f>4.0</f>
        <v/>
      </c>
      <c r="K108" s="242">
        <f>4.0</f>
        <v/>
      </c>
      <c r="L108" s="242">
        <f>4.0</f>
        <v/>
      </c>
      <c r="M108" s="242">
        <f>4.0</f>
        <v/>
      </c>
      <c r="N108" s="242">
        <f>4.0</f>
        <v/>
      </c>
      <c r="O108" s="242">
        <f>4.0</f>
        <v/>
      </c>
      <c r="P108" s="242">
        <f>4.0</f>
        <v/>
      </c>
      <c r="Q108" s="242">
        <f>4.0</f>
        <v/>
      </c>
      <c r="R108" s="242">
        <f>4.0</f>
        <v/>
      </c>
      <c r="S108" s="242">
        <f>4.0</f>
        <v/>
      </c>
      <c r="T108" s="242">
        <f>4.0</f>
        <v/>
      </c>
      <c r="U108" s="242">
        <f>4.0</f>
        <v/>
      </c>
      <c r="V108" s="242">
        <f>4.0</f>
        <v/>
      </c>
    </row>
    <row r="109">
      <c r="A109" s="165" t="inlineStr">
        <is>
          <t>Liquidity headroom</t>
        </is>
      </c>
      <c r="B109" s="165" t="inlineStr">
        <is>
          <t>$mm</t>
        </is>
      </c>
      <c r="C109" s="242">
        <f>C102-C108</f>
        <v/>
      </c>
      <c r="D109" s="242">
        <f>D102-D108</f>
        <v/>
      </c>
      <c r="E109" s="242">
        <f>E102-E108</f>
        <v/>
      </c>
      <c r="F109" s="251">
        <f>F102-F108</f>
        <v/>
      </c>
      <c r="G109" s="252">
        <f>G102-G108</f>
        <v/>
      </c>
      <c r="H109" s="251">
        <f>H102-H108</f>
        <v/>
      </c>
      <c r="I109" s="242">
        <f>I102-I108</f>
        <v/>
      </c>
      <c r="J109" s="242">
        <f>J102-J108</f>
        <v/>
      </c>
      <c r="K109" s="242">
        <f>K102-K108</f>
        <v/>
      </c>
      <c r="L109" s="242">
        <f>L102-L108</f>
        <v/>
      </c>
      <c r="M109" s="242">
        <f>M102-M108</f>
        <v/>
      </c>
      <c r="N109" s="242">
        <f>N102-N108</f>
        <v/>
      </c>
      <c r="O109" s="242">
        <f>O102-O108</f>
        <v/>
      </c>
      <c r="P109" s="242">
        <f>P102-P108</f>
        <v/>
      </c>
      <c r="Q109" s="242">
        <f>Q102-Q108</f>
        <v/>
      </c>
      <c r="R109" s="242">
        <f>R102-R108</f>
        <v/>
      </c>
      <c r="S109" s="242">
        <f>S102-S108</f>
        <v/>
      </c>
      <c r="T109" s="242">
        <f>T102-T108</f>
        <v/>
      </c>
      <c r="U109" s="242">
        <f>U102-U108</f>
        <v/>
      </c>
      <c r="V109" s="242">
        <f>V102-V108</f>
        <v/>
      </c>
    </row>
    <row r="110">
      <c r="A110" s="165" t="inlineStr">
        <is>
          <t>SOFR</t>
        </is>
      </c>
      <c r="B110" s="165" t="inlineStr">
        <is>
          <t>%</t>
        </is>
      </c>
      <c r="C110" s="241">
        <f>'Scenario_Drivers'!C169</f>
        <v/>
      </c>
      <c r="D110" s="241">
        <f>'Scenario_Drivers'!D169</f>
        <v/>
      </c>
      <c r="E110" s="241">
        <f>'Scenario_Drivers'!E169</f>
        <v/>
      </c>
      <c r="F110" s="241">
        <f>'Scenario_Drivers'!F169</f>
        <v/>
      </c>
      <c r="G110" s="241">
        <f>'Scenario_Drivers'!G169</f>
        <v/>
      </c>
      <c r="H110" s="241">
        <f>'Scenario_Drivers'!H169</f>
        <v/>
      </c>
      <c r="I110" s="241">
        <f>'Scenario_Drivers'!I169</f>
        <v/>
      </c>
      <c r="J110" s="241">
        <f>'Scenario_Drivers'!J169</f>
        <v/>
      </c>
      <c r="K110" s="241">
        <f>'Scenario_Drivers'!K169</f>
        <v/>
      </c>
      <c r="L110" s="241">
        <f>'Scenario_Drivers'!L169</f>
        <v/>
      </c>
      <c r="M110" s="241">
        <f>'Scenario_Drivers'!M169</f>
        <v/>
      </c>
      <c r="N110" s="241">
        <f>'Scenario_Drivers'!N169</f>
        <v/>
      </c>
      <c r="O110" s="241">
        <f>'Scenario_Drivers'!O169</f>
        <v/>
      </c>
      <c r="P110" s="241">
        <f>'Scenario_Drivers'!P169</f>
        <v/>
      </c>
      <c r="Q110" s="241">
        <f>'Scenario_Drivers'!Q169</f>
        <v/>
      </c>
      <c r="R110" s="241">
        <f>'Scenario_Drivers'!R169</f>
        <v/>
      </c>
      <c r="S110" s="241">
        <f>'Scenario_Drivers'!S169</f>
        <v/>
      </c>
      <c r="T110" s="241">
        <f>'Scenario_Drivers'!T169</f>
        <v/>
      </c>
      <c r="U110" s="241">
        <f>'Scenario_Drivers'!U169</f>
        <v/>
      </c>
      <c r="V110" s="241">
        <f>'Scenario_Drivers'!V169</f>
        <v/>
      </c>
    </row>
    <row r="111">
      <c r="A111" s="165" t="inlineStr">
        <is>
          <t>Term rate</t>
        </is>
      </c>
      <c r="B111" s="165" t="inlineStr">
        <is>
          <t>%</t>
        </is>
      </c>
      <c r="C111" s="240">
        <f>MAX('Scenario_Drivers'!C169,Inputs!$B$26)+Inputs!$B$23+'Scenario_Drivers'!C170</f>
        <v/>
      </c>
      <c r="D111" s="240">
        <f>MAX('Scenario_Drivers'!D169,Inputs!$B$26)+Inputs!$B$23+'Scenario_Drivers'!D170</f>
        <v/>
      </c>
      <c r="E111" s="240">
        <f>MAX('Scenario_Drivers'!E169,Inputs!$B$26)+Inputs!$B$23+'Scenario_Drivers'!E170</f>
        <v/>
      </c>
      <c r="F111" s="240">
        <f>MAX('Scenario_Drivers'!F169,Inputs!$B$26)+Inputs!$B$23+'Scenario_Drivers'!F170</f>
        <v/>
      </c>
      <c r="G111" s="240">
        <f>MAX('Scenario_Drivers'!G169,Inputs!$B$26)+Inputs!$B$23+'Scenario_Drivers'!G170</f>
        <v/>
      </c>
      <c r="H111" s="240">
        <f>MAX('Scenario_Drivers'!H169,Inputs!$B$26)+Inputs!$B$23+'Scenario_Drivers'!H170</f>
        <v/>
      </c>
      <c r="I111" s="240">
        <f>MAX('Scenario_Drivers'!I169,Inputs!$B$26)+Inputs!$B$23+'Scenario_Drivers'!I170</f>
        <v/>
      </c>
      <c r="J111" s="240">
        <f>MAX('Scenario_Drivers'!J169,Inputs!$B$26)+Inputs!$B$23+'Scenario_Drivers'!J170</f>
        <v/>
      </c>
      <c r="K111" s="240">
        <f>MAX('Scenario_Drivers'!K169,Inputs!$B$26)+Inputs!$B$23+'Scenario_Drivers'!K170</f>
        <v/>
      </c>
      <c r="L111" s="240">
        <f>MAX('Scenario_Drivers'!L169,Inputs!$B$26)+Inputs!$B$23+'Scenario_Drivers'!L170</f>
        <v/>
      </c>
      <c r="M111" s="240">
        <f>MAX('Scenario_Drivers'!M169,Inputs!$B$26)+Inputs!$B$23+'Scenario_Drivers'!M170</f>
        <v/>
      </c>
      <c r="N111" s="240">
        <f>MAX('Scenario_Drivers'!N169,Inputs!$B$26)+Inputs!$B$23+'Scenario_Drivers'!N170</f>
        <v/>
      </c>
      <c r="O111" s="240">
        <f>MAX('Scenario_Drivers'!O169,Inputs!$B$26)+Inputs!$B$23+'Scenario_Drivers'!O170</f>
        <v/>
      </c>
      <c r="P111" s="240">
        <f>MAX('Scenario_Drivers'!P169,Inputs!$B$26)+Inputs!$B$23+'Scenario_Drivers'!P170</f>
        <v/>
      </c>
      <c r="Q111" s="240">
        <f>MAX('Scenario_Drivers'!Q169,Inputs!$B$26)+Inputs!$B$23+'Scenario_Drivers'!Q170</f>
        <v/>
      </c>
      <c r="R111" s="240">
        <f>MAX('Scenario_Drivers'!R169,Inputs!$B$26)+Inputs!$B$23+'Scenario_Drivers'!R170</f>
        <v/>
      </c>
      <c r="S111" s="240">
        <f>MAX('Scenario_Drivers'!S169,Inputs!$B$26)+Inputs!$B$23+'Scenario_Drivers'!S170</f>
        <v/>
      </c>
      <c r="T111" s="240">
        <f>MAX('Scenario_Drivers'!T169,Inputs!$B$26)+Inputs!$B$23+'Scenario_Drivers'!T170</f>
        <v/>
      </c>
      <c r="U111" s="240">
        <f>MAX('Scenario_Drivers'!U169,Inputs!$B$26)+Inputs!$B$23+'Scenario_Drivers'!U170</f>
        <v/>
      </c>
      <c r="V111" s="240">
        <f>MAX('Scenario_Drivers'!V169,Inputs!$B$26)+Inputs!$B$23+'Scenario_Drivers'!V170</f>
        <v/>
      </c>
    </row>
    <row r="112">
      <c r="A112" s="165" t="inlineStr">
        <is>
          <t>DDTL rate</t>
        </is>
      </c>
      <c r="B112" s="165" t="inlineStr">
        <is>
          <t>%</t>
        </is>
      </c>
      <c r="C112" s="240">
        <f>MAX('Scenario_Drivers'!C169,Inputs!$B$26)+Inputs!$B$25+'Scenario_Drivers'!C170</f>
        <v/>
      </c>
      <c r="D112" s="240">
        <f>MAX('Scenario_Drivers'!D169,Inputs!$B$26)+Inputs!$B$25+'Scenario_Drivers'!D170</f>
        <v/>
      </c>
      <c r="E112" s="240">
        <f>MAX('Scenario_Drivers'!E169,Inputs!$B$26)+Inputs!$B$25+'Scenario_Drivers'!E170</f>
        <v/>
      </c>
      <c r="F112" s="240">
        <f>MAX('Scenario_Drivers'!F169,Inputs!$B$26)+Inputs!$B$25+'Scenario_Drivers'!F170</f>
        <v/>
      </c>
      <c r="G112" s="240">
        <f>MAX('Scenario_Drivers'!G169,Inputs!$B$26)+Inputs!$B$25+'Scenario_Drivers'!G170</f>
        <v/>
      </c>
      <c r="H112" s="240">
        <f>MAX('Scenario_Drivers'!H169,Inputs!$B$26)+Inputs!$B$25+'Scenario_Drivers'!H170</f>
        <v/>
      </c>
      <c r="I112" s="240">
        <f>MAX('Scenario_Drivers'!I169,Inputs!$B$26)+Inputs!$B$25+'Scenario_Drivers'!I170</f>
        <v/>
      </c>
      <c r="J112" s="240">
        <f>MAX('Scenario_Drivers'!J169,Inputs!$B$26)+Inputs!$B$25+'Scenario_Drivers'!J170</f>
        <v/>
      </c>
      <c r="K112" s="240">
        <f>MAX('Scenario_Drivers'!K169,Inputs!$B$26)+Inputs!$B$25+'Scenario_Drivers'!K170</f>
        <v/>
      </c>
      <c r="L112" s="240">
        <f>MAX('Scenario_Drivers'!L169,Inputs!$B$26)+Inputs!$B$25+'Scenario_Drivers'!L170</f>
        <v/>
      </c>
      <c r="M112" s="240">
        <f>MAX('Scenario_Drivers'!M169,Inputs!$B$26)+Inputs!$B$25+'Scenario_Drivers'!M170</f>
        <v/>
      </c>
      <c r="N112" s="240">
        <f>MAX('Scenario_Drivers'!N169,Inputs!$B$26)+Inputs!$B$25+'Scenario_Drivers'!N170</f>
        <v/>
      </c>
      <c r="O112" s="240">
        <f>MAX('Scenario_Drivers'!O169,Inputs!$B$26)+Inputs!$B$25+'Scenario_Drivers'!O170</f>
        <v/>
      </c>
      <c r="P112" s="240">
        <f>MAX('Scenario_Drivers'!P169,Inputs!$B$26)+Inputs!$B$25+'Scenario_Drivers'!P170</f>
        <v/>
      </c>
      <c r="Q112" s="240">
        <f>MAX('Scenario_Drivers'!Q169,Inputs!$B$26)+Inputs!$B$25+'Scenario_Drivers'!Q170</f>
        <v/>
      </c>
      <c r="R112" s="240">
        <f>MAX('Scenario_Drivers'!R169,Inputs!$B$26)+Inputs!$B$25+'Scenario_Drivers'!R170</f>
        <v/>
      </c>
      <c r="S112" s="240">
        <f>MAX('Scenario_Drivers'!S169,Inputs!$B$26)+Inputs!$B$25+'Scenario_Drivers'!S170</f>
        <v/>
      </c>
      <c r="T112" s="240">
        <f>MAX('Scenario_Drivers'!T169,Inputs!$B$26)+Inputs!$B$25+'Scenario_Drivers'!T170</f>
        <v/>
      </c>
      <c r="U112" s="240">
        <f>MAX('Scenario_Drivers'!U169,Inputs!$B$26)+Inputs!$B$25+'Scenario_Drivers'!U170</f>
        <v/>
      </c>
      <c r="V112" s="240">
        <f>MAX('Scenario_Drivers'!V169,Inputs!$B$26)+Inputs!$B$25+'Scenario_Drivers'!V170</f>
        <v/>
      </c>
    </row>
    <row r="113">
      <c r="A113" s="165" t="inlineStr">
        <is>
          <t>Revolver rate</t>
        </is>
      </c>
      <c r="B113" s="165" t="inlineStr">
        <is>
          <t>%</t>
        </is>
      </c>
      <c r="C113" s="240">
        <f>MAX('Scenario_Drivers'!C169,Inputs!$B$26)+Inputs!$B$24+'Scenario_Drivers'!C170</f>
        <v/>
      </c>
      <c r="D113" s="240">
        <f>MAX('Scenario_Drivers'!D169,Inputs!$B$26)+Inputs!$B$24+'Scenario_Drivers'!D170</f>
        <v/>
      </c>
      <c r="E113" s="240">
        <f>MAX('Scenario_Drivers'!E169,Inputs!$B$26)+Inputs!$B$24+'Scenario_Drivers'!E170</f>
        <v/>
      </c>
      <c r="F113" s="240">
        <f>MAX('Scenario_Drivers'!F169,Inputs!$B$26)+Inputs!$B$24+'Scenario_Drivers'!F170</f>
        <v/>
      </c>
      <c r="G113" s="240">
        <f>MAX('Scenario_Drivers'!G169,Inputs!$B$26)+Inputs!$B$24+'Scenario_Drivers'!G170</f>
        <v/>
      </c>
      <c r="H113" s="240">
        <f>MAX('Scenario_Drivers'!H169,Inputs!$B$26)+Inputs!$B$24+'Scenario_Drivers'!H170</f>
        <v/>
      </c>
      <c r="I113" s="240">
        <f>MAX('Scenario_Drivers'!I169,Inputs!$B$26)+Inputs!$B$24+'Scenario_Drivers'!I170</f>
        <v/>
      </c>
      <c r="J113" s="240">
        <f>MAX('Scenario_Drivers'!J169,Inputs!$B$26)+Inputs!$B$24+'Scenario_Drivers'!J170</f>
        <v/>
      </c>
      <c r="K113" s="240">
        <f>MAX('Scenario_Drivers'!K169,Inputs!$B$26)+Inputs!$B$24+'Scenario_Drivers'!K170</f>
        <v/>
      </c>
      <c r="L113" s="240">
        <f>MAX('Scenario_Drivers'!L169,Inputs!$B$26)+Inputs!$B$24+'Scenario_Drivers'!L170</f>
        <v/>
      </c>
      <c r="M113" s="240">
        <f>MAX('Scenario_Drivers'!M169,Inputs!$B$26)+Inputs!$B$24+'Scenario_Drivers'!M170</f>
        <v/>
      </c>
      <c r="N113" s="240">
        <f>MAX('Scenario_Drivers'!N169,Inputs!$B$26)+Inputs!$B$24+'Scenario_Drivers'!N170</f>
        <v/>
      </c>
      <c r="O113" s="240">
        <f>MAX('Scenario_Drivers'!O169,Inputs!$B$26)+Inputs!$B$24+'Scenario_Drivers'!O170</f>
        <v/>
      </c>
      <c r="P113" s="240">
        <f>MAX('Scenario_Drivers'!P169,Inputs!$B$26)+Inputs!$B$24+'Scenario_Drivers'!P170</f>
        <v/>
      </c>
      <c r="Q113" s="240">
        <f>MAX('Scenario_Drivers'!Q169,Inputs!$B$26)+Inputs!$B$24+'Scenario_Drivers'!Q170</f>
        <v/>
      </c>
      <c r="R113" s="240">
        <f>MAX('Scenario_Drivers'!R169,Inputs!$B$26)+Inputs!$B$24+'Scenario_Drivers'!R170</f>
        <v/>
      </c>
      <c r="S113" s="240">
        <f>MAX('Scenario_Drivers'!S169,Inputs!$B$26)+Inputs!$B$24+'Scenario_Drivers'!S170</f>
        <v/>
      </c>
      <c r="T113" s="240">
        <f>MAX('Scenario_Drivers'!T169,Inputs!$B$26)+Inputs!$B$24+'Scenario_Drivers'!T170</f>
        <v/>
      </c>
      <c r="U113" s="240">
        <f>MAX('Scenario_Drivers'!U169,Inputs!$B$26)+Inputs!$B$24+'Scenario_Drivers'!U170</f>
        <v/>
      </c>
      <c r="V113" s="240">
        <f>MAX('Scenario_Drivers'!V169,Inputs!$B$26)+Inputs!$B$24+'Scenario_Drivers'!V170</f>
        <v/>
      </c>
    </row>
    <row r="114">
      <c r="A114" s="165" t="inlineStr">
        <is>
          <t>Interest carryforward</t>
        </is>
      </c>
      <c r="B114" s="165" t="inlineStr">
        <is>
          <t>$mm</t>
        </is>
      </c>
      <c r="C114" s="242">
        <f>MAX(0,0-C22-(MIN(-C22+0,MAX(0,Inputs!$B$16*C12))))</f>
        <v/>
      </c>
      <c r="D114" s="242">
        <f>MAX(0,C114-D22-(MIN(-D22+C114,MAX(0,Inputs!$B$16*D12))))</f>
        <v/>
      </c>
      <c r="E114" s="242">
        <f>MAX(0,D114-E22-(MIN(-E22+D114,MAX(0,Inputs!$B$16*E12))))</f>
        <v/>
      </c>
      <c r="F114" s="242">
        <f>MAX(0,E114-F22-(MIN(-F22+E114,MAX(0,Inputs!$B$16*F12))))</f>
        <v/>
      </c>
      <c r="G114" s="242">
        <f>MAX(0,F114-G22-(MIN(-G22+F114,MAX(0,Inputs!$B$16*G12))))</f>
        <v/>
      </c>
      <c r="H114" s="242">
        <f>MAX(0,G114-H22-(MIN(-H22+G114,MAX(0,Inputs!$B$16*H12))))</f>
        <v/>
      </c>
      <c r="I114" s="242">
        <f>MAX(0,H114-I22-(MIN(-I22+H114,MAX(0,Inputs!$B$16*I12))))</f>
        <v/>
      </c>
      <c r="J114" s="242">
        <f>MAX(0,I114-J22-(MIN(-J22+I114,MAX(0,Inputs!$B$16*J12))))</f>
        <v/>
      </c>
      <c r="K114" s="242">
        <f>MAX(0,J114-K22-(MIN(-K22+J114,MAX(0,Inputs!$B$16*K12))))</f>
        <v/>
      </c>
      <c r="L114" s="242">
        <f>MAX(0,K114-L22-(MIN(-L22+K114,MAX(0,Inputs!$B$16*L12))))</f>
        <v/>
      </c>
      <c r="M114" s="242">
        <f>MAX(0,L114-M22-(MIN(-M22+L114,MAX(0,Inputs!$B$16*M12))))</f>
        <v/>
      </c>
      <c r="N114" s="242">
        <f>MAX(0,M114-N22-(MIN(-N22+M114,MAX(0,Inputs!$B$16*N12))))</f>
        <v/>
      </c>
      <c r="O114" s="242">
        <f>MAX(0,N114-O22-(MIN(-O22+N114,MAX(0,Inputs!$B$16*O12))))</f>
        <v/>
      </c>
      <c r="P114" s="242">
        <f>MAX(0,O114-P22-(MIN(-P22+O114,MAX(0,Inputs!$B$16*P12))))</f>
        <v/>
      </c>
      <c r="Q114" s="242">
        <f>MAX(0,P114-Q22-(MIN(-Q22+P114,MAX(0,Inputs!$B$16*Q12))))</f>
        <v/>
      </c>
      <c r="R114" s="242">
        <f>MAX(0,Q114-R22-(MIN(-R22+Q114,MAX(0,Inputs!$B$16*R12))))</f>
        <v/>
      </c>
      <c r="S114" s="242">
        <f>MAX(0,R114-S22-(MIN(-S22+R114,MAX(0,Inputs!$B$16*S12))))</f>
        <v/>
      </c>
      <c r="T114" s="242">
        <f>MAX(0,S114-T22-(MIN(-T22+S114,MAX(0,Inputs!$B$16*T12))))</f>
        <v/>
      </c>
      <c r="U114" s="242">
        <f>MAX(0,T114-U22-(MIN(-U22+T114,MAX(0,Inputs!$B$16*U12))))</f>
        <v/>
      </c>
      <c r="V114" s="242">
        <f>MAX(0,U114-V22-(MIN(-V22+U114,MAX(0,Inputs!$B$16*V12))))</f>
        <v/>
      </c>
    </row>
    <row r="115">
      <c r="A115" s="165" t="inlineStr">
        <is>
          <t>NOL carryforward</t>
        </is>
      </c>
      <c r="B115" s="165" t="inlineStr">
        <is>
          <t>$mm</t>
        </is>
      </c>
      <c r="C115" s="242">
        <f>MAX(0,0-C116)</f>
        <v/>
      </c>
      <c r="D115" s="242">
        <f>MAX(0,C115-D116)</f>
        <v/>
      </c>
      <c r="E115" s="242">
        <f>MAX(0,D115-E116)</f>
        <v/>
      </c>
      <c r="F115" s="242">
        <f>MAX(0,E115-F116)</f>
        <v/>
      </c>
      <c r="G115" s="242">
        <f>MAX(0,F115-G116)</f>
        <v/>
      </c>
      <c r="H115" s="242">
        <f>MAX(0,G115-H116)</f>
        <v/>
      </c>
      <c r="I115" s="242">
        <f>MAX(0,H115-I116)</f>
        <v/>
      </c>
      <c r="J115" s="242">
        <f>MAX(0,I115-J116)</f>
        <v/>
      </c>
      <c r="K115" s="242">
        <f>MAX(0,J115-K116)</f>
        <v/>
      </c>
      <c r="L115" s="242">
        <f>MAX(0,K115-L116)</f>
        <v/>
      </c>
      <c r="M115" s="242">
        <f>MAX(0,L115-M116)</f>
        <v/>
      </c>
      <c r="N115" s="242">
        <f>MAX(0,M115-N116)</f>
        <v/>
      </c>
      <c r="O115" s="242">
        <f>MAX(0,N115-O116)</f>
        <v/>
      </c>
      <c r="P115" s="242">
        <f>MAX(0,O115-P116)</f>
        <v/>
      </c>
      <c r="Q115" s="242">
        <f>MAX(0,P115-Q116)</f>
        <v/>
      </c>
      <c r="R115" s="242">
        <f>MAX(0,Q115-R116)</f>
        <v/>
      </c>
      <c r="S115" s="242">
        <f>MAX(0,R115-S116)</f>
        <v/>
      </c>
      <c r="T115" s="242">
        <f>MAX(0,S115-T116)</f>
        <v/>
      </c>
      <c r="U115" s="242">
        <f>MAX(0,T115-U116)</f>
        <v/>
      </c>
      <c r="V115" s="242">
        <f>MAX(0,U115-V116)</f>
        <v/>
      </c>
    </row>
    <row r="116">
      <c r="A116" s="165" t="inlineStr">
        <is>
          <t>Taxable income</t>
        </is>
      </c>
      <c r="B116" s="165" t="inlineStr">
        <is>
          <t>$mm</t>
        </is>
      </c>
      <c r="C116" s="242">
        <f>MAX(0,C12-C17-(MIN(-C22+0,MAX(0,Inputs!$B$16*C12))))</f>
        <v/>
      </c>
      <c r="D116" s="242">
        <f>MAX(0,D12-D17-(MIN(-D22+C114,MAX(0,Inputs!$B$16*D12))))</f>
        <v/>
      </c>
      <c r="E116" s="242">
        <f>MAX(0,E12-E17-(MIN(-E22+D114,MAX(0,Inputs!$B$16*E12))))</f>
        <v/>
      </c>
      <c r="F116" s="242">
        <f>MAX(0,F12-F17-(MIN(-F22+E114,MAX(0,Inputs!$B$16*F12))))</f>
        <v/>
      </c>
      <c r="G116" s="242">
        <f>MAX(0,G12-G17-(MIN(-G22+F114,MAX(0,Inputs!$B$16*G12))))</f>
        <v/>
      </c>
      <c r="H116" s="242">
        <f>MAX(0,H12-H17-(MIN(-H22+G114,MAX(0,Inputs!$B$16*H12))))</f>
        <v/>
      </c>
      <c r="I116" s="242">
        <f>MAX(0,I12-I17-(MIN(-I22+H114,MAX(0,Inputs!$B$16*I12))))</f>
        <v/>
      </c>
      <c r="J116" s="242">
        <f>MAX(0,J12-J17-(MIN(-J22+I114,MAX(0,Inputs!$B$16*J12))))</f>
        <v/>
      </c>
      <c r="K116" s="242">
        <f>MAX(0,K12-K17-(MIN(-K22+J114,MAX(0,Inputs!$B$16*K12))))</f>
        <v/>
      </c>
      <c r="L116" s="242">
        <f>MAX(0,L12-L17-(MIN(-L22+K114,MAX(0,Inputs!$B$16*L12))))</f>
        <v/>
      </c>
      <c r="M116" s="242">
        <f>MAX(0,M12-M17-(MIN(-M22+L114,MAX(0,Inputs!$B$16*M12))))</f>
        <v/>
      </c>
      <c r="N116" s="242">
        <f>MAX(0,N12-N17-(MIN(-N22+M114,MAX(0,Inputs!$B$16*N12))))</f>
        <v/>
      </c>
      <c r="O116" s="242">
        <f>MAX(0,O12-O17-(MIN(-O22+N114,MAX(0,Inputs!$B$16*O12))))</f>
        <v/>
      </c>
      <c r="P116" s="242">
        <f>MAX(0,P12-P17-(MIN(-P22+O114,MAX(0,Inputs!$B$16*P12))))</f>
        <v/>
      </c>
      <c r="Q116" s="242">
        <f>MAX(0,Q12-Q17-(MIN(-Q22+P114,MAX(0,Inputs!$B$16*Q12))))</f>
        <v/>
      </c>
      <c r="R116" s="242">
        <f>MAX(0,R12-R17-(MIN(-R22+Q114,MAX(0,Inputs!$B$16*R12))))</f>
        <v/>
      </c>
      <c r="S116" s="242">
        <f>MAX(0,S12-S17-(MIN(-S22+R114,MAX(0,Inputs!$B$16*S12))))</f>
        <v/>
      </c>
      <c r="T116" s="242">
        <f>MAX(0,T12-T17-(MIN(-T22+S114,MAX(0,Inputs!$B$16*T12))))</f>
        <v/>
      </c>
      <c r="U116" s="242">
        <f>MAX(0,U12-U17-(MIN(-U22+T114,MAX(0,Inputs!$B$16*U12))))</f>
        <v/>
      </c>
      <c r="V116" s="242">
        <f>MAX(0,V12-V17-(MIN(-V22+U114,MAX(0,Inputs!$B$16*V12))))</f>
        <v/>
      </c>
    </row>
    <row r="117">
      <c r="A117" s="165" t="n"/>
      <c r="B117" s="165" t="n"/>
      <c r="C117" s="154" t="n"/>
      <c r="D117" s="154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</row>
    <row r="118">
      <c r="A118" s="165" t="n"/>
      <c r="B118" s="165" t="n"/>
      <c r="C118" s="154" t="n"/>
      <c r="D118" s="154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</row>
    <row r="119">
      <c r="A119" s="165" t="n"/>
      <c r="B119" s="165" t="n"/>
      <c r="C119" s="154" t="n"/>
      <c r="D119" s="154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</row>
    <row r="120">
      <c r="A120" s="165" t="n"/>
      <c r="B120" s="165" t="n"/>
      <c r="C120" s="154" t="n"/>
      <c r="D120" s="154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</row>
    <row r="121">
      <c r="A121" s="165" t="n"/>
      <c r="B121" s="165" t="n"/>
      <c r="C121" s="154" t="n"/>
      <c r="D121" s="154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</row>
    <row r="122">
      <c r="A122" s="165" t="n"/>
      <c r="B122" s="165" t="n"/>
      <c r="C122" s="154" t="n"/>
      <c r="D122" s="154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</row>
    <row r="123">
      <c r="A123" s="165" t="n"/>
      <c r="B123" s="165" t="n"/>
      <c r="C123" s="154" t="n"/>
      <c r="D123" s="154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</row>
    <row r="124">
      <c r="A124" s="165" t="n"/>
      <c r="B124" s="165" t="n"/>
      <c r="C124" s="154" t="n"/>
      <c r="D124" s="154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</row>
    <row r="125">
      <c r="A125" s="165" t="n"/>
      <c r="B125" s="165" t="n"/>
      <c r="C125" s="154" t="n"/>
      <c r="D125" s="154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</row>
    <row r="126">
      <c r="A126" s="165" t="n"/>
      <c r="B126" s="165" t="n"/>
      <c r="C126" s="154" t="n"/>
      <c r="D126" s="154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</row>
    <row r="127">
      <c r="A127" s="165" t="n"/>
      <c r="B127" s="165" t="n"/>
      <c r="C127" s="154" t="n"/>
      <c r="D127" s="154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</row>
    <row r="128">
      <c r="A128" s="165" t="n"/>
      <c r="B128" s="165" t="n"/>
      <c r="C128" s="154" t="n"/>
      <c r="D128" s="154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</row>
    <row r="129">
      <c r="A129" s="165" t="n"/>
      <c r="B129" s="165" t="n"/>
      <c r="C129" s="154" t="n"/>
      <c r="D129" s="154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</row>
    <row r="130">
      <c r="A130" s="165" t="n"/>
      <c r="B130" s="165" t="n"/>
      <c r="C130" s="154" t="n"/>
      <c r="D130" s="154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</row>
    <row r="131">
      <c r="A131" s="165" t="n"/>
      <c r="B131" s="165" t="n"/>
      <c r="C131" s="154" t="n"/>
      <c r="D131" s="154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</row>
    <row r="132">
      <c r="A132" s="165" t="n"/>
      <c r="B132" s="165" t="n"/>
      <c r="C132" s="154" t="n"/>
      <c r="D132" s="154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</row>
    <row r="133">
      <c r="A133" s="165" t="n"/>
      <c r="B133" s="165" t="n"/>
      <c r="C133" s="154" t="n"/>
      <c r="D133" s="154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</row>
    <row r="134">
      <c r="A134" s="165" t="n"/>
      <c r="B134" s="165" t="n"/>
      <c r="C134" s="154" t="n"/>
      <c r="D134" s="154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</row>
    <row r="135">
      <c r="A135" s="165" t="n"/>
      <c r="B135" s="165" t="n"/>
      <c r="C135" s="154" t="n"/>
      <c r="D135" s="154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</row>
    <row r="136">
      <c r="A136" s="165" t="n"/>
      <c r="B136" s="165" t="n"/>
      <c r="C136" s="154" t="n"/>
      <c r="D136" s="154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</row>
    <row r="137">
      <c r="A137" s="165" t="n"/>
      <c r="B137" s="165" t="n"/>
      <c r="C137" s="154" t="n"/>
      <c r="D137" s="154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</row>
    <row r="138">
      <c r="A138" s="165" t="n"/>
      <c r="B138" s="165" t="n"/>
      <c r="C138" s="154" t="n"/>
      <c r="D138" s="154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</row>
    <row r="139">
      <c r="A139" s="165" t="n"/>
      <c r="B139" s="165" t="n"/>
      <c r="C139" s="154" t="n"/>
      <c r="D139" s="154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</row>
    <row r="140">
      <c r="A140" s="165" t="n"/>
      <c r="B140" s="165" t="n"/>
      <c r="C140" s="154" t="n"/>
      <c r="D140" s="154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</row>
  </sheetData>
  <mergeCells count="7">
    <mergeCell ref="A16:V16"/>
    <mergeCell ref="A68:V68"/>
    <mergeCell ref="A1:V1"/>
    <mergeCell ref="A46:V46"/>
    <mergeCell ref="A88:V88"/>
    <mergeCell ref="A29:V29"/>
    <mergeCell ref="A4:V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3" max="3"/>
    <col width="32" customWidth="1" min="7" max="7"/>
  </cols>
  <sheetData>
    <row r="1" ht="26" customHeight="1">
      <c r="A1" s="9" t="inlineStr">
        <is>
          <t>Debt Facilities, Covenant Definitions and Covenant Schedule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/>
    <row r="3" ht="20" customHeight="1">
      <c r="A3" s="39" t="inlineStr">
        <is>
          <t>Facility Terms</t>
        </is>
      </c>
      <c r="B3" s="1" t="n"/>
      <c r="C3" s="1" t="n"/>
      <c r="D3" s="1" t="n"/>
      <c r="E3" s="1" t="n"/>
      <c r="F3" s="1" t="n"/>
    </row>
    <row r="4">
      <c r="A4" s="15" t="inlineStr">
        <is>
          <t>Facility</t>
        </is>
      </c>
      <c r="B4" s="15" t="inlineStr">
        <is>
          <t>Commitment</t>
        </is>
      </c>
      <c r="C4" s="15" t="inlineStr">
        <is>
          <t>Opening Draw</t>
        </is>
      </c>
      <c r="D4" s="15" t="inlineStr">
        <is>
          <t>Maturity</t>
        </is>
      </c>
      <c r="E4" s="15" t="inlineStr">
        <is>
          <t>Pricing</t>
        </is>
      </c>
      <c r="F4" s="15" t="inlineStr">
        <is>
          <t>Amortization</t>
        </is>
      </c>
    </row>
    <row r="5">
      <c r="A5" t="inlineStr">
        <is>
          <t>First-lien term loan</t>
        </is>
      </c>
      <c r="B5" s="233" t="n">
        <v>42.8</v>
      </c>
      <c r="C5" s="233" t="n">
        <v>42.8</v>
      </c>
      <c r="D5" t="inlineStr">
        <is>
          <t>Mar-31-2032</t>
        </is>
      </c>
      <c r="E5" t="inlineStr">
        <is>
          <t>SOFR + 5.50%</t>
        </is>
      </c>
      <c r="F5" t="inlineStr">
        <is>
          <t>1.0% annually</t>
        </is>
      </c>
    </row>
    <row r="6">
      <c r="A6" t="inlineStr">
        <is>
          <t>Revolver</t>
        </is>
      </c>
      <c r="B6" s="233" t="n">
        <v>7.5</v>
      </c>
      <c r="C6" s="233" t="n">
        <v>0</v>
      </c>
      <c r="D6" t="inlineStr">
        <is>
          <t>Sep-30-2031</t>
        </is>
      </c>
      <c r="E6" t="inlineStr">
        <is>
          <t>SOFR + 5.00%</t>
        </is>
      </c>
      <c r="F6" t="inlineStr">
        <is>
          <t>None</t>
        </is>
      </c>
    </row>
    <row r="7">
      <c r="A7" t="inlineStr">
        <is>
          <t>DDTL</t>
        </is>
      </c>
      <c r="B7" s="233" t="n">
        <v>10</v>
      </c>
      <c r="C7" s="233" t="n">
        <v>0</v>
      </c>
      <c r="D7" t="inlineStr">
        <is>
          <t>Mar-31-2032</t>
        </is>
      </c>
      <c r="E7" t="inlineStr">
        <is>
          <t>SOFR + 5.75%</t>
        </is>
      </c>
      <c r="F7" t="inlineStr">
        <is>
          <t>1.0% annually after draw</t>
        </is>
      </c>
    </row>
    <row r="8"/>
    <row r="9" ht="20" customHeight="1">
      <c r="A9" s="39" t="inlineStr">
        <is>
          <t>Original Financial Covenants</t>
        </is>
      </c>
      <c r="B9" s="1" t="n"/>
      <c r="C9" s="1" t="n"/>
      <c r="D9" s="1" t="n"/>
      <c r="E9" s="1" t="n"/>
      <c r="F9" s="1" t="n"/>
    </row>
    <row r="10">
      <c r="A10" s="15" t="inlineStr">
        <is>
          <t>Covenant</t>
        </is>
      </c>
      <c r="B10" s="15" t="inlineStr">
        <is>
          <t>Threshold</t>
        </is>
      </c>
      <c r="C10" s="15" t="inlineStr">
        <is>
          <t>Testing</t>
        </is>
      </c>
      <c r="D10" s="15" t="inlineStr">
        <is>
          <t>Notes</t>
        </is>
      </c>
      <c r="E10" s="15" t="str"/>
      <c r="F10" s="15" t="str"/>
    </row>
    <row r="11">
      <c r="A11" t="inlineStr">
        <is>
          <t>Total net leverage</t>
        </is>
      </c>
      <c r="B11" t="inlineStr">
        <is>
          <t>4.25x through 2027</t>
        </is>
      </c>
      <c r="C11" t="inlineStr">
        <is>
          <t>Quarterly</t>
        </is>
      </c>
      <c r="D11" t="inlineStr">
        <is>
          <t>Steps down thereafter</t>
        </is>
      </c>
    </row>
    <row r="12">
      <c r="A12" t="inlineStr">
        <is>
          <t>Fixed charge coverage</t>
        </is>
      </c>
      <c r="B12" t="inlineStr">
        <is>
          <t>1.25x minimum</t>
        </is>
      </c>
      <c r="C12" t="inlineStr">
        <is>
          <t>Quarterly</t>
        </is>
      </c>
      <c r="D12" t="inlineStr">
        <is>
          <t>LTM basis</t>
        </is>
      </c>
    </row>
    <row r="13">
      <c r="A13" t="inlineStr">
        <is>
          <t>Minimum liquidity</t>
        </is>
      </c>
      <c r="B13" t="inlineStr">
        <is>
          <t>$3.0m</t>
        </is>
      </c>
      <c r="C13" t="inlineStr">
        <is>
          <t>Monthly</t>
        </is>
      </c>
      <c r="D13" t="inlineStr">
        <is>
          <t>Cash plus revolver availability</t>
        </is>
      </c>
    </row>
    <row r="14">
      <c r="A14" t="inlineStr">
        <is>
          <t>Eligible cash netting</t>
        </is>
      </c>
      <c r="B14" t="inlineStr">
        <is>
          <t>$5.0m cap</t>
        </is>
      </c>
      <c r="C14" t="inlineStr">
        <is>
          <t>Quarterly</t>
        </is>
      </c>
      <c r="D14" t="inlineStr">
        <is>
          <t>Covenant only</t>
        </is>
      </c>
    </row>
    <row r="15">
      <c r="A15" t="inlineStr">
        <is>
          <t>Add-back cap</t>
        </is>
      </c>
      <c r="B15" t="inlineStr">
        <is>
          <t>20%</t>
        </is>
      </c>
      <c r="C15" t="inlineStr">
        <is>
          <t>Quarterly</t>
        </is>
      </c>
      <c r="D15" t="inlineStr">
        <is>
          <t>Pre-adjustment EBITDA</t>
        </is>
      </c>
    </row>
    <row r="16"/>
    <row r="17" ht="20" customHeight="1">
      <c r="A17" s="39" t="inlineStr">
        <is>
          <t>June 30, 2027 Compliance Certificate Reference Metrics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5" t="inlineStr">
        <is>
          <t>Metric</t>
        </is>
      </c>
      <c r="B18" s="15" t="inlineStr">
        <is>
          <t>Actual</t>
        </is>
      </c>
      <c r="C18" s="15" t="inlineStr">
        <is>
          <t>Requirement / Comparison</t>
        </is>
      </c>
      <c r="D18" s="15" t="inlineStr">
        <is>
          <t>Check</t>
        </is>
      </c>
      <c r="E18" s="15" t="inlineStr">
        <is>
          <t>Source</t>
        </is>
      </c>
      <c r="F18" s="15" t="str"/>
      <c r="G18" s="15" t="inlineStr">
        <is>
          <t>Pro Forma Amendment</t>
        </is>
      </c>
      <c r="H18" s="15" t="inlineStr">
        <is>
          <t>Amount</t>
        </is>
      </c>
      <c r="I18" s="15" t="str"/>
      <c r="J18" s="15" t="str"/>
      <c r="K18" s="15" t="str"/>
    </row>
    <row r="19">
      <c r="A19" t="inlineStr">
        <is>
          <t>LTM reported EBITDA</t>
        </is>
      </c>
      <c r="B19" s="233" t="n">
        <v>9.4</v>
      </c>
      <c r="E19" t="inlineStr">
        <is>
          <t>Combined_Risk</t>
        </is>
      </c>
      <c r="G19" t="inlineStr">
        <is>
          <t>Gross debt before contribution</t>
        </is>
      </c>
      <c r="H19" s="233" t="n">
        <v>53</v>
      </c>
    </row>
    <row r="20">
      <c r="A20" t="inlineStr">
        <is>
          <t>LTM add-backs</t>
        </is>
      </c>
      <c r="B20" s="233" t="n">
        <v>1.4</v>
      </c>
      <c r="C20" t="inlineStr">
        <is>
          <t>15% cap = 1.41</t>
        </is>
      </c>
      <c r="D20" t="inlineStr"/>
      <c r="E20" t="inlineStr">
        <is>
          <t>Combined_Risk</t>
        </is>
      </c>
      <c r="G20" t="inlineStr">
        <is>
          <t>Revolver repayment</t>
        </is>
      </c>
      <c r="H20" s="233" t="n">
        <v>-4.78</v>
      </c>
    </row>
    <row r="21">
      <c r="A21" t="inlineStr">
        <is>
          <t>LTM covenant EBITDA</t>
        </is>
      </c>
      <c r="B21" s="233" t="n">
        <v>10.8</v>
      </c>
      <c r="E21" t="inlineStr">
        <is>
          <t>Combined_Risk</t>
        </is>
      </c>
      <c r="G21" t="inlineStr">
        <is>
          <t>Gross debt after repayment</t>
        </is>
      </c>
      <c r="H21" s="233" t="n">
        <v>48.22</v>
      </c>
    </row>
    <row r="22">
      <c r="A22" t="inlineStr">
        <is>
          <t>Gross debt</t>
        </is>
      </c>
      <c r="B22" s="233" t="n">
        <v>53</v>
      </c>
      <c r="E22" t="inlineStr">
        <is>
          <t>Combined_Risk</t>
        </is>
      </c>
      <c r="G22" t="inlineStr">
        <is>
          <t>Cash before contribution</t>
        </is>
      </c>
      <c r="H22" s="233" t="n">
        <v>2.2</v>
      </c>
    </row>
    <row r="23">
      <c r="A23" t="inlineStr">
        <is>
          <t>Cash</t>
        </is>
      </c>
      <c r="B23" s="233" t="n">
        <v>2.2</v>
      </c>
      <c r="E23" t="inlineStr">
        <is>
          <t>Combined_Risk</t>
        </is>
      </c>
      <c r="G23" t="inlineStr">
        <is>
          <t>Cash retained from contribution</t>
        </is>
      </c>
      <c r="H23" s="233" t="n">
        <v>2.72</v>
      </c>
    </row>
    <row r="24">
      <c r="A24" t="inlineStr">
        <is>
          <t>Covenant net debt</t>
        </is>
      </c>
      <c r="B24" s="233" t="n">
        <v>50.8</v>
      </c>
      <c r="E24" t="inlineStr">
        <is>
          <t>Combined_Risk</t>
        </is>
      </c>
      <c r="G24" t="inlineStr">
        <is>
          <t>Cash after contribution</t>
        </is>
      </c>
      <c r="H24" s="233" t="n">
        <v>4.92</v>
      </c>
    </row>
    <row r="25">
      <c r="A25" t="inlineStr">
        <is>
          <t>Total net leverage</t>
        </is>
      </c>
      <c r="B25" s="233" t="n">
        <v>4.7</v>
      </c>
      <c r="C25" t="inlineStr">
        <is>
          <t>4.25x maximum</t>
        </is>
      </c>
      <c r="D25" t="inlineStr">
        <is>
          <t>FAIL</t>
        </is>
      </c>
      <c r="E25" t="inlineStr">
        <is>
          <t>Combined_Risk</t>
        </is>
      </c>
      <c r="G25" t="inlineStr">
        <is>
          <t>Pro forma net debt</t>
        </is>
      </c>
      <c r="H25" s="233" t="n">
        <v>43.3</v>
      </c>
    </row>
    <row r="26">
      <c r="A26" t="inlineStr">
        <is>
          <t>LCs</t>
        </is>
      </c>
      <c r="B26" s="257" t="n">
        <v>2</v>
      </c>
      <c r="E26" t="inlineStr">
        <is>
          <t>Combined_Risk</t>
        </is>
      </c>
      <c r="G26" t="inlineStr">
        <is>
          <t>Pro forma leverage</t>
        </is>
      </c>
      <c r="H26" s="233" t="n">
        <v>4.01</v>
      </c>
    </row>
    <row r="27">
      <c r="A27" t="inlineStr">
        <is>
          <t>Revolver availability</t>
        </is>
      </c>
      <c r="B27" s="233" t="n">
        <v>0.72</v>
      </c>
      <c r="E27" t="inlineStr">
        <is>
          <t>Combined_Risk</t>
        </is>
      </c>
      <c r="G27" t="inlineStr">
        <is>
          <t>Amendment contribution</t>
        </is>
      </c>
      <c r="H27" s="257" t="n">
        <v>7.5</v>
      </c>
    </row>
    <row r="28">
      <c r="A28" t="inlineStr">
        <is>
          <t>Liquidity</t>
        </is>
      </c>
      <c r="B28" s="233" t="n">
        <v>2.92</v>
      </c>
      <c r="C28" t="inlineStr">
        <is>
          <t>$3.0m minimum</t>
        </is>
      </c>
      <c r="D28" t="inlineStr">
        <is>
          <t>FAIL</t>
        </is>
      </c>
      <c r="E28" t="inlineStr">
        <is>
          <t>Combined_Risk</t>
        </is>
      </c>
      <c r="G28" t="inlineStr">
        <is>
          <t>Classification</t>
        </is>
      </c>
      <c r="H28" t="inlineStr">
        <is>
          <t>Waiver-condition equity</t>
        </is>
      </c>
    </row>
  </sheetData>
  <mergeCells count="4">
    <mergeCell ref="A3:F3"/>
    <mergeCell ref="A1:K1"/>
    <mergeCell ref="A17:K17"/>
    <mergeCell ref="A9:F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6" customHeight="1">
      <c r="A1" s="9" t="inlineStr">
        <is>
          <t>Ownership, MIP and Sponsor Return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/>
    <row r="3">
      <c r="A3" s="15" t="inlineStr">
        <is>
          <t>Case</t>
        </is>
      </c>
      <c r="B3" s="15" t="inlineStr">
        <is>
          <t>Exit LTM Revenue</t>
        </is>
      </c>
      <c r="C3" s="15" t="inlineStr">
        <is>
          <t>Exit LTM Firm EBITDA</t>
        </is>
      </c>
      <c r="D3" s="15" t="inlineStr">
        <is>
          <t>Exit Multiple</t>
        </is>
      </c>
      <c r="E3" s="15" t="inlineStr">
        <is>
          <t>Exit EV</t>
        </is>
      </c>
      <c r="F3" s="15" t="inlineStr">
        <is>
          <t>Exit Economic Net Debt</t>
        </is>
      </c>
      <c r="G3" s="15" t="inlineStr">
        <is>
          <t>Exit Equity</t>
        </is>
      </c>
      <c r="H3" s="15" t="inlineStr">
        <is>
          <t>Sponsor Invested</t>
        </is>
      </c>
      <c r="I3" s="15" t="inlineStr">
        <is>
          <t>Vested MIP</t>
        </is>
      </c>
      <c r="J3" s="15" t="inlineStr">
        <is>
          <t>Sponsor Proceeds</t>
        </is>
      </c>
      <c r="K3" s="15" t="inlineStr">
        <is>
          <t>Gross MOIC</t>
        </is>
      </c>
      <c r="L3" s="15" t="inlineStr">
        <is>
          <t>Gross XIRR</t>
        </is>
      </c>
    </row>
    <row r="4">
      <c r="A4" t="inlineStr">
        <is>
          <t>Standalone Base</t>
        </is>
      </c>
      <c r="B4" s="258" t="n">
        <v>105.459828203756</v>
      </c>
      <c r="C4" s="258" t="n">
        <v>18.34672000160367</v>
      </c>
      <c r="D4" s="258" t="n">
        <v>9</v>
      </c>
      <c r="E4" s="258" t="n">
        <v>165.120480014433</v>
      </c>
      <c r="F4" s="258" t="n">
        <v>3.254489316778837</v>
      </c>
      <c r="G4" s="258" t="n">
        <v>161.8659906976542</v>
      </c>
      <c r="H4" s="258" t="n">
        <v>62</v>
      </c>
      <c r="I4" s="259" t="n">
        <v>0.0874951301068401</v>
      </c>
      <c r="J4" s="258" t="n">
        <v>123.7515850873622</v>
      </c>
      <c r="K4" s="260" t="n">
        <v>1.995993307860681</v>
      </c>
      <c r="L4" s="259" t="n">
        <v>0.1481508192610862</v>
      </c>
    </row>
    <row r="5">
      <c r="A5" t="inlineStr">
        <is>
          <t>Standalone Downside</t>
        </is>
      </c>
      <c r="B5" s="258" t="n">
        <v>91.04226532128004</v>
      </c>
      <c r="C5" s="258" t="n">
        <v>14.47162485926977</v>
      </c>
      <c r="D5" s="258" t="n">
        <v>8</v>
      </c>
      <c r="E5" s="258" t="n">
        <v>115.7729988741581</v>
      </c>
      <c r="F5" s="258" t="n">
        <v>14.78617051241478</v>
      </c>
      <c r="G5" s="258" t="n">
        <v>100.9868283617433</v>
      </c>
      <c r="H5" s="258" t="n">
        <v>62</v>
      </c>
      <c r="I5" s="259" t="n">
        <v>0.06</v>
      </c>
      <c r="J5" s="258" t="n">
        <v>79.53395076922165</v>
      </c>
      <c r="K5" s="260" t="n">
        <v>1.282805657568091</v>
      </c>
      <c r="L5" s="259" t="n">
        <v>0.05104261867896331</v>
      </c>
    </row>
    <row r="6">
      <c r="A6" t="inlineStr">
        <is>
          <t>Standalone Upside</t>
        </is>
      </c>
      <c r="B6" s="258" t="n">
        <v>113.4459352068619</v>
      </c>
      <c r="C6" s="258" t="n">
        <v>20.81614129685675</v>
      </c>
      <c r="D6" s="258" t="n">
        <v>9.5</v>
      </c>
      <c r="E6" s="258" t="n">
        <v>197.7533423201392</v>
      </c>
      <c r="F6" s="258" t="n">
        <v>-2.410995885768592</v>
      </c>
      <c r="G6" s="258" t="n">
        <v>200.1643382059077</v>
      </c>
      <c r="H6" s="258" t="n">
        <v>62</v>
      </c>
      <c r="I6" s="259" t="n">
        <v>0.1</v>
      </c>
      <c r="J6" s="258" t="n">
        <v>150.9347307012115</v>
      </c>
      <c r="K6" s="260" t="n">
        <v>2.434431140342121</v>
      </c>
      <c r="L6" s="259" t="n">
        <v>0.1946403441588763</v>
      </c>
    </row>
    <row r="7">
      <c r="A7" t="inlineStr">
        <is>
          <t>Acquisition Base</t>
        </is>
      </c>
      <c r="B7" s="258" t="n">
        <v>125.6382737344305</v>
      </c>
      <c r="C7" s="258" t="n">
        <v>21.67120156332767</v>
      </c>
      <c r="D7" s="258" t="n">
        <v>9</v>
      </c>
      <c r="E7" s="258" t="n">
        <v>195.040814069949</v>
      </c>
      <c r="F7" s="258" t="n">
        <v>14.33139152906369</v>
      </c>
      <c r="G7" s="258" t="n">
        <v>180.7094225408853</v>
      </c>
      <c r="H7" s="258" t="n">
        <v>67</v>
      </c>
      <c r="I7" s="259" t="n">
        <v>0.09149844179285331</v>
      </c>
      <c r="J7" s="258" t="n">
        <v>139.236848878408</v>
      </c>
      <c r="K7" s="260" t="n">
        <v>2.078161923558329</v>
      </c>
      <c r="L7" s="259" t="n">
        <v>0.1603977053174087</v>
      </c>
    </row>
    <row r="8">
      <c r="A8" t="inlineStr">
        <is>
          <t>Combined Risk</t>
        </is>
      </c>
      <c r="B8" s="258" t="n">
        <v>111.5</v>
      </c>
      <c r="C8" s="258" t="n">
        <v>17.85</v>
      </c>
      <c r="D8" s="258" t="n">
        <v>8.5</v>
      </c>
      <c r="E8" s="258" t="n">
        <v>151.725</v>
      </c>
      <c r="F8" s="258" t="n">
        <v>20.91273742828543</v>
      </c>
      <c r="G8" s="258" t="n">
        <v>130.8122625717146</v>
      </c>
      <c r="H8" s="258" t="n">
        <v>69.5</v>
      </c>
      <c r="I8" s="259" t="n">
        <v>0.06420233745851023</v>
      </c>
      <c r="J8" s="258" t="n">
        <v>104.389690349362</v>
      </c>
      <c r="K8" s="260" t="n">
        <v>1.502009933084345</v>
      </c>
      <c r="L8" s="259" t="n">
        <v>0.08727551978098524</v>
      </c>
    </row>
    <row r="9"/>
    <row r="10"/>
    <row r="11" ht="20" customHeight="1">
      <c r="A11" s="39" t="inlineStr">
        <is>
          <t>Ownership at Closing and After Amendment</t>
        </is>
      </c>
      <c r="B11" s="1" t="n"/>
      <c r="C11" s="1" t="n"/>
      <c r="D11" s="1" t="n"/>
      <c r="E11" s="1" t="n"/>
      <c r="F11" s="1" t="n"/>
    </row>
    <row r="12">
      <c r="A12" s="15" t="inlineStr">
        <is>
          <t>Ownership stage</t>
        </is>
      </c>
      <c r="B12" s="15" t="inlineStr">
        <is>
          <t>Sponsor capital</t>
        </is>
      </c>
      <c r="C12" s="15" t="inlineStr">
        <is>
          <t>Rollover capital</t>
        </is>
      </c>
      <c r="D12" s="15" t="inlineStr">
        <is>
          <t>Sponsor pre-MIP %</t>
        </is>
      </c>
      <c r="E12" s="15" t="inlineStr">
        <is>
          <t>Rollover pre-MIP %</t>
        </is>
      </c>
      <c r="F12" s="15" t="inlineStr">
        <is>
          <t>Source</t>
        </is>
      </c>
    </row>
    <row r="13">
      <c r="A13" t="inlineStr">
        <is>
          <t>Closing</t>
        </is>
      </c>
      <c r="B13" s="233" t="n">
        <v>62</v>
      </c>
      <c r="C13" s="233" t="n">
        <v>12</v>
      </c>
      <c r="D13" s="232" t="n">
        <v>0.8378378378378378</v>
      </c>
      <c r="E13" s="232" t="n">
        <v>0.1621621621621622</v>
      </c>
      <c r="F13" t="inlineStr">
        <is>
          <t>KS-DL-1.2</t>
        </is>
      </c>
    </row>
    <row r="14">
      <c r="A14" t="inlineStr">
        <is>
          <t>After $7.5m amendment contribution</t>
        </is>
      </c>
      <c r="B14" s="233" t="n">
        <v>69.5</v>
      </c>
      <c r="C14" s="233" t="n">
        <v>12</v>
      </c>
      <c r="D14" s="232" t="n">
        <v>0.852760736196319</v>
      </c>
      <c r="E14" s="232" t="n">
        <v>0.147239263803681</v>
      </c>
      <c r="F14" t="inlineStr">
        <is>
          <t>Combined-risk actual</t>
        </is>
      </c>
    </row>
  </sheetData>
  <mergeCells count="2">
    <mergeCell ref="A11:F11"/>
    <mergeCell ref="A1:L1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6" customHeight="1">
      <c r="A1" s="9" t="inlineStr">
        <is>
          <t>PROJECT KEYSTONE - FINAL LBO MODEL AND DATA ROOM SCHEDULES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/>
    <row r="3">
      <c r="A3" s="129" t="inlineStr">
        <is>
          <t>Fictional control acquisition of Alderstone Compliance &amp; Technical Services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/>
    <row r="5">
      <c r="A5" s="15" t="inlineStr">
        <is>
          <t>Transaction Overview</t>
        </is>
      </c>
      <c r="B5" s="15" t="inlineStr">
        <is>
          <t>Value</t>
        </is>
      </c>
      <c r="C5" s="15" t="inlineStr">
        <is>
          <t>Unit</t>
        </is>
      </c>
      <c r="D5" s="15" t="inlineStr">
        <is>
          <t>Source</t>
        </is>
      </c>
      <c r="F5" s="15" t="inlineStr">
        <is>
          <t>Workbook contents</t>
        </is>
      </c>
      <c r="G5" s="15" t="n"/>
      <c r="H5" s="15" t="n"/>
      <c r="I5" s="15" t="n"/>
      <c r="J5" s="15" t="n"/>
    </row>
    <row r="6">
      <c r="A6" t="inlineStr">
        <is>
          <t>Enterprise value</t>
        </is>
      </c>
      <c r="B6" s="233" t="n">
        <v>108</v>
      </c>
      <c r="C6" t="inlineStr">
        <is>
          <t>$mm</t>
        </is>
      </c>
      <c r="D6" t="inlineStr">
        <is>
          <t>KS-DL-1.2</t>
        </is>
      </c>
      <c r="F6" t="inlineStr">
        <is>
          <t>Historical, model, debt, covenant and ownership schedules</t>
        </is>
      </c>
      <c r="G6" s="122" t="n"/>
      <c r="H6" s="233" t="n"/>
      <c r="I6" s="233" t="n"/>
    </row>
    <row r="7">
      <c r="A7" t="inlineStr">
        <is>
          <t>Sponsor initial cash equity</t>
        </is>
      </c>
      <c r="B7" s="233" t="n">
        <v>62</v>
      </c>
      <c r="C7" t="inlineStr">
        <is>
          <t>$mm</t>
        </is>
      </c>
      <c r="D7" t="inlineStr">
        <is>
          <t>KS-DL-1.2</t>
        </is>
      </c>
      <c r="F7" t="inlineStr">
        <is>
          <t>Audit and guide sheets removed for fixture use</t>
        </is>
      </c>
      <c r="G7" s="122" t="n"/>
      <c r="H7" s="233" t="n"/>
      <c r="I7" s="233" t="n"/>
    </row>
    <row r="8">
      <c r="A8" t="inlineStr">
        <is>
          <t>Seller rollover</t>
        </is>
      </c>
      <c r="B8" s="233" t="n">
        <v>12</v>
      </c>
      <c r="C8" t="inlineStr">
        <is>
          <t>$mm</t>
        </is>
      </c>
      <c r="D8" t="inlineStr">
        <is>
          <t>KS-DL-1.2</t>
        </is>
      </c>
      <c r="G8" s="122" t="n"/>
      <c r="H8" s="233" t="n"/>
      <c r="I8" s="233" t="n"/>
    </row>
    <row r="9">
      <c r="A9" t="inlineStr">
        <is>
          <t>Opening first-lien debt</t>
        </is>
      </c>
      <c r="B9" s="233" t="n">
        <v>42.8</v>
      </c>
      <c r="C9" t="inlineStr">
        <is>
          <t>$mm</t>
        </is>
      </c>
      <c r="D9" t="inlineStr">
        <is>
          <t>KS-DL-1.2</t>
        </is>
      </c>
      <c r="G9" s="122" t="n"/>
      <c r="H9" s="233" t="n"/>
      <c r="I9" s="233" t="n"/>
    </row>
    <row r="10">
      <c r="A10" t="inlineStr">
        <is>
          <t>Opening net debt</t>
        </is>
      </c>
      <c r="B10" s="233" t="n">
        <v>39.8</v>
      </c>
      <c r="C10" t="inlineStr">
        <is>
          <t>$mm</t>
        </is>
      </c>
      <c r="D10" t="inlineStr">
        <is>
          <t>KS-DL-1.2</t>
        </is>
      </c>
      <c r="G10" s="122" t="n"/>
      <c r="H10" s="233" t="n"/>
      <c r="I10" s="233" t="n"/>
    </row>
    <row r="11">
      <c r="A11" t="inlineStr">
        <is>
          <t>Firm-underwritten EBITDA</t>
        </is>
      </c>
      <c r="B11" s="233" t="n">
        <v>11.4</v>
      </c>
      <c r="C11" t="inlineStr">
        <is>
          <t>$mm</t>
        </is>
      </c>
      <c r="D11" t="inlineStr">
        <is>
          <t>KS-DL-1.2</t>
        </is>
      </c>
      <c r="G11" s="122" t="n"/>
      <c r="H11" s="257" t="n"/>
      <c r="I11" s="257" t="n"/>
    </row>
    <row r="12">
      <c r="A12" t="inlineStr">
        <is>
          <t>Opening net leverage</t>
        </is>
      </c>
      <c r="B12" s="257" t="n">
        <v>3.49</v>
      </c>
      <c r="C12" t="inlineStr">
        <is>
          <t>x</t>
        </is>
      </c>
      <c r="D12" t="inlineStr">
        <is>
          <t>KS-DL-1.2</t>
        </is>
      </c>
      <c r="G12" s="122" t="n"/>
    </row>
    <row r="13"/>
    <row r="14"/>
    <row r="15" ht="20" customHeight="1">
      <c r="A15" s="39" t="inlineStr">
        <is>
          <t>Sponsor Return Summary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5" t="inlineStr">
        <is>
          <t>Case</t>
        </is>
      </c>
      <c r="B16" s="15" t="inlineStr">
        <is>
          <t>Gross MOIC</t>
        </is>
      </c>
      <c r="C16" s="15" t="inlineStr">
        <is>
          <t>Gross XIRR</t>
        </is>
      </c>
      <c r="D16" s="15" t="inlineStr">
        <is>
          <t>Exit EBITDA</t>
        </is>
      </c>
      <c r="E16" s="15" t="inlineStr">
        <is>
          <t>Exit Net Debt</t>
        </is>
      </c>
      <c r="F16" s="15" t="inlineStr">
        <is>
          <t>Vested MIP</t>
        </is>
      </c>
    </row>
    <row r="17">
      <c r="A17" t="inlineStr">
        <is>
          <t>Standalone Base</t>
        </is>
      </c>
      <c r="B17" s="257" t="n">
        <v>1.995993307860681</v>
      </c>
      <c r="C17" s="232" t="n">
        <v>0.1481508192610862</v>
      </c>
      <c r="D17" s="233" t="n">
        <v>18.34672000160367</v>
      </c>
      <c r="E17" s="233" t="n">
        <v>3.254489316778837</v>
      </c>
      <c r="F17" s="232" t="n">
        <v>0.0874951301068401</v>
      </c>
    </row>
    <row r="18">
      <c r="A18" t="inlineStr">
        <is>
          <t>Standalone Downside</t>
        </is>
      </c>
      <c r="B18" s="257" t="n">
        <v>1.282805657568091</v>
      </c>
      <c r="C18" s="232" t="n">
        <v>0.05104261867896331</v>
      </c>
      <c r="D18" s="233" t="n">
        <v>14.47162485926977</v>
      </c>
      <c r="E18" s="233" t="n">
        <v>14.78617051241478</v>
      </c>
      <c r="F18" s="232" t="n">
        <v>0.06</v>
      </c>
    </row>
    <row r="19">
      <c r="A19" t="inlineStr">
        <is>
          <t>Standalone Upside</t>
        </is>
      </c>
      <c r="B19" s="257" t="n">
        <v>2.434431140342121</v>
      </c>
      <c r="C19" s="232" t="n">
        <v>0.1946403441588763</v>
      </c>
      <c r="D19" s="233" t="n">
        <v>20.81614129685675</v>
      </c>
      <c r="E19" s="233" t="n">
        <v>-2.410995885768592</v>
      </c>
      <c r="F19" s="232" t="n">
        <v>0.1</v>
      </c>
    </row>
    <row r="20">
      <c r="A20" t="inlineStr">
        <is>
          <t>Acquisition Base</t>
        </is>
      </c>
      <c r="B20" s="257" t="n">
        <v>2.078161923558329</v>
      </c>
      <c r="C20" s="232" t="n">
        <v>0.1603977053174087</v>
      </c>
      <c r="D20" s="233" t="n">
        <v>21.67120156332767</v>
      </c>
      <c r="E20" s="233" t="n">
        <v>14.33139152906369</v>
      </c>
      <c r="F20" s="232" t="n">
        <v>0.09149844179285331</v>
      </c>
    </row>
    <row r="21">
      <c r="A21" t="inlineStr">
        <is>
          <t>Combined Risk</t>
        </is>
      </c>
      <c r="B21" s="257" t="n">
        <v>1.502009933084345</v>
      </c>
      <c r="C21" s="232" t="n">
        <v>0.08727551978098524</v>
      </c>
      <c r="D21" s="233" t="n">
        <v>17.85</v>
      </c>
      <c r="E21" s="233" t="n">
        <v>20.91273742828543</v>
      </c>
      <c r="F21" s="232" t="n">
        <v>0.06420233745851023</v>
      </c>
    </row>
  </sheetData>
  <mergeCells count="3">
    <mergeCell ref="A1:J1"/>
    <mergeCell ref="A15:J15"/>
    <mergeCell ref="A3:J3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2026-07-15T22:15:08Z</dcterms:created>
  <dcterms:modified xmlns:dcterms="http://purl.org/dc/terms/" xmlns:xsi="http://www.w3.org/2001/XMLSchema-instance" xsi:type="dcterms:W3CDTF">2026-07-15T22:15:08Z</dcterms:modified>
</cp:coreProperties>
</file>