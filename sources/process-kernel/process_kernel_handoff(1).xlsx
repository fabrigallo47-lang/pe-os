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df097e445054d9d" /></Relationships>
</file>

<file path=xl/workbook.xml><?xml version="1.0" encoding="utf-8"?>
<x:workbook xmlns:x="http://schemas.openxmlformats.org/spreadsheetml/2006/main">
  <x:sheets>
    <x:sheet xmlns:r="http://schemas.openxmlformats.org/officeDocument/2006/relationships" name="Read Me" sheetId="1" r:id="R2fd3a167b0364071"/>
    <x:sheet xmlns:r="http://schemas.openxmlformats.org/officeDocument/2006/relationships" name="Workstreams" sheetId="2" r:id="R6020810e1e484509"/>
    <x:sheet xmlns:r="http://schemas.openxmlformats.org/officeDocument/2006/relationships" name="Model States" sheetId="3" r:id="Rca406fdafa094745"/>
    <x:sheet xmlns:r="http://schemas.openxmlformats.org/officeDocument/2006/relationships" name="VCP States" sheetId="4" r:id="Raa276e8317474ee7"/>
    <x:sheet xmlns:r="http://schemas.openxmlformats.org/officeDocument/2006/relationships" name="Open Items" sheetId="5" r:id="R5f0a2c11cd524c99"/>
    <x:sheet xmlns:r="http://schemas.openxmlformats.org/officeDocument/2006/relationships" name="Feature Matrix" sheetId="6" r:id="R204c0a57029c4328"/>
    <x:sheet xmlns:r="http://schemas.openxmlformats.org/officeDocument/2006/relationships" name="Segmentation" sheetId="7" r:id="R638aa27f594c4c01"/>
    <x:sheet xmlns:r="http://schemas.openxmlformats.org/officeDocument/2006/relationships" name="Feature Verdicts" sheetId="8" r:id="R009a8e8b839e48bb"/>
    <x:sheet xmlns:r="http://schemas.openxmlformats.org/officeDocument/2006/relationships" name="DDQ Extracts" sheetId="9" r:id="R05b141331efb46a4"/>
    <x:sheet xmlns:r="http://schemas.openxmlformats.org/officeDocument/2006/relationships" name="Evidence Dist" sheetId="10" r:id="R89ef1ddde8a44561"/>
    <x:sheet xmlns:r="http://schemas.openxmlformats.org/officeDocument/2006/relationships" name="DDQ Control" sheetId="11" r:id="R0aa86f49c4ed4be1"/>
    <x:sheet xmlns:r="http://schemas.openxmlformats.org/officeDocument/2006/relationships" name="Search Log" sheetId="12" r:id="R9f1f81a9b6144b3b"/>
    <x:sheet xmlns:r="http://schemas.openxmlformats.org/officeDocument/2006/relationships" name="Edges" sheetId="13" r:id="R5eebde166ab442fa"/>
    <x:sheet xmlns:r="http://schemas.openxmlformats.org/officeDocument/2006/relationships" name="Macro Flows" sheetId="14" r:id="Rd5bd37615cb94747"/>
    <x:sheet xmlns:r="http://schemas.openxmlformats.org/officeDocument/2006/relationships" name="Kernel Schema" sheetId="15" r:id="R01db402eba4849a4"/>
    <x:sheet xmlns:r="http://schemas.openxmlformats.org/officeDocument/2006/relationships" name="Archetype Flags" sheetId="16" r:id="R085f797184674571"/>
    <x:sheet xmlns:r="http://schemas.openxmlformats.org/officeDocument/2006/relationships" name="Ontology" sheetId="17" r:id="Rc3742c6b67a14cb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8"/>
      <x:color rgb="FFFFFFFF"/>
      <x:name val="Carlito"/>
    </x:font>
    <x:font>
      <x:i/>
      <x:sz val="10"/>
      <x:color rgb="FF1F1F1F"/>
      <x:name val="Carlito"/>
    </x:font>
    <x:font>
      <x:b/>
      <x:sz val="11"/>
      <x:color rgb="FF1F3864"/>
      <x:name val="Carlito"/>
    </x:font>
    <x:font>
      <x:b/>
      <x:sz val="11"/>
      <x:name val="Carlito"/>
    </x:font>
    <x:font>
      <x:b/>
      <x:sz val="11"/>
      <x:color rgb="FFFFFFFF"/>
      <x:name val="Carlito"/>
    </x:font>
    <x:font>
      <x:b/>
      <x:sz val="9"/>
      <x:color rgb="FFFFFFFF"/>
      <x:name val="Carlito"/>
    </x:font>
    <x:font>
      <x:sz val="8"/>
      <x:name val="Carlito"/>
    </x:font>
  </x:fonts>
  <x:fills count="5">
    <x:fill>
      <x:patternFill patternType="none"/>
    </x:fill>
    <x:fill>
      <x:patternFill patternType="gray125"/>
    </x:fill>
    <x:fill>
      <x:patternFill patternType="solid">
        <x:fgColor rgb="FF1F3864"/>
      </x:patternFill>
    </x:fill>
    <x:fill>
      <x:patternFill patternType="solid">
        <x:fgColor rgb="FFD9E2F3"/>
      </x:patternFill>
    </x:fill>
    <x:fill>
      <x:patternFill patternType="solid">
        <x:fgColor rgb="FFEAF0F8"/>
      </x:patternFill>
    </x:fill>
  </x:fills>
  <x:borders count="2">
    <x:border/>
    <x:border/>
  </x:borders>
  <x:cellStyleXfs count="1">
    <x:xf numFmtId="0" fontId="0" fillId="0" borderId="0"/>
  </x:cellStyleXfs>
  <x:cellXfs count="5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4" fillId="0" borderId="0" xfId="0" applyNumberFormat="1" applyFont="1" applyFill="1" applyBorder="1"/>
    <x:xf numFmtId="200" fontId="4" fillId="0" borderId="0" xfId="0" applyNumberFormat="1" applyFont="1" applyFill="1" applyBorder="1"/>
    <x:xf numFmtId="200" fontId="4" fillId="0" borderId="0" xfId="0" applyNumberFormat="1" applyFont="1" applyFill="1" applyBorder="1" applyAlignment="1">
      <x:alignment horizontal="center"/>
    </x:xf>
    <x:xf numFmtId="0" fontId="4" fillId="0" borderId="1" xfId="0" applyNumberFormat="1" applyFont="1" applyFill="1" applyBorder="1"/>
    <x:xf numFmtId="200" fontId="4" fillId="0" borderId="1" xfId="0" applyNumberFormat="1" applyFont="1" applyFill="1" applyBorder="1"/>
    <x:xf numFmtId="200" fontId="4" fillId="0" borderId="1" xfId="0" applyNumberFormat="1" applyFont="1" applyFill="1" applyBorder="1" applyAlignment="1">
      <x:alignment horizontal="center"/>
    </x:xf>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1" xfId="0" applyNumberFormat="1" applyFont="1" applyFill="1" applyBorder="1"/>
    <x:xf numFmtId="0" fontId="5" fillId="2"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3" fillId="3" borderId="0" xfId="0" applyNumberFormat="1" applyFont="1" applyFill="1" applyBorder="1"/>
    <x:xf numFmtId="0" fontId="3" fillId="3" borderId="1" xfId="0" applyNumberFormat="1" applyFont="1" applyFill="1" applyBorder="1"/>
    <x:xf numFmtId="0" fontId="3" fillId="0" borderId="0" xfId="0" applyNumberFormat="1" applyFont="1" applyFill="1" applyBorder="1"/>
    <x:xf numFmtId="0" fontId="3" fillId="0" borderId="1" xfId="0" applyNumberFormat="1" applyFont="1" applyFill="1" applyBorder="1"/>
    <x:xf numFmtId="0" fontId="3" fillId="0" borderId="0" xfId="0" applyNumberFormat="1" applyFont="1" applyFill="1" applyBorder="1" applyAlignment="1">
      <x:alignment wrapText="1"/>
    </x:xf>
    <x:xf numFmtId="0" fontId="3" fillId="0" borderId="1" xfId="0" applyNumberFormat="1" applyFont="1" applyFill="1" applyBorder="1" applyAlignment="1">
      <x:alignment wrapText="1"/>
    </x:xf>
    <x:xf numFmtId="0" fontId="6" fillId="2" borderId="0" xfId="0" applyNumberFormat="1" applyFont="1" applyFill="1" applyBorder="1"/>
    <x:xf numFmtId="0" fontId="6" fillId="2" borderId="0" xfId="0" applyNumberFormat="1" applyFont="1" applyFill="1" applyBorder="1" applyAlignment="1">
      <x:alignment wrapText="1"/>
    </x:xf>
    <x:xf numFmtId="0" fontId="6" fillId="2" borderId="0" xfId="0" applyNumberFormat="1" applyFont="1" applyFill="1" applyBorder="1" applyAlignment="1">
      <x:alignment vertical="center" wrapText="1"/>
    </x:xf>
    <x:xf numFmtId="0" fontId="6" fillId="2" borderId="1" xfId="0" applyNumberFormat="1" applyFont="1" applyFill="1" applyBorder="1"/>
    <x:xf numFmtId="0" fontId="6" fillId="2" borderId="1" xfId="0" applyNumberFormat="1" applyFont="1" applyFill="1" applyBorder="1" applyAlignment="1">
      <x:alignment wrapText="1"/>
    </x:xf>
    <x:xf numFmtId="0" fontId="6" fillId="2" borderId="1" xfId="0" applyNumberFormat="1" applyFont="1" applyFill="1" applyBorder="1" applyAlignment="1">
      <x:alignment vertical="center" wrapText="1"/>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7" fillId="0" borderId="1" xfId="0" applyNumberFormat="1" applyFont="1" applyFill="1" applyBorder="1"/>
    <x:xf numFmtId="0" fontId="7" fillId="0" borderId="1" xfId="0" applyNumberFormat="1" applyFont="1" applyFill="1" applyBorder="1" applyAlignment="1">
      <x:alignment wrapText="1"/>
    </x:xf>
    <x:xf numFmtId="0" fontId="7" fillId="0" borderId="1" xfId="0" applyNumberFormat="1" applyFont="1" applyFill="1" applyBorder="1" applyAlignment="1">
      <x:alignment vertical="top" wrapText="1"/>
    </x:xf>
  </x:cellXfs>
  <x:cellStyles count="1">
    <x:cellStyle name="Normal" xfId="0"/>
  </x:cellStyles>
  <x:dxfs count="7">
    <x:dxf>
      <x:fill>
        <x:patternFill>
          <x:bgColor rgb="FFE2E8F0"/>
        </x:patternFill>
      </x:fill>
    </x:dxf>
    <x:dxf>
      <x:font>
        <x:b/>
      </x:font>
      <x:fill>
        <x:patternFill>
          <x:bgColor rgb="FFDDEBF7"/>
        </x:patternFill>
      </x:fill>
    </x:dxf>
    <x:dxf>
      <x:fill>
        <x:patternFill>
          <x:bgColor rgb="FFE2F0D9"/>
        </x:patternFill>
      </x:fill>
    </x:dxf>
    <x:dxf>
      <x:fill>
        <x:patternFill>
          <x:bgColor rgb="FFF2F2F2"/>
        </x:patternFill>
      </x:fill>
    </x:dxf>
    <x:dxf>
      <x:font>
        <x:b/>
      </x:font>
      <x:fill>
        <x:patternFill>
          <x:bgColor rgb="FFDDEBF7"/>
        </x:patternFill>
      </x:fill>
    </x:dxf>
    <x:dxf>
      <x:fill>
        <x:patternFill>
          <x:bgColor rgb="FFF2F2F2"/>
        </x:patternFill>
      </x:fill>
    </x:dxf>
    <x:dxf>
      <x:fill>
        <x:patternFill>
          <x:bgColor rgb="FFE2E8F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4c107c7d65c4ff0" /><Relationship Type="http://schemas.openxmlformats.org/officeDocument/2006/relationships/theme" Target="/xl/theme/theme1.xml" Id="R598e683acaa64f80" /><Relationship Type="http://schemas.openxmlformats.org/officeDocument/2006/relationships/sharedStrings" Target="/xl/sharedStrings.xml" Id="Rca2413fc84bf4134" /><Relationship Type="http://schemas.openxmlformats.org/officeDocument/2006/relationships/worksheet" Target="/xl/worksheets/sheet1.xml" Id="R2fd3a167b0364071" /><Relationship Type="http://schemas.openxmlformats.org/officeDocument/2006/relationships/worksheet" Target="/xl/worksheets/sheet2.xml" Id="R6020810e1e484509" /><Relationship Type="http://schemas.openxmlformats.org/officeDocument/2006/relationships/worksheet" Target="/xl/worksheets/sheet3.xml" Id="Rca406fdafa094745" /><Relationship Type="http://schemas.openxmlformats.org/officeDocument/2006/relationships/worksheet" Target="/xl/worksheets/sheet4.xml" Id="Raa276e8317474ee7" /><Relationship Type="http://schemas.openxmlformats.org/officeDocument/2006/relationships/worksheet" Target="/xl/worksheets/sheet5.xml" Id="R5f0a2c11cd524c99" /><Relationship Type="http://schemas.openxmlformats.org/officeDocument/2006/relationships/worksheet" Target="/xl/worksheets/sheet6.xml" Id="R204c0a57029c4328" /><Relationship Type="http://schemas.openxmlformats.org/officeDocument/2006/relationships/worksheet" Target="/xl/worksheets/sheet7.xml" Id="R638aa27f594c4c01" /><Relationship Type="http://schemas.openxmlformats.org/officeDocument/2006/relationships/worksheet" Target="/xl/worksheets/sheet8.xml" Id="R009a8e8b839e48bb" /><Relationship Type="http://schemas.openxmlformats.org/officeDocument/2006/relationships/worksheet" Target="/xl/worksheets/sheet9.xml" Id="R05b141331efb46a4" /><Relationship Type="http://schemas.openxmlformats.org/officeDocument/2006/relationships/worksheet" Target="/xl/worksheets/sheet10.xml" Id="R89ef1ddde8a44561" /><Relationship Type="http://schemas.openxmlformats.org/officeDocument/2006/relationships/worksheet" Target="/xl/worksheets/sheet11.xml" Id="R0aa86f49c4ed4be1" /><Relationship Type="http://schemas.openxmlformats.org/officeDocument/2006/relationships/worksheet" Target="/xl/worksheets/sheet12.xml" Id="R9f1f81a9b6144b3b" /><Relationship Type="http://schemas.openxmlformats.org/officeDocument/2006/relationships/worksheet" Target="/xl/worksheets/sheet13.xml" Id="R5eebde166ab442fa" /><Relationship Type="http://schemas.openxmlformats.org/officeDocument/2006/relationships/worksheet" Target="/xl/worksheets/sheet14.xml" Id="Rd5bd37615cb94747" /><Relationship Type="http://schemas.openxmlformats.org/officeDocument/2006/relationships/worksheet" Target="/xl/worksheets/sheet15.xml" Id="R01db402eba4849a4" /><Relationship Type="http://schemas.openxmlformats.org/officeDocument/2006/relationships/worksheet" Target="/xl/worksheets/sheet16.xml" Id="R085f797184674571" /><Relationship Type="http://schemas.openxmlformats.org/officeDocument/2006/relationships/worksheet" Target="/xl/worksheets/sheet17.xml" Id="Rc3742c6b67a14cba" /></Relationships>
</file>

<file path=xl/drawings/_rels/drawing1.xml.rels>&#65279;<?xml version="1.0" encoding="utf-8"?><Relationships xmlns="http://schemas.openxmlformats.org/package/2006/relationships"><Relationship Type="http://schemas.openxmlformats.org/officeDocument/2006/relationships/chart" Target="/xl/drawings/charts/chart1.xml" Id="R43367e3251a94c11" /><Relationship Type="http://schemas.openxmlformats.org/officeDocument/2006/relationships/chart" Target="/xl/drawings/charts/chart2.xml" Id="R57a7f9bb3237485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N=29 segmentation verdicts</a:t>
            </a:r>
          </a:p>
        </c:rich>
      </c:tx>
      <c:overlay val="0"/>
    </c:title>
    <c:autoTitleDeleted val="0"/>
    <c:plotArea>
      <c:layout/>
      <c:barChart>
        <c:barDir val="col"/>
        <c:varyColors val="0"/>
        <c:ser>
          <c:idx val="0"/>
          <c:order val="0"/>
          <c:tx>
            <c:v>Count</c:v>
          </c:tx>
          <c:cat>
            <c:strRef>
              <c:f>'Read Me'!$J$3:$J$7</c:f>
              <c:strCache>
                <c:ptCount val="0"/>
              </c:strCache>
            </c:strRef>
          </c:cat>
          <c:val>
            <c:numRef>
              <c:f>'Read Me'!$K$3:$K$7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Kernel treatments</a:t>
            </a:r>
          </a:p>
        </c:rich>
      </c:tx>
      <c:overlay val="0"/>
    </c:title>
    <c:autoTitleDeleted val="0"/>
    <c:plotArea>
      <c:layout/>
      <c:barChart>
        <c:barDir val="col"/>
        <c:varyColors val="0"/>
        <c:ser>
          <c:idx val="0"/>
          <c:order val="0"/>
          <c:tx>
            <c:v>Count</c:v>
          </c:tx>
          <c:cat>
            <c:strRef>
              <c:f>'Read Me'!$M$3:$M$6</c:f>
              <c:strCache>
                <c:ptCount val="0"/>
              </c:strCache>
            </c:strRef>
          </c:cat>
          <c:val>
            <c:numRef>
              <c:f>'Read Me'!$N$3:$N$6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7</xdr:row>
      <xdr:rowOff>0</xdr:rowOff>
    </xdr:from>
    <xdr:to>
      <xdr:col>17</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3367e3251a94c11"/>
        </a:graphicData>
      </a:graphic>
    </xdr:graphicFrame>
    <xdr:clientData/>
  </xdr:twoCellAnchor>
  <xdr:twoCellAnchor>
    <xdr:from>
      <xdr:col>17</xdr:col>
      <xdr:colOff>0</xdr:colOff>
      <xdr:row>7</xdr:row>
      <xdr:rowOff>0</xdr:rowOff>
    </xdr:from>
    <xdr:to>
      <xdr:col>25</xdr:col>
      <xdr:colOff>0</xdr:colOff>
      <xdr:row>22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7a7f9bb32374850"/>
        </a:graphicData>
      </a:graphic>
    </xdr:graphicFrame>
    <xdr:clientData/>
  </xdr:twoCellAnchor>
</xdr:wsDr>
</file>

<file path=xl/tables/table1.xml><?xml version="1.0" encoding="utf-8"?>
<x:table xmlns:x="http://schemas.openxmlformats.org/spreadsheetml/2006/main" id="1" name="WorkstreamsTable" displayName="WorkstreamsTable" ref="A1:AF8" headerRowCount="1">
  <x:tableColumns count="32">
    <x:tableColumn id="1" name="tier"/>
    <x:tableColumn id="2" name="version"/>
    <x:tableColumn id="3" name="as_of_date"/>
    <x:tableColumn id="4" name="source"/>
    <x:tableColumn id="5" name="source_note"/>
    <x:tableColumn id="6" name="archive_frequency_verified"/>
    <x:tableColumn id="7" name="workstream_id"/>
    <x:tableColumn id="8" name="workstream"/>
    <x:tableColumn id="9" name="core_function"/>
    <x:tableColumn id="10" name="constituent_activities"/>
    <x:tableColumn id="11" name="inputs_consumed"/>
    <x:tableColumn id="12" name="input_origins"/>
    <x:tableColumn id="13" name="outputs_produced"/>
    <x:tableColumn id="14" name="downstream_variables_changed"/>
    <x:tableColumn id="15" name="failure_modes_caught"/>
    <x:tableColumn id="16" name="typical_internal_roles"/>
    <x:tableColumn id="17" name="typical_external_roles"/>
    <x:tableColumn id="18" name="typical_internal_external_split"/>
    <x:tableColumn id="19" name="typical_trigger_point"/>
    <x:tableColumn id="20" name="typical_duration_order"/>
    <x:tableColumn id="21" name="typical_external_cost_order"/>
    <x:tableColumn id="22" name="duration_cost_observability"/>
    <x:tableColumn id="23" name="archetype_modifiers"/>
    <x:tableColumn id="24" name="function_or_artifact"/>
    <x:tableColumn id="25" name="primary_evidence_class"/>
    <x:tableColumn id="26" name="claim_basis"/>
    <x:tableColumn id="27" name="observability"/>
    <x:tableColumn id="28" name="supporting_manager_examples"/>
    <x:tableColumn id="29" name="illustrative_deal_examples"/>
    <x:tableColumn id="30" name="confidence"/>
    <x:tableColumn id="31" name="confidence_reason"/>
    <x:tableColumn id="32" name="caveats"/>
  </x:tableColumns>
  <x:tableStyleInfo name="TableStyleMedium2" showRowStripes="1"/>
</x:table>
</file>

<file path=xl/tables/table2.xml><?xml version="1.0" encoding="utf-8"?>
<x:table xmlns:x="http://schemas.openxmlformats.org/spreadsheetml/2006/main" id="2" name="ModelStatesTable" displayName="ModelStatesTable" ref="A1:AC8" headerRowCount="1">
  <x:tableColumns count="29">
    <x:tableColumn id="1" name="tier"/>
    <x:tableColumn id="2" name="version"/>
    <x:tableColumn id="3" name="as_of_date"/>
    <x:tableColumn id="4" name="source"/>
    <x:tableColumn id="5" name="source_note"/>
    <x:tableColumn id="6" name="archive_frequency_verified"/>
    <x:tableColumn id="7" name="model_state_id"/>
    <x:tableColumn id="8" name="state_name"/>
    <x:tableColumn id="9" name="purpose"/>
    <x:tableColumn id="10" name="decision_supported"/>
    <x:tableColumn id="11" name="minimum_contents"/>
    <x:tableColumn id="12" name="typical_granularity"/>
    <x:tableColumn id="13" name="primary_inputs"/>
    <x:tableColumn id="14" name="feeding_workstreams"/>
    <x:tableColumn id="15" name="outputs_produced"/>
    <x:tableColumn id="16" name="transition_trigger_to_next_state"/>
    <x:tableColumn id="17" name="backward_iteration_triggers"/>
    <x:tableColumn id="18" name="stop_or_reject_conditions"/>
    <x:tableColumn id="19" name="key_controls"/>
    <x:tableColumn id="20" name="typical_owner"/>
    <x:tableColumn id="21" name="external_inputs"/>
    <x:tableColumn id="22" name="typical_timing"/>
    <x:tableColumn id="23" name="function_or_artifact"/>
    <x:tableColumn id="24" name="primary_evidence_class"/>
    <x:tableColumn id="25" name="claim_basis"/>
    <x:tableColumn id="26" name="observability"/>
    <x:tableColumn id="27" name="confidence"/>
    <x:tableColumn id="28" name="confidence_reason"/>
    <x:tableColumn id="29" name="caveats"/>
  </x:tableColumns>
  <x:tableStyleInfo name="TableStyleMedium2" showRowStripes="1"/>
</x:table>
</file>

<file path=xl/tables/table3.xml><?xml version="1.0" encoding="utf-8"?>
<x:table xmlns:x="http://schemas.openxmlformats.org/spreadsheetml/2006/main" id="3" name="VCPStatesTable" displayName="VCPStatesTable" ref="A1:AA7" headerRowCount="1">
  <x:tableColumns count="27">
    <x:tableColumn id="1" name="tier"/>
    <x:tableColumn id="2" name="version"/>
    <x:tableColumn id="3" name="as_of_date"/>
    <x:tableColumn id="4" name="source"/>
    <x:tableColumn id="5" name="source_note"/>
    <x:tableColumn id="6" name="archive_frequency_verified"/>
    <x:tableColumn id="7" name="vcp_state_id"/>
    <x:tableColumn id="8" name="state_name"/>
    <x:tableColumn id="9" name="purpose"/>
    <x:tableColumn id="10" name="minimum_contents"/>
    <x:tableColumn id="11" name="evidence_threshold"/>
    <x:tableColumn id="12" name="primary_inputs"/>
    <x:tableColumn id="13" name="feeding_workstreams"/>
    <x:tableColumn id="14" name="outputs_produced"/>
    <x:tableColumn id="15" name="model_linkage"/>
    <x:tableColumn id="16" name="transition_trigger_to_next_state"/>
    <x:tableColumn id="17" name="backward_iteration_triggers"/>
    <x:tableColumn id="18" name="rejection_or_demotion_conditions"/>
    <x:tableColumn id="19" name="typical_owner"/>
    <x:tableColumn id="20" name="typical_timing"/>
    <x:tableColumn id="21" name="function_or_artifact"/>
    <x:tableColumn id="22" name="primary_evidence_class"/>
    <x:tableColumn id="23" name="claim_basis"/>
    <x:tableColumn id="24" name="observability"/>
    <x:tableColumn id="25" name="confidence"/>
    <x:tableColumn id="26" name="confidence_reason"/>
    <x:tableColumn id="27" name="caveats"/>
  </x:tableColumns>
  <x:tableStyleInfo name="TableStyleMedium2" showRowStripes="1"/>
</x:table>
</file>

<file path=xl/tables/table4.xml><?xml version="1.0" encoding="utf-8"?>
<x:table xmlns:x="http://schemas.openxmlformats.org/spreadsheetml/2006/main" id="4" name="OpenItemsTable" displayName="OpenItemsTable" ref="A1:AA8" headerRowCount="1">
  <x:tableColumns count="27">
    <x:tableColumn id="1" name="tier"/>
    <x:tableColumn id="2" name="version"/>
    <x:tableColumn id="3" name="as_of_date"/>
    <x:tableColumn id="4" name="source"/>
    <x:tableColumn id="5" name="source_note"/>
    <x:tableColumn id="6" name="archive_frequency_verified"/>
    <x:tableColumn id="7" name="status_id"/>
    <x:tableColumn id="8" name="status_name"/>
    <x:tableColumn id="9" name="definition"/>
    <x:tableColumn id="10" name="entry_conditions"/>
    <x:tableColumn id="11" name="decision_rule"/>
    <x:tableColumn id="12" name="required_evidence"/>
    <x:tableColumn id="13" name="required_owner"/>
    <x:tableColumn id="14" name="effect_on_model"/>
    <x:tableColumn id="15" name="effect_on_price_or_terms"/>
    <x:tableColumn id="16" name="effect_on_approval"/>
    <x:tableColumn id="17" name="permitted_transition_targets"/>
    <x:tableColumn id="18" name="prohibited_usage"/>
    <x:tableColumn id="19" name="monitoring_requirement"/>
    <x:tableColumn id="20" name="illustrative_examples"/>
    <x:tableColumn id="21" name="function_or_artifact"/>
    <x:tableColumn id="22" name="primary_evidence_class"/>
    <x:tableColumn id="23" name="claim_basis"/>
    <x:tableColumn id="24" name="observability"/>
    <x:tableColumn id="25" name="confidence"/>
    <x:tableColumn id="26" name="confidence_reason"/>
    <x:tableColumn id="27" name="caveats"/>
  </x:tableColumns>
  <x:tableStyleInfo name="TableStyleMedium2" showRowStripes="1"/>
</x:table>
</file>

<file path=xl/tables/table5.xml><?xml version="1.0" encoding="utf-8"?>
<x:table xmlns:x="http://schemas.openxmlformats.org/spreadsheetml/2006/main" id="5" name="FeatureMatrixTable" displayName="FeatureMatrixTable" ref="A1:AS45" headerRowCount="1">
  <x:tableColumns count="45">
    <x:tableColumn id="1" name="tier"/>
    <x:tableColumn id="2" name="version"/>
    <x:tableColumn id="3" name="as_of_date"/>
    <x:tableColumn id="4" name="source_scope"/>
    <x:tableColumn id="5" name="archive_frequency_verified"/>
    <x:tableColumn id="6" name="feature_id"/>
    <x:tableColumn id="7" name="feature_category"/>
    <x:tableColumn id="8" name="process_feature"/>
    <x:tableColumn id="9" name="feature_definition"/>
    <x:tableColumn id="10" name="present_count"/>
    <x:tableColumn id="11" name="conditional_present_count"/>
    <x:tableColumn id="12" name="explicit_absent_count"/>
    <x:tableColumn id="13" name="not_observable_count"/>
    <x:tableColumn id="14" name="not_applicable_count"/>
    <x:tableColumn id="15" name="ambiguous_count"/>
    <x:tableColumn id="16" name="observable_n"/>
    <x:tableColumn id="17" name="Blackstone Capital Partners Asia III"/>
    <x:tableColumn id="18" name="TPG Asia VIII"/>
    <x:tableColumn id="19" name="CVC Capital Partners Asia V"/>
    <x:tableColumn id="20" name="Permira VII"/>
    <x:tableColumn id="21" name="BC Partners Fund XI"/>
    <x:tableColumn id="22" name="Brookfield Capital Partners VII"/>
    <x:tableColumn id="23" name="Providence Equity Partners IX"/>
    <x:tableColumn id="24" name="Onex Partners VI"/>
    <x:tableColumn id="25" name="Partners Group Direct Equity V"/>
    <x:tableColumn id="26" name="General Atlantic Core Program"/>
    <x:tableColumn id="27" name="Kohlberg &amp; Company Fund IX"/>
    <x:tableColumn id="28" name="Charlesbank Capital Partners Fund XI"/>
    <x:tableColumn id="29" name="Gridiron Capital Fund VI"/>
    <x:tableColumn id="30" name="Warren Equity Partners Fund V"/>
    <x:tableColumn id="31" name="Sun Capital Partners VIII"/>
    <x:tableColumn id="32" name="Reverence Capital Partners PE Opportunities Fund IV"/>
    <x:tableColumn id="33" name="BayPine Capital Partners"/>
    <x:tableColumn id="34" name="Broad Sky Partners"/>
    <x:tableColumn id="35" name="Centerbridge Capital Partners IV"/>
    <x:tableColumn id="36" name="GEF U.S. Climate Solutions Fund III"/>
    <x:tableColumn id="37" name="Gryphon Heritage Partners II"/>
    <x:tableColumn id="38" name="Perwyn"/>
    <x:tableColumn id="39" name="Viburnum Private III"/>
    <x:tableColumn id="40" name="RedBird Financial Services I"/>
    <x:tableColumn id="41" name="Silver Lake"/>
    <x:tableColumn id="42" name="Oak Hill Capital Partners"/>
    <x:tableColumn id="43" name="Lee Equity Partners"/>
    <x:tableColumn id="44" name="Naxicap Partners"/>
    <x:tableColumn id="45" name="Manna Tree Partners"/>
  </x:tableColumns>
  <x:tableStyleInfo name="TableStyleMedium2" showRowStripes="1"/>
</x:table>
</file>

<file path=xl/tables/table6.xml><?xml version="1.0" encoding="utf-8"?>
<x:table xmlns:x="http://schemas.openxmlformats.org/spreadsheetml/2006/main" id="6" name="SegmentationTable" displayName="SegmentationTable" ref="A1:X793" headerRowCount="1">
  <x:tableColumns count="24">
    <x:tableColumn id="1" name="tier"/>
    <x:tableColumn id="2" name="version"/>
    <x:tableColumn id="3" name="as_of_date"/>
    <x:tableColumn id="4" name="feature_id"/>
    <x:tableColumn id="5" name="feature_category"/>
    <x:tableColumn id="6" name="process_feature"/>
    <x:tableColumn id="7" name="driver"/>
    <x:tableColumn id="8" name="driver_category"/>
    <x:tableColumn id="9" name="manager_family_n"/>
    <x:tableColumn id="10" name="present_n"/>
    <x:tableColumn id="11" name="conditional_present_n"/>
    <x:tableColumn id="12" name="explicit_absent_n"/>
    <x:tableColumn id="13" name="observable_n"/>
    <x:tableColumn id="14" name="not_observable_n"/>
    <x:tableColumn id="15" name="ambiguous_n"/>
    <x:tableColumn id="16" name="not_applicable_n"/>
    <x:tableColumn id="17" name="prevalence_among_observable"/>
    <x:tableColumn id="18" name="driver_verdict"/>
    <x:tableColumn id="19" name="driver_effect_size_max_minus_min"/>
    <x:tableColumn id="20" name="comparison_groups_used"/>
    <x:tableColumn id="21" name="verdict_reason"/>
    <x:tableColumn id="22" name="minimum_n_rule"/>
    <x:tableColumn id="23" name="separation_rule"/>
    <x:tableColumn id="24" name="evidence_scope"/>
  </x:tableColumns>
  <x:tableStyleInfo name="TableStyleMedium2" showRowStripes="1"/>
</x:table>
</file>

<file path=xl/tables/table7.xml><?xml version="1.0" encoding="utf-8"?>
<x:table xmlns:x="http://schemas.openxmlformats.org/spreadsheetml/2006/main" id="7" name="FeatureVerdictsTable" displayName="FeatureVerdictsTable" ref="A1:E265" headerRowCount="1">
  <x:tableColumns count="5">
    <x:tableColumn id="1" name="feature_id"/>
    <x:tableColumn id="2" name="driver"/>
    <x:tableColumn id="3" name="verdict"/>
    <x:tableColumn id="4" name="effect"/>
    <x:tableColumn id="5" name="groups"/>
  </x:tableColumns>
  <x:tableStyleInfo name="TableStyleMedium2" showRowStripes="1"/>
</x:table>
</file>

<file path=xl/tables/table8.xml><?xml version="1.0" encoding="utf-8"?>
<x:table xmlns:x="http://schemas.openxmlformats.org/spreadsheetml/2006/main" id="8" name="DDQExtractsTable" displayName="DDQExtractsTable" ref="A1:AF30" headerRowCount="1">
  <x:tableColumns count="32">
    <x:tableColumn id="1" name="tier"/>
    <x:tableColumn id="2" name="version"/>
    <x:tableColumn id="3" name="as_of_date"/>
    <x:tableColumn id="4" name="manager_family_id"/>
    <x:tableColumn id="5" name="manager_family"/>
    <x:tableColumn id="6" name="vehicle"/>
    <x:tableColumn id="7" name="fund_size_reported"/>
    <x:tableColumn id="8" name="fund_size_archetype"/>
    <x:tableColumn id="9" name="strategy"/>
    <x:tableColumn id="10" name="geography"/>
    <x:tableColumn id="11" name="source_year"/>
    <x:tableColumn id="12" name="source_vintage_bin"/>
    <x:tableColumn id="13" name="governance_architecture"/>
    <x:tableColumn id="14" name="dedicated_operating_team"/>
    <x:tableColumn id="15" name="primary_evidence_class"/>
    <x:tableColumn id="16" name="behavioral_crosscheck"/>
    <x:tableColumn id="17" name="source_file"/>
    <x:tableColumn id="18" name="process_sequence"/>
    <x:tableColumn id="19" name="resource_gate"/>
    <x:tableColumn id="20" name="offer_authority"/>
    <x:tableColumn id="21" name="final_authority"/>
    <x:tableColumn id="22" name="vote_rule"/>
    <x:tableColumn id="23" name="operating_resources"/>
    <x:tableColumn id="24" name="independent_challenge"/>
    <x:tableColumn id="25" name="memo_architecture"/>
    <x:tableColumn id="26" name="ownership_governance"/>
    <x:tableColumn id="27" name="source_limitations"/>
    <x:tableColumn id="28" name="present_feature_count"/>
    <x:tableColumn id="29" name="conditional_feature_count"/>
    <x:tableColumn id="30" name="explicit_absence_count"/>
    <x:tableColumn id="31" name="not_observable_count"/>
    <x:tableColumn id="32" name="ambiguous_count"/>
  </x:tableColumns>
  <x:tableStyleInfo name="TableStyleMedium2" showRowStripes="1"/>
</x:table>
</file>

<file path=xl/tables/table9.xml><?xml version="1.0" encoding="utf-8"?>
<x:table xmlns:x="http://schemas.openxmlformats.org/spreadsheetml/2006/main" id="9" name="EvidenceDistTable" displayName="EvidenceDistTable" ref="A1:G12" headerRowCount="1">
  <x:tableColumns count="7">
    <x:tableColumn id="1" name="tier"/>
    <x:tableColumn id="2" name="version"/>
    <x:tableColumn id="3" name="metric"/>
    <x:tableColumn id="4" name="value"/>
    <x:tableColumn id="5" name="denominator"/>
    <x:tableColumn id="6" name="percentage"/>
    <x:tableColumn id="7" name="note"/>
  </x:tableColumns>
  <x:tableStyleInfo name="TableStyleMedium2" showRowStripes="1"/>
</x:table>
</file>

<file path=xl/tables/table10.xml><?xml version="1.0" encoding="utf-8"?>
<x:table xmlns:x="http://schemas.openxmlformats.org/spreadsheetml/2006/main" id="10" name="DDQControlTable" displayName="DDQControlTable" ref="A1:AC51" headerRowCount="1">
  <x:tableColumns count="29">
    <x:tableColumn id="1" name="inventory_version"/>
    <x:tableColumn id="2" name="as_of_date"/>
    <x:tableColumn id="3" name="inventory_completeness"/>
    <x:tableColumn id="4" name="manager_family_id"/>
    <x:tableColumn id="5" name="manager_family"/>
    <x:tableColumn id="6" name="vehicle"/>
    <x:tableColumn id="7" name="manager_status"/>
    <x:tableColumn id="8" name="tier_b_status"/>
    <x:tableColumn id="9" name="fund_size_reported"/>
    <x:tableColumn id="10" name="fund_size_archetype"/>
    <x:tableColumn id="11" name="strategy"/>
    <x:tableColumn id="12" name="geography"/>
    <x:tableColumn id="13" name="source_year"/>
    <x:tableColumn id="14" name="source_vintage_bin"/>
    <x:tableColumn id="15" name="governance_architecture"/>
    <x:tableColumn id="16" name="dedicated_operating_team"/>
    <x:tableColumn id="17" name="primary_evidence_class"/>
    <x:tableColumn id="18" name="ddq_files_found_lower_bound"/>
    <x:tableColumn id="19" name="selected_source_file"/>
    <x:tableColumn id="20" name="selected_source_url"/>
    <x:tableColumn id="21" name="version_status"/>
    <x:tableColumn id="22" name="process_section_access"/>
    <x:tableColumn id="23" name="process_section_richness"/>
    <x:tableColumn id="24" name="process_features_observable_or_coded"/>
    <x:tableColumn id="25" name="reason_included_or_excluded"/>
    <x:tableColumn id="26" name="n_impact_if_added"/>
    <x:tableColumn id="27" name="threshold_impact"/>
    <x:tableColumn id="28" name="extraction_priority"/>
    <x:tableColumn id="29" name="audit_note"/>
  </x:tableColumns>
  <x:tableStyleInfo name="TableStyleMedium2" showRowStripes="1"/>
</x:table>
</file>

<file path=xl/tables/table11.xml><?xml version="1.0" encoding="utf-8"?>
<x:table xmlns:x="http://schemas.openxmlformats.org/spreadsheetml/2006/main" id="11" name="SearchLogTable" displayName="SearchLogTable" ref="A1:H27" headerRowCount="1">
  <x:tableColumns count="8">
    <x:tableColumn id="1" name="inventory_version"/>
    <x:tableColumn id="2" name="as_of_date"/>
    <x:tableColumn id="3" name="query_id"/>
    <x:tableColumn id="4" name="query"/>
    <x:tableColumn id="5" name="scope"/>
    <x:tableColumn id="6" name="result_status"/>
    <x:tableColumn id="7" name="notes"/>
    <x:tableColumn id="8" name="method_limitation"/>
  </x:tableColumns>
  <x:tableStyleInfo name="TableStyleMedium2" showRowStripes="1"/>
</x:table>
</file>

<file path=xl/tables/table12.xml><?xml version="1.0" encoding="utf-8"?>
<x:table xmlns:x="http://schemas.openxmlformats.org/spreadsheetml/2006/main" id="12" name="EdgesTable" displayName="EdgesTable" ref="A1:AL38" headerRowCount="1">
  <x:tableColumns count="38">
    <x:tableColumn id="1" name="version"/>
    <x:tableColumn id="2" name="as_of_date"/>
    <x:tableColumn id="3" name="edge_id"/>
    <x:tableColumn id="4" name="source_node"/>
    <x:tableColumn id="5" name="target_node"/>
    <x:tableColumn id="6" name="edge_label"/>
    <x:tableColumn id="7" name="relation_type"/>
    <x:tableColumn id="8" name="kernel_treatment"/>
    <x:tableColumn id="9" name="runtime_behavior"/>
    <x:tableColumn id="10" name="archetype_condition"/>
    <x:tableColumn id="11" name="function_or_artifact"/>
    <x:tableColumn id="12" name="final_classification"/>
    <x:tableColumn id="13" name="claim_basis"/>
    <x:tableColumn id="14" name="perspective"/>
    <x:tableColumn id="15" name="primary_evidence_class"/>
    <x:tableColumn id="16" name="vault_evidence_class"/>
    <x:tableColumn id="17" name="all_evidence_classes"/>
    <x:tableColumn id="18" name="evidence_count"/>
    <x:tableColumn id="19" name="evidence_unit"/>
    <x:tableColumn id="20" name="evidence_denominator"/>
    <x:tableColumn id="21" name="behavioral_count"/>
    <x:tableColumn id="22" name="sponsor_behavioral_count"/>
    <x:tableColumn id="23" name="coinvestor_behavioral_count"/>
    <x:tableColumn id="24" name="sponsor_self_described_count"/>
    <x:tableColumn id="25" name="sponsor_derivative_count"/>
    <x:tableColumn id="26" name="manager_family_observable_n"/>
    <x:tableColumn id="27" name="behavioral_deal_observable_n"/>
    <x:tableColumn id="28" name="counterexample_count"/>
    <x:tableColumn id="29" name="counterexample_status"/>
    <x:tableColumn id="30" name="confidence"/>
    <x:tableColumn id="31" name="confidence_reason"/>
    <x:tableColumn id="32" name="implementation_reason"/>
    <x:tableColumn id="33" name="causal_mechanism"/>
    <x:tableColumn id="34" name="what_would_falsify"/>
    <x:tableColumn id="35" name="source_feature_ids"/>
    <x:tableColumn id="36" name="visual_source_id"/>
    <x:tableColumn id="37" name="visual_target_id"/>
    <x:tableColumn id="38" name="tier_c_version_scope"/>
  </x:tableColumns>
  <x:tableStyleInfo name="TableStyleMedium2" showRowStripes="1"/>
</x:table>
</file>

<file path=xl/tables/table13.xml><?xml version="1.0" encoding="utf-8"?>
<x:table xmlns:x="http://schemas.openxmlformats.org/spreadsheetml/2006/main" id="13" name="MacroFlowsTable" displayName="MacroFlowsTable" ref="A1:U38" headerRowCount="1">
  <x:tableColumns count="21">
    <x:tableColumn id="1" name="version"/>
    <x:tableColumn id="2" name="as_of_date"/>
    <x:tableColumn id="3" name="flow_id"/>
    <x:tableColumn id="4" name="flow_name"/>
    <x:tableColumn id="5" name="perspective"/>
    <x:tableColumn id="6" name="sequence_order"/>
    <x:tableColumn id="7" name="component_id"/>
    <x:tableColumn id="8" name="component_type"/>
    <x:tableColumn id="9" name="description"/>
    <x:tableColumn id="10" name="relation_type"/>
    <x:tableColumn id="11" name="kernel_treatment"/>
    <x:tableColumn id="12" name="archetype_condition"/>
    <x:tableColumn id="13" name="claim_basis"/>
    <x:tableColumn id="14" name="primary_evidence_class"/>
    <x:tableColumn id="15" name="vault_evidence_class"/>
    <x:tableColumn id="16" name="evidence_count"/>
    <x:tableColumn id="17" name="confidence"/>
    <x:tableColumn id="18" name="editable_elements"/>
    <x:tableColumn id="19" name="locked_elements"/>
    <x:tableColumn id="20" name="source_edge_ids"/>
    <x:tableColumn id="21" name="tier_c_version_scope"/>
  </x:tableColumns>
  <x:tableStyleInfo name="TableStyleMedium2" showRowStripes="1"/>
</x:table>
</file>

<file path=xl/tables/table14.xml><?xml version="1.0" encoding="utf-8"?>
<x:table xmlns:x="http://schemas.openxmlformats.org/spreadsheetml/2006/main" id="14" name="KernelSchemaTable" displayName="KernelSchemaTable" ref="A1:D11" headerRowCount="1">
  <x:tableColumns count="4">
    <x:tableColumn id="1" name="field"/>
    <x:tableColumn id="2" name="legal_values"/>
    <x:tableColumn id="3" name="required"/>
    <x:tableColumn id="4" name="meaning"/>
  </x:tableColumns>
  <x:tableStyleInfo name="TableStyleMedium2" showRowStripes="1"/>
</x:table>
</file>

<file path=xl/tables/table15.xml><?xml version="1.0" encoding="utf-8"?>
<x:table xmlns:x="http://schemas.openxmlformats.org/spreadsheetml/2006/main" id="15" name="ArchetypeFlagsTable" displayName="ArchetypeFlagsTable" ref="A1:E15" headerRowCount="1">
  <x:tableColumns count="5">
    <x:tableColumn id="1" name="archetype_condition"/>
    <x:tableColumn id="2" name="default"/>
    <x:tableColumn id="3" name="edge_ids"/>
    <x:tableColumn id="4" name="client_override"/>
    <x:tableColumn id="5" name="notes"/>
  </x:tableColumns>
  <x:tableStyleInfo name="TableStyleMedium2" showRowStripes="1"/>
</x:table>
</file>

<file path=xl/tables/table16.xml><?xml version="1.0" encoding="utf-8"?>
<x:table xmlns:x="http://schemas.openxmlformats.org/spreadsheetml/2006/main" id="16" name="OntologyTable" displayName="OntologyTable" ref="A1:D6" headerRowCount="1">
  <x:tableColumns count="4">
    <x:tableColumn id="1" name="research_evidence_class"/>
    <x:tableColumn id="2" name="vault_term"/>
    <x:tableColumn id="3" name="mapping_status"/>
    <x:tableColumn id="4" name="what_populates_i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2d62020abc942c7" /></Relationships>
</file>

<file path=xl/worksheets/_rels/sheet2.xml.rels>&#65279;<?xml version="1.0" encoding="utf-8"?><Relationships xmlns="http://schemas.openxmlformats.org/package/2006/relationships"><Relationship Type="http://schemas.openxmlformats.org/officeDocument/2006/relationships/table" Target="/xl/tables/table1.xml" Id="Rbc27def7dcce4a46" /></Relationships>
</file>

<file path=xl/worksheets/_rels/sheet3.xml.rels>&#65279;<?xml version="1.0" encoding="utf-8"?><Relationships xmlns="http://schemas.openxmlformats.org/package/2006/relationships"><Relationship Type="http://schemas.openxmlformats.org/officeDocument/2006/relationships/table" Target="/xl/tables/table2.xml" Id="Ra9790e48ea104d25" /></Relationships>
</file>

<file path=xl/worksheets/_rels/sheet4.xml.rels>&#65279;<?xml version="1.0" encoding="utf-8"?><Relationships xmlns="http://schemas.openxmlformats.org/package/2006/relationships"><Relationship Type="http://schemas.openxmlformats.org/officeDocument/2006/relationships/table" Target="/xl/tables/table3.xml" Id="Rff7d7bf8d95f49cb" /></Relationships>
</file>

<file path=xl/worksheets/_rels/sheet5.xml.rels>&#65279;<?xml version="1.0" encoding="utf-8"?><Relationships xmlns="http://schemas.openxmlformats.org/package/2006/relationships"><Relationship Type="http://schemas.openxmlformats.org/officeDocument/2006/relationships/table" Target="/xl/tables/table4.xml" Id="Rcc2a875dcc9b49a4" /></Relationships>
</file>

<file path=xl/worksheets/_rels/sheet6.xml.rels>&#65279;<?xml version="1.0" encoding="utf-8"?><Relationships xmlns="http://schemas.openxmlformats.org/package/2006/relationships"><Relationship Type="http://schemas.openxmlformats.org/officeDocument/2006/relationships/table" Target="/xl/tables/table5.xml" Id="Re49db44324ab4a88" /></Relationships>
</file>

<file path=xl/worksheets/_rels/sheet7.xml.rels>&#65279;<?xml version="1.0" encoding="utf-8"?><Relationships xmlns="http://schemas.openxmlformats.org/package/2006/relationships"><Relationship Type="http://schemas.openxmlformats.org/officeDocument/2006/relationships/table" Target="/xl/tables/table6.xml" Id="Rf6e33c8ec770470e" /></Relationships>
</file>

<file path=xl/worksheets/_rels/sheet8.xml.rels>&#65279;<?xml version="1.0" encoding="utf-8"?><Relationships xmlns="http://schemas.openxmlformats.org/package/2006/relationships"><Relationship Type="http://schemas.openxmlformats.org/officeDocument/2006/relationships/table" Target="/xl/tables/table7.xml" Id="Rfb7cd461bb3a45e8" /></Relationships>
</file>

<file path=xl/worksheets/_rels/sheet9.xml.rels>&#65279;<?xml version="1.0" encoding="utf-8"?><Relationships xmlns="http://schemas.openxmlformats.org/package/2006/relationships"><Relationship Type="http://schemas.openxmlformats.org/officeDocument/2006/relationships/table" Target="/xl/tables/table8.xml" Id="Rbd47e41ab6cb44c5" /></Relationships>
</file>

<file path=xl/worksheets/_rels/sheet10.xml.rels>&#65279;<?xml version="1.0" encoding="utf-8"?><Relationships xmlns="http://schemas.openxmlformats.org/package/2006/relationships"><Relationship Type="http://schemas.openxmlformats.org/officeDocument/2006/relationships/table" Target="/xl/tables/table9.xml" Id="R9d73f49ba59e4126" /></Relationships>
</file>

<file path=xl/worksheets/_rels/sheet11.xml.rels>&#65279;<?xml version="1.0" encoding="utf-8"?><Relationships xmlns="http://schemas.openxmlformats.org/package/2006/relationships"><Relationship Type="http://schemas.openxmlformats.org/officeDocument/2006/relationships/table" Target="/xl/tables/table10.xml" Id="Rb34ce175a8f54695" /></Relationships>
</file>

<file path=xl/worksheets/_rels/sheet12.xml.rels>&#65279;<?xml version="1.0" encoding="utf-8"?><Relationships xmlns="http://schemas.openxmlformats.org/package/2006/relationships"><Relationship Type="http://schemas.openxmlformats.org/officeDocument/2006/relationships/table" Target="/xl/tables/table11.xml" Id="R81b7778908a34eb7" /></Relationships>
</file>

<file path=xl/worksheets/_rels/sheet13.xml.rels>&#65279;<?xml version="1.0" encoding="utf-8"?><Relationships xmlns="http://schemas.openxmlformats.org/package/2006/relationships"><Relationship Type="http://schemas.openxmlformats.org/officeDocument/2006/relationships/table" Target="/xl/tables/table12.xml" Id="Rfe0d103dfaee49d8" /></Relationships>
</file>

<file path=xl/worksheets/_rels/sheet14.xml.rels>&#65279;<?xml version="1.0" encoding="utf-8"?><Relationships xmlns="http://schemas.openxmlformats.org/package/2006/relationships"><Relationship Type="http://schemas.openxmlformats.org/officeDocument/2006/relationships/table" Target="/xl/tables/table13.xml" Id="R228dbb6a445a415b" /></Relationships>
</file>

<file path=xl/worksheets/_rels/sheet15.xml.rels>&#65279;<?xml version="1.0" encoding="utf-8"?><Relationships xmlns="http://schemas.openxmlformats.org/package/2006/relationships"><Relationship Type="http://schemas.openxmlformats.org/officeDocument/2006/relationships/table" Target="/xl/tables/table14.xml" Id="R2214798ba1f24048" /></Relationships>
</file>

<file path=xl/worksheets/_rels/sheet16.xml.rels>&#65279;<?xml version="1.0" encoding="utf-8"?><Relationships xmlns="http://schemas.openxmlformats.org/package/2006/relationships"><Relationship Type="http://schemas.openxmlformats.org/officeDocument/2006/relationships/table" Target="/xl/tables/table15.xml" Id="R1ea053f65bae4378" /></Relationships>
</file>

<file path=xl/worksheets/_rels/sheet17.xml.rels>&#65279;<?xml version="1.0" encoding="utf-8"?><Relationships xmlns="http://schemas.openxmlformats.org/package/2006/relationships"><Relationship Type="http://schemas.openxmlformats.org/officeDocument/2006/relationships/table" Target="/xl/tables/table16.xml" Id="R78b92d622a144643" /></Relationships>
</file>

<file path=xl/worksheets/sheet1.xml><?xml version="1.0" encoding="utf-8"?>
<x:worksheet xmlns:x="http://schemas.openxmlformats.org/spreadsheetml/2006/main">
  <x:sheetFormatPr defaultRowHeight="15"/>
  <x:cols>
    <x:col min="1" max="1" width="22" hidden="0" customWidth="1"/>
    <x:col min="2" max="2" width="42" hidden="0" customWidth="1"/>
    <x:col min="3" max="3" width="14" hidden="0" customWidth="1"/>
    <x:col min="4" max="4" width="15" hidden="0" customWidth="1"/>
    <x:col min="5" max="5" width="15" hidden="0" customWidth="1"/>
    <x:col min="6" max="6" width="15" hidden="0" customWidth="1"/>
    <x:col min="7" max="7" width="15" hidden="0" customWidth="1"/>
    <x:col min="8" max="8" width="15" hidden="0" customWidth="1"/>
    <x:col min="10" max="10" width="2" hidden="0" customWidth="1"/>
    <x:col min="11" max="11" width="2" hidden="0" customWidth="1"/>
    <x:col min="12" max="12" width="2" hidden="0" customWidth="1"/>
    <x:col min="13" max="13" width="2" hidden="0" customWidth="1"/>
    <x:col min="14" max="14" width="2" hidden="0" customWidth="1"/>
  </x:cols>
  <x:sheetData>
    <x:row r="1">
      <x:c r="A1" s="5" t="str">
        <x:v>PROCESS KERNEL HANDOFF — ANONYMIZED</x:v>
      </x:c>
      <x:c r="B1" s="5"/>
      <x:c r="C1" s="5"/>
      <x:c r="D1" s="5"/>
      <x:c r="E1" s="5"/>
      <x:c r="F1" s="5"/>
      <x:c r="G1" s="5"/>
      <x:c r="H1" s="5"/>
    </x:row>
    <x:row r="2">
      <x:c r="A2" s="5"/>
      <x:c r="B2" s="5"/>
      <x:c r="C2" s="5"/>
      <x:c r="D2" s="5"/>
      <x:c r="E2" s="5"/>
      <x:c r="F2" s="5"/>
      <x:c r="G2" s="5"/>
      <x:c r="H2" s="5"/>
      <x:c r="J2" t="str">
        <x:v>Verdict</x:v>
      </x:c>
      <x:c r="K2" t="str">
        <x:v>Count</x:v>
      </x:c>
      <x:c r="M2" t="str">
        <x:v>Treatment</x:v>
      </x:c>
      <x:c r="N2" t="str">
        <x:v>Count</x:v>
      </x:c>
    </x:row>
    <x:row r="3">
      <x:c r="A3" s="12" t="str">
        <x:v>N=29 manager-family segmentation; Tier C v1 evidence-aware engineering derivatives</x:v>
      </x:c>
      <x:c r="B3" s="12"/>
      <x:c r="C3" s="12"/>
      <x:c r="D3" s="12"/>
      <x:c r="E3" s="12"/>
      <x:c r="F3" s="12"/>
      <x:c r="G3" s="12"/>
      <x:c r="H3" s="12"/>
      <x:c r="J3" t="str">
        <x:v>Separates</x:v>
      </x:c>
      <x:c r="K3" t="n">
        <x:v>5</x:v>
      </x:c>
      <x:c r="M3" t="str">
        <x:v>AXIOM</x:v>
      </x:c>
      <x:c r="N3" t="n">
        <x:v>5</x:v>
      </x:c>
    </x:row>
    <x:row r="4">
      <x:c r="J4" t="str">
        <x:v>Does not separate</x:v>
      </x:c>
      <x:c r="K4" t="n">
        <x:v>138</x:v>
      </x:c>
      <x:c r="M4" t="str">
        <x:v>ENFORCE</x:v>
      </x:c>
      <x:c r="N4" t="n">
        <x:v>4</x:v>
      </x:c>
    </x:row>
    <x:row r="5">
      <x:c r="A5" s="17" t="str">
        <x:v>Manager families</x:v>
      </x:c>
      <x:c r="B5" s="22" t="n">
        <x:f>COUNTA('DDQ Extracts'!A2:A1000)</x:f>
        <x:v>29</x:v>
      </x:c>
      <x:c r="D5" s="27" t="str">
        <x:v>READ THIS FIRST</x:v>
      </x:c>
      <x:c r="E5" s="27"/>
      <x:c r="F5" s="27"/>
      <x:c r="G5" s="27"/>
      <x:c r="H5" s="27"/>
      <x:c r="J5" t="str">
        <x:v>Inconclusive</x:v>
      </x:c>
      <x:c r="K5" t="n">
        <x:v>21</x:v>
      </x:c>
      <x:c r="M5" t="str">
        <x:v>CONFIGURE</x:v>
      </x:c>
      <x:c r="N5" t="n">
        <x:v>22</x:v>
      </x:c>
    </x:row>
    <x:row r="6">
      <x:c r="A6" s="17" t="str">
        <x:v>Process features</x:v>
      </x:c>
      <x:c r="B6" s="22" t="n">
        <x:f>COUNTA('Feature Matrix'!A2:A1000)</x:f>
        <x:v>44</x:v>
      </x:c>
      <x:c r="D6" s="31" t="str">
        <x:v>The lead-sponsor process is predominantly manager self-description, not behaviour.</x:v>
      </x:c>
      <x:c r="E6" s="31" t="str"/>
      <x:c r="F6" s="31" t="str"/>
      <x:c r="G6" s="31" t="str"/>
      <x:c r="H6" s="31" t="str"/>
      <x:c r="J6" t="str">
        <x:v>N too small</x:v>
      </x:c>
      <x:c r="K6" t="n">
        <x:v>98</x:v>
      </x:c>
      <x:c r="M6" t="str">
        <x:v>SUGGEST</x:v>
      </x:c>
      <x:c r="N6" t="n">
        <x:v>6</x:v>
      </x:c>
    </x:row>
    <x:row r="7">
      <x:c r="A7" s="17" t="str">
        <x:v>Feature-driver tests</x:v>
      </x:c>
      <x:c r="B7" s="22" t="n">
        <x:f>COUNTA('Feature Verdicts'!A2:A1000)</x:f>
        <x:v>264</x:v>
      </x:c>
      <x:c r="D7" s="31" t="str">
        <x:v>The N=29 size result supports one process kernel with capability flags, not size templates.</x:v>
      </x:c>
      <x:c r="E7" s="31" t="str"/>
      <x:c r="F7" s="31" t="str"/>
      <x:c r="G7" s="31" t="str"/>
      <x:c r="H7" s="31" t="str"/>
      <x:c r="J7" t="str">
        <x:v>Circular</x:v>
      </x:c>
      <x:c r="K7" t="n">
        <x:v>2</x:v>
      </x:c>
    </x:row>
    <x:row r="8">
      <x:c r="A8" s="17" t="str">
        <x:v>Classified edges</x:v>
      </x:c>
      <x:c r="B8" s="22" t="n">
        <x:f>COUNTA(Edges!A2:A1000)</x:f>
        <x:v>37</x:v>
      </x:c>
      <x:c r="D8" s="31" t="str">
        <x:v>Tier C v1 evidence counts were not recalculated in the N=29 DDQ rerun.</x:v>
      </x:c>
      <x:c r="E8" s="31" t="str"/>
      <x:c r="F8" s="31" t="str"/>
      <x:c r="G8" s="31" t="str"/>
      <x:c r="H8" s="31" t="str"/>
    </x:row>
    <x:row r="9">
      <x:c r="A9" s="17" t="str">
        <x:v>AXIOM edges</x:v>
      </x:c>
      <x:c r="B9" s="22" t="n">
        <x:f>COUNTIF(Edges!H2:H1000,"AXIOM")</x:f>
        <x:v>5</x:v>
      </x:c>
      <x:c r="D9" s="31" t="str">
        <x:v>The original deal-level graphs and the re-identification key are not included.</x:v>
      </x:c>
      <x:c r="E9" s="31" t="str"/>
      <x:c r="F9" s="31" t="str"/>
      <x:c r="G9" s="31" t="str"/>
      <x:c r="H9" s="31" t="str"/>
    </x:row>
    <x:row r="10">
      <x:c r="A10" s="17" t="str">
        <x:v>ENFORCE edges</x:v>
      </x:c>
      <x:c r="B10" s="22" t="n">
        <x:f>COUNTIF(Edges!H2:H1000,"ENFORCE")</x:f>
        <x:v>4</x:v>
      </x:c>
      <x:c r="D10" s="31" t="str">
        <x:v>Use edge_classification_engineering and macro_flows_engineering as the machine-readable build source.</x:v>
      </x:c>
      <x:c r="E10" s="31" t="str"/>
      <x:c r="F10" s="31" t="str"/>
      <x:c r="G10" s="31" t="str"/>
      <x:c r="H10" s="31" t="str"/>
    </x:row>
    <x:row r="11">
      <x:c r="A11" s="17" t="str">
        <x:v>CONFIGURE edges</x:v>
      </x:c>
      <x:c r="B11" s="22" t="n">
        <x:f>COUNTIF(Edges!H2:H1000,"CONFIGURE")</x:f>
        <x:v>22</x:v>
      </x:c>
    </x:row>
    <x:row r="12">
      <x:c r="A12" s="17" t="str">
        <x:v>SUGGEST edges</x:v>
      </x:c>
      <x:c r="B12" s="22" t="n">
        <x:f>COUNTIF(Edges!H2:H1000,"SUGGEST")</x:f>
        <x:v>6</x:v>
      </x:c>
    </x:row>
    <x:row r="15">
      <x:c r="A15" s="34" t="str">
        <x:v>SHEET DIRECTORY</x:v>
      </x:c>
      <x:c r="B15" s="34"/>
      <x:c r="C15" s="34"/>
      <x:c r="D15" s="34"/>
      <x:c r="E15" s="34"/>
      <x:c r="F15" s="34"/>
      <x:c r="G15" s="34"/>
      <x:c r="H15" s="34"/>
    </x:row>
    <x:row r="16">
      <x:c r="A16" s="38" t="str">
        <x:v>Workstreams</x:v>
      </x:c>
      <x:c r="B16" s="30" t="str">
        <x:v>Seven workstreams and their inputs, outputs, failure modes and downstream variables.</x:v>
      </x:c>
    </x:row>
    <x:row r="17">
      <x:c r="A17" s="38" t="str">
        <x:v>Model States</x:v>
      </x:c>
      <x:c r="B17" s="30" t="str">
        <x:v>M0–M6 maturity ladder.</x:v>
      </x:c>
    </x:row>
    <x:row r="18">
      <x:c r="A18" s="38" t="str">
        <x:v>VCP States</x:v>
      </x:c>
      <x:c r="B18" s="30" t="str">
        <x:v>V0–V5 maturity ladder.</x:v>
      </x:c>
    </x:row>
    <x:row r="19">
      <x:c r="A19" s="38" t="str">
        <x:v>Open Items</x:v>
      </x:c>
      <x:c r="B19" s="30" t="str">
        <x:v>Decision-disposition taxonomy.</x:v>
      </x:c>
    </x:row>
    <x:row r="20">
      <x:c r="A20" s="38" t="str">
        <x:v>Feature Matrix</x:v>
      </x:c>
      <x:c r="B20" s="30" t="str">
        <x:v>44 features × 29 manager families.</x:v>
      </x:c>
    </x:row>
    <x:row r="21">
      <x:c r="A21" s="38" t="str">
        <x:v>Segmentation</x:v>
      </x:c>
      <x:c r="B21" s="30" t="str">
        <x:v>Feature-driver crosstab with group counts and verdicts.</x:v>
      </x:c>
    </x:row>
    <x:row r="22">
      <x:c r="A22" s="38" t="str">
        <x:v>Feature Verdicts</x:v>
      </x:c>
      <x:c r="B22" s="30" t="str">
        <x:v>One row per feature-driver test.</x:v>
      </x:c>
    </x:row>
    <x:row r="23">
      <x:c r="A23" s="38" t="str">
        <x:v>DDQ Extracts</x:v>
      </x:c>
      <x:c r="B23" s="30" t="str">
        <x:v>Manager-family process summaries and metadata.</x:v>
      </x:c>
    </x:row>
    <x:row r="24">
      <x:c r="A24" s="38" t="str">
        <x:v>Evidence Dist</x:v>
      </x:c>
      <x:c r="B24" s="30" t="str">
        <x:v>Tier B coverage and missingness.</x:v>
      </x:c>
    </x:row>
    <x:row r="25">
      <x:c r="A25" s="38" t="str">
        <x:v>DDQ Control</x:v>
      </x:c>
      <x:c r="B25" s="30" t="str">
        <x:v>Lower-bound DDQ universe and inclusion/exclusion audit.</x:v>
      </x:c>
    </x:row>
    <x:row r="26">
      <x:c r="A26" s="38" t="str">
        <x:v>Search Log</x:v>
      </x:c>
      <x:c r="B26" s="30" t="str">
        <x:v>Queries and method limitations.</x:v>
      </x:c>
    </x:row>
    <x:row r="27">
      <x:c r="A27" s="38" t="str">
        <x:v>Edges</x:v>
      </x:c>
      <x:c r="B27" s="30" t="str">
        <x:v>37 engineering-safe edge definitions with kernel treatment.</x:v>
      </x:c>
    </x:row>
    <x:row r="28">
      <x:c r="A28" s="38" t="str">
        <x:v>Macro Flows</x:v>
      </x:c>
      <x:c r="B28" s="30" t="str">
        <x:v>Render-ready process components.</x:v>
      </x:c>
    </x:row>
    <x:row r="29">
      <x:c r="A29" s="38" t="str">
        <x:v>Kernel Schema</x:v>
      </x:c>
      <x:c r="B29" s="30" t="str">
        <x:v>Fields and enums.</x:v>
      </x:c>
    </x:row>
    <x:row r="30">
      <x:c r="A30" s="38" t="str">
        <x:v>Archetype Flags</x:v>
      </x:c>
      <x:c r="B30" s="30" t="str">
        <x:v>Controlled conditions.</x:v>
      </x:c>
    </x:row>
    <x:row r="31">
      <x:c r="A31" s="38" t="str">
        <x:v>Ontology</x:v>
      </x:c>
      <x:c r="B31" s="30" t="str">
        <x:v>Evidence-vocabulary mapping.</x:v>
      </x:c>
    </x:row>
  </x:sheetData>
  <x:mergeCells>
    <x:mergeCell ref="A1:H2"/>
    <x:mergeCell ref="A3:H3"/>
    <x:mergeCell ref="D5:H5"/>
    <x:mergeCell ref="D6:H6"/>
    <x:mergeCell ref="D7:H7"/>
    <x:mergeCell ref="D8:H8"/>
    <x:mergeCell ref="D9:H9"/>
    <x:mergeCell ref="D10:H10"/>
    <x:mergeCell ref="A15:H15"/>
  </x:mergeCells>
  <x:pageMargins left="0.7" right="0.7" top="0.75" bottom="0.75" header="0.3" footer="0.3"/>
  <x:drawing xmlns:r="http://schemas.openxmlformats.org/officeDocument/2006/relationships" r:id="Rd2d62020abc942c7"/>
</x:worksheet>
</file>

<file path=xl/worksheets/sheet2.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22" hidden="0" customWidth="1"/>
  </x:cols>
  <x:sheetData>
    <x:row r="1">
      <x:c r="A1" s="42" t="str">
        <x:v>tier</x:v>
      </x:c>
      <x:c r="B1" s="42" t="str">
        <x:v>version</x:v>
      </x:c>
      <x:c r="C1" s="42" t="str">
        <x:v>as_of_date</x:v>
      </x:c>
      <x:c r="D1" s="42" t="str">
        <x:v>source</x:v>
      </x:c>
      <x:c r="E1" s="42" t="str">
        <x:v>source_note</x:v>
      </x:c>
      <x:c r="F1" s="42" t="str">
        <x:v>archive_frequency_verified</x:v>
      </x:c>
      <x:c r="G1" s="42" t="str">
        <x:v>workstream_id</x:v>
      </x:c>
      <x:c r="H1" s="42" t="str">
        <x:v>workstream</x:v>
      </x:c>
      <x:c r="I1" s="42" t="str">
        <x:v>core_function</x:v>
      </x:c>
      <x:c r="J1" s="42" t="str">
        <x:v>constituent_activities</x:v>
      </x:c>
      <x:c r="K1" s="42" t="str">
        <x:v>inputs_consumed</x:v>
      </x:c>
      <x:c r="L1" s="42" t="str">
        <x:v>input_origins</x:v>
      </x:c>
      <x:c r="M1" s="42" t="str">
        <x:v>outputs_produced</x:v>
      </x:c>
      <x:c r="N1" s="42" t="str">
        <x:v>downstream_variables_changed</x:v>
      </x:c>
      <x:c r="O1" s="42" t="str">
        <x:v>failure_modes_caught</x:v>
      </x:c>
      <x:c r="P1" s="42" t="str">
        <x:v>typical_internal_roles</x:v>
      </x:c>
      <x:c r="Q1" s="42" t="str">
        <x:v>typical_external_roles</x:v>
      </x:c>
      <x:c r="R1" s="42" t="str">
        <x:v>typical_internal_external_split</x:v>
      </x:c>
      <x:c r="S1" s="42" t="str">
        <x:v>typical_trigger_point</x:v>
      </x:c>
      <x:c r="T1" s="42" t="str">
        <x:v>typical_duration_order</x:v>
      </x:c>
      <x:c r="U1" s="42" t="str">
        <x:v>typical_external_cost_order</x:v>
      </x:c>
      <x:c r="V1" s="42" t="str">
        <x:v>duration_cost_observability</x:v>
      </x:c>
      <x:c r="W1" s="42" t="str">
        <x:v>archetype_modifiers</x:v>
      </x:c>
      <x:c r="X1" s="42" t="str">
        <x:v>function_or_artifact</x:v>
      </x:c>
      <x:c r="Y1" s="42" t="str">
        <x:v>primary_evidence_class</x:v>
      </x:c>
      <x:c r="Z1" s="42" t="str">
        <x:v>claim_basis</x:v>
      </x:c>
      <x:c r="AA1" s="42" t="str">
        <x:v>observability</x:v>
      </x:c>
      <x:c r="AB1" s="42" t="str">
        <x:v>supporting_manager_examples</x:v>
      </x:c>
      <x:c r="AC1" s="42" t="str">
        <x:v>illustrative_deal_examples</x:v>
      </x:c>
      <x:c r="AD1" s="42" t="str">
        <x:v>confidence</x:v>
      </x:c>
      <x:c r="AE1" s="42" t="str">
        <x:v>confidence_reason</x:v>
      </x:c>
      <x:c r="AF1" s="42" t="str">
        <x:v>caveats</x:v>
      </x:c>
    </x:row>
    <x:row r="2">
      <x:c r="A2" s="48" t="str">
        <x:v>A_WORKSTREAM_ANATOMY</x:v>
      </x:c>
      <x:c r="B2" s="48" t="str">
        <x:v>Tier A v1.0</x:v>
      </x:c>
      <x:c r="C2" s="48" t="str">
        <x:v>2026-07-16</x:v>
      </x:c>
      <x:c r="D2" s="48" t="str">
        <x:v>DOMAIN_SYNTHESIS_FROM_DDQ_CORPUS_PLUS_FIRST_PRINCIPLES_REASONING</x:v>
      </x:c>
      <x:c r="E2" s="48" t="str">
        <x:v>Compositional synthesis; not archive-verified frequency and not a universal necessity claim.</x:v>
      </x:c>
      <x:c r="F2" s="48" t="str">
        <x:v>FALSE</x:v>
      </x:c>
      <x:c r="G2" s="48" t="str">
        <x:v>WS-COM</x:v>
      </x:c>
      <x:c r="H2" s="48" t="str">
        <x:v>Commercial and market</x:v>
      </x:c>
      <x:c r="I2" s="48" t="str">
        <x:v>Test whether the addressable market, customer behaviour, pricing, competitive position and growth assumptions support the revenue case and exit thesis.</x:v>
      </x:c>
      <x:c r="J2" s="48" t="str">
        <x:v>Market definition and segmentation; market sizing and growth; industry profit-pool analysis; structural and cyclical drivers; customer concentration; cohort, retention, churn and expansion analysis; price-volume-mix decomposition; pricing power and elasticity; sales pipeline and conversion; win-loss work; channel economics; product and service differentiation; market share; competitor and substitute analysis; barriers to entry; customer, supplier and expert interviews; regulatory and technology trends; geographic expansion; exit-buyer mapping.</x:v>
      </x:c>
      <x:c r="K2" s="48" t="str">
        <x:v>CIM and vendor materials; data-room customer and revenue files; management accounts and budgets; CRM and pipeline data; contracts and price lists; management interviews; public market and industry data; expert calls; customer and supplier references; prior sector work; operating model sensitivities.</x:v>
      </x:c>
      <x:c r="L2" s="48" t="str">
        <x:v>Seller and advisers; target management; sponsor sector team; sponsor operating team; public and proprietary databases; customers and suppliers; commissioned commercial adviser; expert-network providers.</x:v>
      </x:c>
      <x:c r="M2" s="48" t="str">
        <x:v>Market map; revenue bridge; customer-concentration and cohort analysis; price-volume-mix analysis; demand and competition assessment; customer-reference synthesis; segment forecast; commercial risk register; commercial-diligence report or internal memorandum; exit-market view; revised commercial assumptions for the sponsor model and VCP.</x:v>
      </x:c>
      <x:c r="N2" s="48" t="str">
        <x:v>Revenue growth by segment; pricing; volume; churn and retention; cross-sell and expansion; pipeline conversion; customer acquisition assumptions; gross margin; market share; downside severity; terminal growth; exit-buyer universe; exit multiple; timing and credibility of growth initiatives; maximum price.</x:v>
      </x:c>
      <x:c r="O2" s="48" t="str">
        <x:v>Inflated TAM; confusing temporary price inflation with structural pricing power; hidden churn; customer concentration and loss risk; weak pipeline quality; unsustainable channel incentives; substitution; poor product differentiation; regulatory or technology disruption; cyclicality masked by recent growth; management forecast unsupported by customer evidence; exit thesis dependent on an implausible buyer universe.</x:v>
      </x:c>
      <x:c r="P2" s="48" t="str">
        <x:v>Deal team; sector specialists; operating partners; investment committee members; internal data or AI team; portfolio-value-creation team; capital-markets team where commercial findings affect financing.</x:v>
      </x:c>
      <x:c r="Q2" s="48" t="str">
        <x:v>Commercial-diligence consultant; expert network; customer-reference provider; market-research specialist; industry executives; specialist regulatory or technical consultant.</x:v>
      </x:c>
      <x:c r="R2" s="48" t="str">
        <x:v>Sponsor normally owns the thesis, scope, interpretation and model changes. External advisers are often used for independent market, customer and competitor evidence; the depth varies with deal size, access, cost and sector complexity.</x:v>
      </x:c>
      <x:c r="S2" s="48" t="str">
        <x:v>Begins during thematic preparation or initial screen where prior sector work exists; opportunity-specific work deepens before an indicative offer and usually expands after management access or exclusivity.</x:v>
      </x:c>
      <x:c r="T2" s="48" t="str">
        <x:v>DAYS_TO_6_WEEKS_TYPICAL; longer for multi-country, highly technical or data-poor markets.</x:v>
      </x:c>
      <x:c r="U2" s="48" t="str">
        <x:v>MEDIUM_TO_VERY_HIGH_RELATIVE; exact spend not consistently observable in the corpus.</x:v>
      </x:c>
      <x:c r="V2" s="48" t="str">
        <x:v>Qualitative timing is observable from process descriptions. Numeric cost benchmarks are not consistently disclosed and are intentionally not estimated.</x:v>
      </x:c>
      <x:c r="W2" s="48" t="str">
        <x:v>Auction: compressed work before bid and deeper confirmatory work after exclusivity. Proprietary/founder: more relationship and customer-reference work. Regulated/technical: heavier specialist input. Mega-cap: more parallel internal and external teams. Lower-middle-market: more selective external scope because broken-deal cost is material.</x:v>
      </x:c>
      <x:c r="X2" s="48" t="str">
        <x:v>FUNCTION; a formal CDD report is an optional artifact implementing the function.</x:v>
      </x:c>
      <x:c r="Y2" s="48" t="str">
        <x:v>SPONSOR_SELF_DESCRIBED_WITH_LIMITED_SPONSOR_BEHAVIOURAL_ILLUSTRATION</x:v>
      </x:c>
      <x:c r="Z2" s="48" t="str">
        <x:v>EMPIRICAL_COMPOSITION_PLUS_ANALYTIC_LINKAGE</x:v>
      </x:c>
      <x:c r="AA2" s="48" t="str">
        <x:v>HIGH_FOR_ACTIVITIES_AND_OUTPUTS; MEDIUM_FOR_TRIGGER; LOW_FOR_COST</x:v>
      </x:c>
      <x:c r="AB2" s="48" t="str">
        <x:v>TPG Asia VIII; CVC Asia V; Providence IX; Blackstone Asia III; Partners Group Direct Equity V; General Atlantic; Broad Sky.</x:v>
      </x:c>
      <x:c r="AC2" s="48" t="str">
        <x:v>Anonymized deal illustrations withheld from the engineering handoff.</x:v>
      </x:c>
      <x:c r="AD2" s="48" t="str">
        <x:v>HIGH</x:v>
      </x:c>
      <x:c r="AE2" s="48" t="str">
        <x:v>Activities and downstream linkages recur across detailed manager process descriptions and are economically traceable to revenue and valuation assumptions.</x:v>
      </x:c>
      <x:c r="AF2" s="48" t="str">
        <x:v>Not every activity is performed on every deal. Depth depends on materiality, existing sector knowledge, information access and transaction timetable. No frequency claim is made.</x:v>
      </x:c>
    </x:row>
    <x:row r="3">
      <x:c r="A3" s="48" t="str">
        <x:v>A_WORKSTREAM_ANATOMY</x:v>
      </x:c>
      <x:c r="B3" s="48" t="str">
        <x:v>Tier A v1.0</x:v>
      </x:c>
      <x:c r="C3" s="48" t="str">
        <x:v>2026-07-16</x:v>
      </x:c>
      <x:c r="D3" s="48" t="str">
        <x:v>DOMAIN_SYNTHESIS_FROM_DDQ_CORPUS_PLUS_FIRST_PRINCIPLES_REASONING</x:v>
      </x:c>
      <x:c r="E3" s="48" t="str">
        <x:v>Compositional synthesis; not archive-verified frequency and not a universal necessity claim.</x:v>
      </x:c>
      <x:c r="F3" s="48" t="str">
        <x:v>FALSE</x:v>
      </x:c>
      <x:c r="G3" s="48" t="str">
        <x:v>WS-FIN</x:v>
      </x:c>
      <x:c r="H3" s="48" t="str">
        <x:v>Financial and accounting</x:v>
      </x:c>
      <x:c r="I3" s="48" t="str">
        <x:v>Establish a decision-useful earnings, cash-flow, working-capital, capex and liability base for valuation, financing and purchase-price mechanics.</x:v>
      </x:c>
      <x:c r="J3" s="48" t="str">
        <x:v>Reconcile audited, statutory and management accounts; monthly and segment trend analysis; quality-of-earnings testing; EBITDA normalization and add-back review; recurring versus non-recurring revenue and cost; gross and contribution margin analysis; budget accuracy and forecast bridge; working-capital seasonality and peg analysis; receivables, payables and inventory; cash conversion; maintenance versus growth capex; debt and debt-like items; off-balance-sheet and contingent liabilities; accounting policies, controls and systems; tax-accounting interfaces; covenant-definition analysis.</x:v>
      </x:c>
      <x:c r="K3" s="48" t="str">
        <x:v>Audited and statutory accounts; trial balances and management accounts; monthly reporting packs; budgets and forecasts; general-ledger extracts; customer and product profitability; working-capital files; capex registers; debt schedules; tax returns and provisions; audit reports and auditor access; management explanations; vendor financial diligence; sponsor model.</x:v>
      </x:c>
      <x:c r="L3" s="48" t="str">
        <x:v>Target finance team; seller and vendor advisers; external auditor; sponsor deal team and finance specialists; commissioned accounting adviser; tax adviser; lenders and financing advisers for covenant definitions.</x:v>
      </x:c>
      <x:c r="M3" s="48" t="str">
        <x:v>Normalized EBITDA bridge; quality-of-earnings analysis; working-capital and net-debt schedule; cash-conversion analysis; capex assessment; forecast credibility assessment; debt-like and contingent-liability schedule; accounting-control findings; financial-diligence report or internal analysis; revised historical base and sponsor forecast.</x:v>
      </x:c>
      <x:c r="N3" s="48" t="str">
        <x:v>Entry EBITDA; entry multiple; enterprise-to-equity bridge; purchase-price adjustment; working-capital peg; net debt; cash taxes; capex; free cash flow; debt capacity; interest coverage; deleveraging; equity cheque; covenant headroom; base and downside returns; indemnity, escrow and warranty requirements; maximum price.</x:v>
      </x:c>
      <x:c r="O3" s="48" t="str">
        <x:v>Unsupported add-backs; revenue recognized too early; one-time benefits treated as recurring; margin deterioration hidden by mix; poor cash conversion; working-capital seasonality omitted; underfunded capex; unrecorded debt-like items; weak controls; forecast bias; covenant EBITDA inconsistent with underwritten EBITDA; contingent liabilities omitted from sources and uses.</x:v>
      </x:c>
      <x:c r="P3" s="48" t="str">
        <x:v>Deal team; internal finance or accounting specialists where available; capital-markets team; operating team; IC reviewers; tax and legal teams for liability interfaces.</x:v>
      </x:c>
      <x:c r="Q3" s="48" t="str">
        <x:v>Accounting and transaction-services firm; target auditor; tax adviser; forensic or specialist accounting adviser; insurance adviser for diligence-to-policy interfaces.</x:v>
      </x:c>
      <x:c r="R3" s="48" t="str">
        <x:v>Sponsor owns normalization judgments, sponsor-case assumptions and valuation consequences. External advisers often provide independent testing, detailed schedules and accounting expertise. Some deals substitute audited accounts, auditor access and targeted specialist work for a formal QoE.</x:v>
      </x:c>
      <x:c r="S3" s="48" t="str">
        <x:v>Initial trend and EBITDA work begins at screen. Detailed financial verification commonly starts once sufficient access and conviction exist, often around LOI or exclusivity, but can begin earlier in large or highly competitive processes.</x:v>
      </x:c>
      <x:c r="T3" s="48" t="str">
        <x:v>DAYS_TO_6_WEEKS_TYPICAL; longer for carve-outs, weak records or multi-jurisdiction groups.</x:v>
      </x:c>
      <x:c r="U3" s="48" t="str">
        <x:v>MEDIUM_TO_HIGH_RELATIVE; exact spend not consistently observable.</x:v>
      </x:c>
      <x:c r="V3" s="48" t="str">
        <x:v>Qualitative timing and adviser involvement are observable. Numeric fee ranges are not consistently disclosed.</x:v>
      </x:c>
      <x:c r="W3" s="48" t="str">
        <x:v>Carve-out: standalone costs and perimeter accounting dominate. Recurring-revenue models: cohort and ARR reconciliation. Project businesses: backlog, retainage and contract accounting. Lower-middle-market: formal QoE may be replaced by audit-based verification. Distressed: liquidity and cash forecasting become central.</x:v>
      </x:c>
      <x:c r="X3" s="48" t="str">
        <x:v>FUNCTION; QoE, FDD report and normalized-EBITDA bridge are alternative or complementary artifacts.</x:v>
      </x:c>
      <x:c r="Y3" s="48" t="str">
        <x:v>SPONSOR_SELF_DESCRIBED_PLUS_SPONSOR_AND_CO_INVESTOR_BEHAVIOURAL_EXAMPLES</x:v>
      </x:c>
      <x:c r="Z3" s="48" t="str">
        <x:v>EMPIRICAL_COMPOSITION_PLUS_ANALYTIC_LINKAGE</x:v>
      </x:c>
      <x:c r="AA3" s="48" t="str">
        <x:v>HIGH_FOR_ACTIVITIES_AND_MODEL_EFFECTS; MEDIUM_FOR_TRIGGER; LOW_FOR_COST</x:v>
      </x:c>
      <x:c r="AB3" s="48" t="str">
        <x:v>CVC Asia V; Providence IX; Sun Capital VIII; Permira VII; BC Partners XI; Warren Equity; Gridiron.</x:v>
      </x:c>
      <x:c r="AC3" s="48" t="str">
        <x:v>Anonymized deal illustrations withheld from the engineering handoff.</x:v>
      </x:c>
      <x:c r="AD3" s="48" t="str">
        <x:v>HIGH</x:v>
      </x:c>
      <x:c r="AE3" s="48" t="str">
        <x:v>The composition and model effects are repeatedly described and directly visible in deal-model and memorandum revisions.</x:v>
      </x:c>
      <x:c r="AF3" s="48" t="str">
        <x:v>A formal third-party QoE is not universal. Financial verification is scoped to material decision risks; the work may remain partly open at approval if bounded by conditions or price protection.</x:v>
      </x:c>
    </x:row>
    <x:row r="4">
      <x:c r="A4" s="48" t="str">
        <x:v>A_WORKSTREAM_ANATOMY</x:v>
      </x:c>
      <x:c r="B4" s="48" t="str">
        <x:v>Tier A v1.0</x:v>
      </x:c>
      <x:c r="C4" s="48" t="str">
        <x:v>2026-07-16</x:v>
      </x:c>
      <x:c r="D4" s="48" t="str">
        <x:v>DOMAIN_SYNTHESIS_FROM_DDQ_CORPUS_PLUS_FIRST_PRINCIPLES_REASONING</x:v>
      </x:c>
      <x:c r="E4" s="48" t="str">
        <x:v>Compositional synthesis; not archive-verified frequency and not a universal necessity claim.</x:v>
      </x:c>
      <x:c r="F4" s="48" t="str">
        <x:v>FALSE</x:v>
      </x:c>
      <x:c r="G4" s="48" t="str">
        <x:v>WS-OPS</x:v>
      </x:c>
      <x:c r="H4" s="48" t="str">
        <x:v>Operational and technology</x:v>
      </x:c>
      <x:c r="I4" s="48" t="str">
        <x:v>Test whether the business can deliver the forecast and value-creation plan with the required capacity, systems, people, capex and execution resources.</x:v>
      </x:c>
      <x:c r="J4" s="48" t="str">
        <x:v>Site and branch visits; process mapping; capacity and utilization; throughput, yield and service productivity; labor model; procurement and supplier terms; supply-chain resilience; inventory practices; quality, safety and compliance operations; maintenance and growth capex; facilities and real estate; technology architecture; ERP and reporting systems; cybersecurity; digital enablement; salesforce effectiveness; carve-out dependencies; standalone costs; integration requirements; cost-savings and growth-enablement initiatives; scalability assessment.</x:v>
      </x:c>
      <x:c r="K4" s="48" t="str">
        <x:v>Operating KPIs; site and branch data; production and service metrics; procurement spend; supplier contracts; capex and maintenance records; asset registers; IT architecture and cyber reports; organization data; management workshops; customer and financial findings; model sensitivities; vendor operational reports.</x:v>
      </x:c>
      <x:c r="L4" s="48" t="str">
        <x:v>Target operations and technology teams; sponsor operating partners and functional experts; site management; external operations, IT, cyber, engineering, environmental and supply-chain advisers; equipment and software vendors.</x:v>
      </x:c>
      <x:c r="M4" s="48" t="str">
        <x:v>Operational baseline; capacity and bottleneck analysis; productivity and procurement opportunities; capex and implementation-cost estimate; technology and cyber risk assessment; standalone and integration plan; quantified operational initiatives; operational risk register; 100/180-day priorities; revised operating assumptions for model and VCP.</x:v>
      </x:c>
      <x:c r="N4" s="48" t="str">
        <x:v>Revenue capacity; implementation timing; gross and EBITDA margins; labor and procurement costs; maintenance and growth capex; working capital; one-time costs; cash conversion; management hires; systems investment; synergy timing; leverage and covenant headroom; VCP credibility; price and downside case.</x:v>
      </x:c>
      <x:c r="O4" s="48" t="str">
        <x:v>Growth forecast exceeds physical or organizational capacity; deferred maintenance; underestimated capex; fragile suppliers; poor process control; unscalable systems; cyber exposure; carve-out dependencies omitted; savings double-counted; implementation costs or delays ignored; insufficient management bandwidth; integration plan inconsistent with operating reality.</x:v>
      </x:c>
      <x:c r="P4" s="48" t="str">
        <x:v>Operating partners; functional operating specialists; deal team; technology and cyber team; procurement specialists; talent team; capital-markets and IC reviewers where operational findings affect debt capacity.</x:v>
      </x:c>
      <x:c r="Q4" s="48" t="str">
        <x:v>Operational consultant; engineering, environmental or technical adviser; cyber and IT specialist; procurement adviser; real-estate adviser; industry operator; carve-out and integration specialist.</x:v>
      </x:c>
      <x:c r="R4" s="48" t="str">
        <x:v>Managers with dedicated operating teams perform substantial hypothesis formation, management workshops and VCP design internally, using external specialists for technical verification. Smaller managers may rely more heavily on selected external advisers after conviction or exclusivity.</x:v>
      </x:c>
      <x:c r="S4" s="48" t="str">
        <x:v>Can begin at sector-screen stage for managers with embedded operating resources. Detailed site, systems and initiative work normally follows management access and often intensifies after exclusivity.</x:v>
      </x:c>
      <x:c r="T4" s="48" t="str">
        <x:v>DAYS_TO_10_WEEKS_TYPICAL; carve-outs, multi-site networks and technical assets can require longer.</x:v>
      </x:c>
      <x:c r="U4" s="48" t="str">
        <x:v>MEDIUM_TO_VERY_HIGH_RELATIVE; highly dependent on number of sites and specialist scope.</x:v>
      </x:c>
      <x:c r="V4" s="48" t="str">
        <x:v>Qualitative duration and relative intensity are observable. Numeric spend is not consistently available.</x:v>
      </x:c>
      <x:c r="W4" s="48" t="str">
        <x:v>Carve-out: TSA, standalone systems and separation dominate. Turnaround: liquidity, baseline reliability and management replacement. Asset-heavy: engineering, maintenance and environmental scope. Software/services: systems, cyber, delivery capacity and sales productivity. Mega-cap: parallel specialist teams. Lower-middle-market: narrower, partner-led scopes.</x:v>
      </x:c>
      <x:c r="X4" s="48" t="str">
        <x:v>FUNCTION; operational report, site-visit notes, technical report and quantified VCP are possible artifacts.</x:v>
      </x:c>
      <x:c r="Y4" s="48" t="str">
        <x:v>SPONSOR_SELF_DESCRIBED_WITH_SELECTED_SPONSOR_BEHAVIOURAL_ILLUSTRATION</x:v>
      </x:c>
      <x:c r="Z4" s="48" t="str">
        <x:v>EMPIRICAL_COMPOSITION_PLUS_ANALYTIC_LINKAGE</x:v>
      </x:c>
      <x:c r="AA4" s="48" t="str">
        <x:v>HIGH_FOR_ACTIVITY_SET_AND_VCP_LINKAGE; MEDIUM_FOR_TRIGGER; LOW_FOR_COST</x:v>
      </x:c>
      <x:c r="AB4" s="48" t="str">
        <x:v>Blackstone Asia III; TPG Asia VIII; CVC Asia V; Kohlberg IX; Gryphon Heritage II; Broad Sky; Charlesbank XI.</x:v>
      </x:c>
      <x:c r="AC4" s="48" t="str">
        <x:v>Anonymized deal illustrations withheld from the engineering handoff.</x:v>
      </x:c>
      <x:c r="AD4" s="48" t="str">
        <x:v>HIGH</x:v>
      </x:c>
      <x:c r="AE4" s="48" t="str">
        <x:v>Detailed DDQs consistently connect operating work to the business plan, implementation plan and sponsor model.</x:v>
      </x:c>
      <x:c r="AF4" s="48" t="str">
        <x:v>Not all deals require a separate operational workstream. Operational issues may be embedded in commercial, financial or specialist technical diligence.</x:v>
      </x:c>
    </x:row>
    <x:row r="5">
      <x:c r="A5" s="48" t="str">
        <x:v>A_WORKSTREAM_ANATOMY</x:v>
      </x:c>
      <x:c r="B5" s="48" t="str">
        <x:v>Tier A v1.0</x:v>
      </x:c>
      <x:c r="C5" s="48" t="str">
        <x:v>2026-07-16</x:v>
      </x:c>
      <x:c r="D5" s="48" t="str">
        <x:v>DOMAIN_SYNTHESIS_FROM_DDQ_CORPUS_PLUS_FIRST_PRINCIPLES_REASONING</x:v>
      </x:c>
      <x:c r="E5" s="48" t="str">
        <x:v>Compositional synthesis; not archive-verified frequency and not a universal necessity claim.</x:v>
      </x:c>
      <x:c r="F5" s="48" t="str">
        <x:v>FALSE</x:v>
      </x:c>
      <x:c r="G5" s="48" t="str">
        <x:v>WS-TAL</x:v>
      </x:c>
      <x:c r="H5" s="48" t="str">
        <x:v>Management, talent and organization</x:v>
      </x:c>
      <x:c r="I5" s="48" t="str">
        <x:v>Determine whether leadership, governance, incentives and organizational capacity can execute the underwritten plan and whether key-person risks are acceptable or remediable.</x:v>
      </x:c>
      <x:c r="J5" s="48" t="str">
        <x:v>Management interviews; leadership and functional capability assessment; references and background checks; succession and key-person analysis; founder transition; organization design; spans and layers; finance and reporting capability; management bandwidth; retention risk; incentive and rollover design; required hires; board and chair requirements; culture and change readiness; decision-rights mapping.</x:v>
      </x:c>
      <x:c r="K5" s="48" t="str">
        <x:v>Management meetings; organization charts; biographies and employment terms; compensation and equity plans; performance history; references; background checks; functional workstream findings; VCP requirements; succession plans; board materials; employee data where available.</x:v>
      </x:c>
      <x:c r="L5" s="48" t="str">
        <x:v>Target management and shareholders; sponsor deal and talent teams; operating partners; references; executive-search and assessment firms; legal and compensation advisers.</x:v>
      </x:c>
      <x:c r="M5" s="48" t="str">
        <x:v>Management-capability assessment; key-person and succession map; retention and rollover plan; incentive structure; organization gaps; hiring plan; board composition; governance model; leadership actions for the first 100/180 days; revised execution-risk assumptions.</x:v>
      </x:c>
      <x:c r="N5" s="48" t="str">
        <x:v>VCP timing and probability; one-time hiring and retention costs; management equity dilution; governance rights; CEO/CFO succession; pace of M&amp;A or geographic expansion; reporting quality; downside severity; confidence in management forecast; base-versus-upside classification of initiatives; price and terms.</x:v>
      </x:c>
      <x:c r="O5" s="48" t="str">
        <x:v>Founder dependence; management plan exceeds team capability; missing finance or operating leadership; incentives misaligned with sponsor objectives; rollover insufficient for alignment; succession ignored; culture incompatible with planned change; board lacks required expertise; management references inconsistent with presented track record.</x:v>
      </x:c>
      <x:c r="P5" s="48" t="str">
        <x:v>Deal team; talent and human-capital team; operating partners; senior advisers; IC members; legal and compensation specialists.</x:v>
      </x:c>
      <x:c r="Q5" s="48" t="str">
        <x:v>Executive-assessment firm; search firm; background-check provider; compensation consultant; leadership references; employment counsel.</x:v>
      </x:c>
      <x:c r="R5" s="48" t="str">
        <x:v>Core judgment and relationship assessment remain internal. External providers add structured assessment, references, background verification, compensation design and search support.</x:v>
      </x:c>
      <x:c r="S5" s="48" t="str">
        <x:v>Begins with the first management access. Formal assessment deepens after early conviction and before final approval when leadership execution is material; hiring and incentive design may continue through signing and closing.</x:v>
      </x:c>
      <x:c r="T5" s="48" t="str">
        <x:v>DAYS_TO_8_WEEKS_TYPICAL; executive searches extend into post-signing or post-close periods.</x:v>
      </x:c>
      <x:c r="U5" s="48" t="str">
        <x:v>LOW_TO_MEDIUM_RELATIVE_FOR_ASSESSMENT; potentially higher when executive search and complex incentive design are included.</x:v>
      </x:c>
      <x:c r="V5" s="48" t="str">
        <x:v>Qualitative timing is observable; numeric cost is rarely disclosed.</x:v>
      </x:c>
      <x:c r="W5" s="48" t="str">
        <x:v>Founder-owned/first institutional capital: central workstream. Carve-out: identify transferring management and missing corporate functions. Turnaround: leadership replacement may be a precondition. Buy-and-build: assess integration bandwidth. Minority: governance rights and alignment may substitute for direct control.</x:v>
      </x:c>
      <x:c r="X5" s="48" t="str">
        <x:v>FUNCTION; management assessment, reference report, organization plan and incentive term sheet are possible artifacts.</x:v>
      </x:c>
      <x:c r="Y5" s="48" t="str">
        <x:v>SPONSOR_SELF_DESCRIBED_WITH_DERIVATIVE_AND_CO_INVESTOR_BEHAVIOURAL_SUPPORT</x:v>
      </x:c>
      <x:c r="Z5" s="48" t="str">
        <x:v>EMPIRICAL_COMPOSITION_PLUS_ANALYTIC_LINKAGE</x:v>
      </x:c>
      <x:c r="AA5" s="48" t="str">
        <x:v>MEDIUM_TO_HIGH_FOR_ACTIVITIES; MEDIUM_FOR_MODEL_EFFECTS; LOW_FOR_COST</x:v>
      </x:c>
      <x:c r="AB5" s="48" t="str">
        <x:v>Permira VII; Partners Group Direct Equity V; Perwyn; Broad Sky; RedBird; General Atlantic.</x:v>
      </x:c>
      <x:c r="AC5" s="48" t="str">
        <x:v>Anonymized deal illustrations withheld from the engineering handoff.</x:v>
      </x:c>
      <x:c r="AD5" s="48" t="str">
        <x:v>HIGH</x:v>
      </x:c>
      <x:c r="AE5" s="48" t="str">
        <x:v>The role of management capability and alignment is explicit across manager descriptions and is especially visible in founder and first-institutional-capital archetypes.</x:v>
      </x:c>
      <x:c r="AF5" s="48" t="str">
        <x:v>The workstream is often integrated into operational diligence rather than documented separately. Formal third-party assessment is not universal.</x:v>
      </x:c>
    </x:row>
    <x:row r="6">
      <x:c r="A6" s="48" t="str">
        <x:v>A_WORKSTREAM_ANATOMY</x:v>
      </x:c>
      <x:c r="B6" s="48" t="str">
        <x:v>Tier A v1.0</x:v>
      </x:c>
      <x:c r="C6" s="48" t="str">
        <x:v>2026-07-16</x:v>
      </x:c>
      <x:c r="D6" s="48" t="str">
        <x:v>DOMAIN_SYNTHESIS_FROM_DDQ_CORPUS_PLUS_FIRST_PRINCIPLES_REASONING</x:v>
      </x:c>
      <x:c r="E6" s="48" t="str">
        <x:v>Compositional synthesis; not archive-verified frequency and not a universal necessity claim.</x:v>
      </x:c>
      <x:c r="F6" s="48" t="str">
        <x:v>FALSE</x:v>
      </x:c>
      <x:c r="G6" s="48" t="str">
        <x:v>WS-LEG</x:v>
      </x:c>
      <x:c r="H6" s="48" t="str">
        <x:v>Legal, regulatory and compliance</x:v>
      </x:c>
      <x:c r="I6" s="48" t="str">
        <x:v>Confirm the acquisition perimeter, legal ability to transact, material liabilities, required protections and conditions for signing and closing.</x:v>
      </x:c>
      <x:c r="J6" s="48" t="str">
        <x:v>Corporate structure and title; constitutional documents; material contracts; change-of-control and consent requirements; debt and security; intellectual property; software and data rights; litigation and disputes; licenses and permits; competition and antitrust; foreign-investment review; sector regulation; privacy and data protection; employment, pensions and benefits; environmental, health and safety; sanctions and AML; related-party arrangements; acquisition-document negotiation; representations, warranties, covenants, indemnities and disclosure schedules.</x:v>
      </x:c>
      <x:c r="K6" s="48" t="str">
        <x:v>Corporate and legal data room; contracts; licenses; litigation files; IP registers; employment and pension documents; regulatory correspondence; compliance policies; environmental reports; management and counsel interviews; transaction perimeter; financial and operational findings; draft acquisition agreement.</x:v>
      </x:c>
      <x:c r="L6" s="48" t="str">
        <x:v>Seller and target counsel; target management and compliance functions; sponsor legal and compliance teams; external transaction counsel; specialist regulatory, antitrust, IP, employment, environmental and privacy counsel; authorities where formal filings are required.</x:v>
      </x:c>
      <x:c r="M6" s="48" t="str">
        <x:v>Legal-diligence report or issues list; consent and regulatory-approval map; acquisition-perimeter confirmation; liability schedule; transaction-document mark-up; representations, warranties, indemnities and escrow requirements; conditions precedent; closing checklist; compliance and KYC/AML sign-offs; post-close remediation items.</x:v>
      </x:c>
      <x:c r="N6" s="48" t="str">
        <x:v>Acquisition perimeter; purchase price; escrow and indemnity; representation-and-warranty insurance; transaction structure; closing probability and timing; financing conditions; required consents; capex and remediation cost; cash-tax and liability assumptions; covenant package; go/no-go decision.</x:v>
      </x:c>
      <x:c r="O6" s="48" t="str">
        <x:v>Sponsor cannot acquire or control expected assets; key contracts terminate on change of control; title or IP defects; undisclosed litigation or regulatory breach; license cannot transfer; antitrust or foreign-investment prohibition; employment or pension liabilities; sanctions or AML issues; environmental exposure; protections insufficient for identified risk.</x:v>
      </x:c>
      <x:c r="P6" s="48" t="str">
        <x:v>Deal team; internal legal and compliance; tax and structuring team; regulatory affairs or government-relations team; IC and authorized signatories; finance and operations teams for cross-workstream consequences.</x:v>
      </x:c>
      <x:c r="Q6" s="48" t="str">
        <x:v>Transaction counsel; local counsel; antitrust and foreign-investment counsel; regulatory specialist; IP, privacy, employment, pensions and environmental counsel; RWI broker and insurer.</x:v>
      </x:c>
      <x:c r="R6" s="48" t="str">
        <x:v>External counsel performs much of the detailed legal review and drafting. Sponsor legal and deal teams set materiality, negotiate risk allocation, integrate findings into economics and determine which matters are conditions, accepted risks or post-close actions.</x:v>
      </x:c>
      <x:c r="S6" s="48" t="str">
        <x:v>Corporate and key-contract review can begin before an indicative offer. Full diligence and document negotiation usually intensify with data-room access, LOI or exclusivity and continue through signing and closing.</x:v>
      </x:c>
      <x:c r="T6" s="48" t="str">
        <x:v>WEEKS_TO_MONTHS; critical regulatory approvals can extend beyond ordinary diligence timelines.</x:v>
      </x:c>
      <x:c r="U6" s="48" t="str">
        <x:v>HIGH_TO_VERY_HIGH_RELATIVE; numeric spend not consistently observable.</x:v>
      </x:c>
      <x:c r="V6" s="48" t="str">
        <x:v>Timing range and high relative intensity are observable. Numeric cost benchmarks are not consistently disclosed.</x:v>
      </x:c>
      <x:c r="W6" s="48" t="str">
        <x:v>Regulated: licensing, regulatory capital and fit-and-proper. Cross-border: foreign-investment, sanctions and local-law complexity. Carve-out: perimeter, transfer and TSA. Asset-heavy: environmental and title. Software/data: IP, privacy and cyber. Public-to-private: securities, disclosure and financing certainty.</x:v>
      </x:c>
      <x:c r="X6" s="48" t="str">
        <x:v>FUNCTION; legal report, issues list, acquisition agreement and closing checklist are distinct artifacts.</x:v>
      </x:c>
      <x:c r="Y6" s="48" t="str">
        <x:v>SPONSOR_SELF_DESCRIBED_PLUS_SPONSOR_AND_CO_INVESTOR_BEHAVIOURAL_EXAMPLES</x:v>
      </x:c>
      <x:c r="Z6" s="48" t="str">
        <x:v>EMPIRICAL_COMPOSITION_PLUS_ANALYTIC_LINKAGE</x:v>
      </x:c>
      <x:c r="AA6" s="48" t="str">
        <x:v>HIGH_FOR_ACTIVITIES_AND_OUTPUTS; HIGH_FOR_TRIGGER_RANGE; LOW_FOR_COST</x:v>
      </x:c>
      <x:c r="AB6" s="48" t="str">
        <x:v>CVC Asia V; Forbion; Reverence; Partners Group Direct Equity V; General Atlantic; BC Partners XI.</x:v>
      </x:c>
      <x:c r="AC6" s="48" t="str">
        <x:v>Anonymized deal illustrations withheld from the engineering handoff.</x:v>
      </x:c>
      <x:c r="AD6" s="48" t="str">
        <x:v>HIGH</x:v>
      </x:c>
      <x:c r="AE6" s="48" t="str">
        <x:v>The legal function and its impact on transaction structure and closing are directly described across DDQs and visible in deal files.</x:v>
      </x:c>
      <x:c r="AF6" s="48" t="str">
        <x:v>Detailed legal work often continues after investment approval. Final authority can be conditional on parameters rather than every document being complete.</x:v>
      </x:c>
    </x:row>
    <x:row r="7">
      <x:c r="A7" s="48" t="str">
        <x:v>A_WORKSTREAM_ANATOMY</x:v>
      </x:c>
      <x:c r="B7" s="48" t="str">
        <x:v>Tier A v1.0</x:v>
      </x:c>
      <x:c r="C7" s="48" t="str">
        <x:v>2026-07-16</x:v>
      </x:c>
      <x:c r="D7" s="48" t="str">
        <x:v>DOMAIN_SYNTHESIS_FROM_DDQ_CORPUS_PLUS_FIRST_PRINCIPLES_REASONING</x:v>
      </x:c>
      <x:c r="E7" s="48" t="str">
        <x:v>Compositional synthesis; not archive-verified frequency and not a universal necessity claim.</x:v>
      </x:c>
      <x:c r="F7" s="48" t="str">
        <x:v>FALSE</x:v>
      </x:c>
      <x:c r="G7" s="48" t="str">
        <x:v>WS-TAX</x:v>
      </x:c>
      <x:c r="H7" s="48" t="str">
        <x:v>Tax and transaction structure</x:v>
      </x:c>
      <x:c r="I7" s="48" t="str">
        <x:v>Design an acquisition and ownership structure that accurately reflects tax liabilities, financing placement, investor constraints, management equity and exit flexibility.</x:v>
      </x:c>
      <x:c r="J7" s="48" t="str">
        <x:v>Acquisition-vehicle design; debt pushdown and interest deductibility; tax attributes and losses; withholding and transfer taxes; cross-border cash extraction; management rollover and equity; tax exposures and audits; blocker and investor-specific requirements; ECI, UBTI and similar investor consequences; transfer pricing; stamp and transaction taxes; tax covenant and indemnity; exit-tax analysis; structure memorandum and funds-flow integration.</x:v>
      </x:c>
      <x:c r="K7" s="48" t="str">
        <x:v>Legal entity chart; ownership and jurisdiction data; historical tax returns and provisions; debt and financing plan; management-equity design; investor and fund constraints; transaction perimeter; projected cash flows; exit alternatives; legal and financial findings.</x:v>
      </x:c>
      <x:c r="L7" s="48" t="str">
        <x:v>Target tax and finance teams; seller tax advisers; sponsor tax and legal teams; external tax counsel and accounting advisers; fund counsel; lenders and capital-markets team; management-equity advisers.</x:v>
      </x:c>
      <x:c r="M7" s="48" t="str">
        <x:v>Acquisition structure; tax-structuring memorandum; debt-location plan; cash-tax forecast; tax exposure schedule; rollover and management-equity mechanics; tax covenants and indemnities; investor blocker analysis; tax-sensitive funds flow; exit-structure considerations.</x:v>
      </x:c>
      <x:c r="N7" s="48" t="str">
        <x:v>Cash taxes; debt capacity and interest deductibility; transaction costs; net investor return; management proceeds and dilution; legal ownership chain; distributable cash; financing structure; purchase-price protection; future refinancing and exit flexibility.</x:v>
      </x:c>
      <x:c r="O7" s="48" t="str">
        <x:v>Structure creates tax leakage; interest deductions unavailable; hidden historical tax exposure; withholding prevents cash extraction; management rollover is inefficient or invalid; investor-specific tax constraints ignored; debt located in the wrong entity; exit taxes or transfer restrictions undermine value; tax assumptions inconsistent with model.</x:v>
      </x:c>
      <x:c r="P7" s="48" t="str">
        <x:v>Sponsor tax team; deal team; legal and fund-structuring teams; capital-markets team; finance specialists; management-equity team.</x:v>
      </x:c>
      <x:c r="Q7" s="48" t="str">
        <x:v>Tax counsel; transaction-tax accounting adviser; local-country tax adviser; fund counsel; management-equity and compensation counsel.</x:v>
      </x:c>
      <x:c r="R7" s="48" t="str">
        <x:v>External advisers supply jurisdictional analysis and opinions. Sponsor tax, legal and deal teams select the structure, balance tax efficiency against execution risk and incorporate cash-tax effects into the model.</x:v>
      </x:c>
      <x:c r="S7" s="48" t="str">
        <x:v>High-level structuring starts with the proposed transaction perimeter and financing. Detailed work runs in parallel with legal documentation and financing and must be sufficiently settled before signing and funds flow.</x:v>
      </x:c>
      <x:c r="T7" s="48" t="str">
        <x:v>DAYS_TO_8_WEEKS_TYPICAL; complex cross-border structures can take longer.</x:v>
      </x:c>
      <x:c r="U7" s="48" t="str">
        <x:v>MEDIUM_TO_HIGH_RELATIVE; exact spend not consistently observable.</x:v>
      </x:c>
      <x:c r="V7" s="48" t="str">
        <x:v>Qualitative timing is observable; numeric costs are not consistently disclosed.</x:v>
      </x:c>
      <x:c r="W7" s="48" t="str">
        <x:v>Cross-border and multi-jurisdiction: substantially heavier. Carve-out: tax basis and transfer mechanics. Founder rollover: management-equity and liquidity. Highly leveraged: debt pushdown and deductibility. Regulated: capital and entity restrictions. Co-investment: blocker and investor-specific constraints.</x:v>
      </x:c>
      <x:c r="X7" s="48" t="str">
        <x:v>FUNCTION; tax memorandum, structure chart and tax sections of transaction documents are artifacts.</x:v>
      </x:c>
      <x:c r="Y7" s="48" t="str">
        <x:v>SPONSOR_SELF_DESCRIBED_WITH_DERIVATIVE_AND_DEAL_DOCUMENT_SUPPORT</x:v>
      </x:c>
      <x:c r="Z7" s="48" t="str">
        <x:v>EMPIRICAL_COMPOSITION_PLUS_ANALYTIC_LINKAGE</x:v>
      </x:c>
      <x:c r="AA7" s="48" t="str">
        <x:v>HIGH_FOR_ACTIVITY_SET; MEDIUM_FOR_TRIGGER; LOW_FOR_COST</x:v>
      </x:c>
      <x:c r="AB7" s="48" t="str">
        <x:v>Partners Group Direct Equity V; Permira VII; CVC Asia V; Forbion; General Atlantic.</x:v>
      </x:c>
      <x:c r="AC7" s="48" t="str">
        <x:v>Anonymized deal illustrations withheld from the engineering handoff.</x:v>
      </x:c>
      <x:c r="AD7" s="48" t="str">
        <x:v>HIGH</x:v>
      </x:c>
      <x:c r="AE7" s="48" t="str">
        <x:v>Tax and structuring activities recur across detailed manager processes and have direct, mechanically traceable effects on cash flow and legal ownership.</x:v>
      </x:c>
      <x:c r="AF7" s="48" t="str">
        <x:v>The level of work is highly deal-specific. Domestic simple acquisitions may require a much narrower scope than cross-border or investor-constrained transactions.</x:v>
      </x:c>
    </x:row>
    <x:row r="8">
      <x:c r="A8" s="48" t="str">
        <x:v>A_WORKSTREAM_ANATOMY</x:v>
      </x:c>
      <x:c r="B8" s="48" t="str">
        <x:v>Tier A v1.0</x:v>
      </x:c>
      <x:c r="C8" s="48" t="str">
        <x:v>2026-07-16</x:v>
      </x:c>
      <x:c r="D8" s="48" t="str">
        <x:v>DOMAIN_SYNTHESIS_FROM_DDQ_CORPUS_PLUS_FIRST_PRINCIPLES_REASONING</x:v>
      </x:c>
      <x:c r="E8" s="48" t="str">
        <x:v>Compositional synthesis; not archive-verified frequency and not a universal necessity claim.</x:v>
      </x:c>
      <x:c r="F8" s="48" t="str">
        <x:v>FALSE</x:v>
      </x:c>
      <x:c r="G8" s="48" t="str">
        <x:v>WS-FND</x:v>
      </x:c>
      <x:c r="H8" s="48" t="str">
        <x:v>Financing and capital markets</x:v>
      </x:c>
      <x:c r="I8" s="48" t="str">
        <x:v>Determine a financeable, sustainable and executable capital structure and integrate financing terms into price, equity requirement, downside liquidity and returns.</x:v>
      </x:c>
      <x:c r="J8" s="48" t="str">
        <x:v>Debt-capacity analysis; lender outreach; leverage and instrument selection; interest rate, fees and original-issue discount; amortization and maturity; covenant definitions and headroom; permitted acquisitions and distributions; working-capital facilities; bridge, bank, bond, unitranche and private-credit alternatives; ratings and syndication considerations; hedging; financing conditions and certainty of funds; commitment papers; equity and co-investment syndication; sources and uses; funds flow; refinancing and recapitalization capacity.</x:v>
      </x:c>
      <x:c r="K8" s="48" t="str">
        <x:v>Sponsor operating model and downside cases; normalized EBITDA and cash flow; working capital and capex; transaction price and structure; legal and tax structure; lender market feedback; comparable financings; rating considerations; acquisition timetable; management and operational risk findings.</x:v>
      </x:c>
      <x:c r="L8" s="48" t="str">
        <x:v>Sponsor capital-markets team; deal team; lenders and private-credit providers; financing advisers and investment banks; rating agencies where relevant; legal and tax counsel; co-investors and equity-syndication team.</x:v>
      </x:c>
      <x:c r="M8" s="48" t="str">
        <x:v>Debt-capacity view; preliminary and final financing terms; lender case; covenant and liquidity analysis; committed financing documents; sources and uses; equity cheque; interest and fee schedule; hedging plan; financing conditions; funds flow; financing sensitivities in the sponsor model.</x:v>
      </x:c>
      <x:c r="N8" s="48" t="str">
        <x:v>Leverage; equity contribution; interest expense; amortization; free cash flow; deleveraging; covenant headroom; downside liquidity; acquisition capacity; bid certainty; maximum price; IRR and MOIC; signing and closing conditions; co-investment requirement.</x:v>
      </x:c>
      <x:c r="O8" s="48" t="str">
        <x:v>Leverage exceeds sustainable cash flow; lender EBITDA differs from sponsor EBITDA; covenants leave insufficient headroom; maturity or amortization creates liquidity stress; financing condition undermines bid certainty; syndication or rating risk ignored; interest-rate sensitivity understated; debt restricts add-on strategy or distributions; equity requirement exceeds fund or concentration constraints.</x:v>
      </x:c>
      <x:c r="P8" s="48" t="str">
        <x:v>Capital-markets and financing team; deal team; finance specialists; tax and legal; operating team; IC; co-investment or syndication team.</x:v>
      </x:c>
      <x:c r="Q8" s="48" t="str">
        <x:v>Banks; direct lenders; private-credit funds; financing advisers; lender counsel; rating agencies; hedging counterparties; underwriters and placement agents.</x:v>
      </x:c>
      <x:c r="R8" s="48" t="str">
        <x:v>Sponsor owns debt capacity, structure selection and integration with price and returns. External providers supply market terms, underwriting capacity, commitments and execution. Large managers often have dedicated internal capital-markets platforms; smaller managers rely more on relationship lenders and advisers.</x:v>
      </x:c>
      <x:c r="S8" s="48" t="str">
        <x:v>Preliminary debt capacity begins with the first economic case. Lender engagement often starts before or around an indicative offer and becomes executable after sufficient diligence; final terms are integrated before binding commitment or closing.</x:v>
      </x:c>
      <x:c r="T8" s="48" t="str">
        <x:v>DAYS_TO_8_WEEKS_TYPICAL_FOR_COMMITMENT; syndication, ratings or complex structures may extend longer.</x:v>
      </x:c>
      <x:c r="U8" s="48" t="str">
        <x:v>HIGH_TO_VERY_HIGH_RELATIVE_WHEN_COMMITTED; numeric fees are deal-specific and not consistently observable.</x:v>
      </x:c>
      <x:c r="V8" s="48" t="str">
        <x:v>Qualitative timing and relative intensity are observable. Fee levels and flex terms are not consistently disclosed in the DDQ corpus.</x:v>
      </x:c>
      <x:c r="W8" s="48" t="str">
        <x:v>Mega-cap: syndication, bonds, ratings and dedicated capital-markets teams. Lower-middle-market: binary lender availability and relationship financing. Carve-out: standalone cash flow and facility design. Turnaround: liquidity and covenant protection dominate. Buy-and-build: acquisition baskets and incremental debt capacity. Co-investment: equity syndication and allocation timing.</x:v>
      </x:c>
      <x:c r="X8" s="48" t="str">
        <x:v>FUNCTION; debt-capacity analysis, term sheet, commitment papers and funds flow are successive artifacts.</x:v>
      </x:c>
      <x:c r="Y8" s="48" t="str">
        <x:v>SPONSOR_SELF_DESCRIBED_PLUS_SPONSOR_DERIVATIVE_AND_DEAL_BEHAVIOURAL_EXAMPLES</x:v>
      </x:c>
      <x:c r="Z8" s="48" t="str">
        <x:v>EMPIRICAL_COMPOSITION_PLUS_ANALYTIC_LINKAGE</x:v>
      </x:c>
      <x:c r="AA8" s="48" t="str">
        <x:v>HIGH_FOR_ACTIVITY_SET_AND_MODEL_EFFECTS; MEDIUM_FOR_TRIGGER; LOW_FOR_COST</x:v>
      </x:c>
      <x:c r="AB8" s="48" t="str">
        <x:v>Blackstone Asia III; TPG Asia VIII; Sun Capital VIII; Partners Group Direct Equity V; BC Partners XI; Viburnum.</x:v>
      </x:c>
      <x:c r="AC8" s="48" t="str">
        <x:v>Anonymized deal illustrations withheld from the engineering handoff.</x:v>
      </x:c>
      <x:c r="AD8" s="48" t="str">
        <x:v>HIGH</x:v>
      </x:c>
      <x:c r="AE8" s="48" t="str">
        <x:v>The activities and model consequences are explicit across leveraged-buyout process descriptions and transaction materials.</x:v>
      </x:c>
      <x:c r="AF8" s="48" t="str">
        <x:v>Financing depth depends on leverage, transaction certainty and market access. All-equity or lightly leveraged deals require a narrower version of the workstream.</x:v>
      </x:c>
    </x:row>
  </x:sheetData>
  <x:pageMargins left="0.7" right="0.7" top="0.75" bottom="0.75" header="0.3" footer="0.3"/>
  <x:tableParts count="1">
    <x:tablePart xmlns:r="http://schemas.openxmlformats.org/officeDocument/2006/relationships" r:id="Rbc27def7dcce4a46"/>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s>
  <x:sheetData>
    <x:row r="1">
      <x:c r="A1" s="42" t="str">
        <x:v>tier</x:v>
      </x:c>
      <x:c r="B1" s="42" t="str">
        <x:v>version</x:v>
      </x:c>
      <x:c r="C1" s="42" t="str">
        <x:v>as_of_date</x:v>
      </x:c>
      <x:c r="D1" s="42" t="str">
        <x:v>source</x:v>
      </x:c>
      <x:c r="E1" s="42" t="str">
        <x:v>source_note</x:v>
      </x:c>
      <x:c r="F1" s="42" t="str">
        <x:v>archive_frequency_verified</x:v>
      </x:c>
      <x:c r="G1" s="42" t="str">
        <x:v>model_state_id</x:v>
      </x:c>
      <x:c r="H1" s="42" t="str">
        <x:v>state_name</x:v>
      </x:c>
      <x:c r="I1" s="42" t="str">
        <x:v>purpose</x:v>
      </x:c>
      <x:c r="J1" s="42" t="str">
        <x:v>decision_supported</x:v>
      </x:c>
      <x:c r="K1" s="42" t="str">
        <x:v>minimum_contents</x:v>
      </x:c>
      <x:c r="L1" s="42" t="str">
        <x:v>typical_granularity</x:v>
      </x:c>
      <x:c r="M1" s="42" t="str">
        <x:v>primary_inputs</x:v>
      </x:c>
      <x:c r="N1" s="42" t="str">
        <x:v>feeding_workstreams</x:v>
      </x:c>
      <x:c r="O1" s="42" t="str">
        <x:v>outputs_produced</x:v>
      </x:c>
      <x:c r="P1" s="42" t="str">
        <x:v>transition_trigger_to_next_state</x:v>
      </x:c>
      <x:c r="Q1" s="42" t="str">
        <x:v>backward_iteration_triggers</x:v>
      </x:c>
      <x:c r="R1" s="42" t="str">
        <x:v>stop_or_reject_conditions</x:v>
      </x:c>
      <x:c r="S1" s="42" t="str">
        <x:v>key_controls</x:v>
      </x:c>
      <x:c r="T1" s="42" t="str">
        <x:v>typical_owner</x:v>
      </x:c>
      <x:c r="U1" s="42" t="str">
        <x:v>external_inputs</x:v>
      </x:c>
      <x:c r="V1" s="42" t="str">
        <x:v>typical_timing</x:v>
      </x:c>
      <x:c r="W1" s="42" t="str">
        <x:v>function_or_artifact</x:v>
      </x:c>
      <x:c r="X1" s="42" t="str">
        <x:v>primary_evidence_class</x:v>
      </x:c>
      <x:c r="Y1" s="42" t="str">
        <x:v>claim_basis</x:v>
      </x:c>
      <x:c r="Z1" s="42" t="str">
        <x:v>observability</x:v>
      </x:c>
      <x:c r="AA1" s="42" t="str">
        <x:v>confidence</x:v>
      </x:c>
      <x:c r="AB1" s="42" t="str">
        <x:v>confidence_reason</x:v>
      </x:c>
      <x:c r="AC1" s="42" t="str">
        <x:v>caveats</x:v>
      </x:c>
    </x:row>
    <x:row r="2">
      <x:c r="A2" s="48" t="str">
        <x:v>A_WORKSTREAM_ANATOMY</x:v>
      </x:c>
      <x:c r="B2" s="48" t="str">
        <x:v>Tier A v1.0</x:v>
      </x:c>
      <x:c r="C2" s="48" t="str">
        <x:v>2026-07-16</x:v>
      </x:c>
      <x:c r="D2" s="48" t="str">
        <x:v>DOMAIN_SYNTHESIS_FROM_DDQ_CORPUS_PLUS_FIRST_PRINCIPLES_REASONING</x:v>
      </x:c>
      <x:c r="E2" s="48" t="str">
        <x:v>Compositional synthesis; not archive-verified frequency and not a universal necessity claim.</x:v>
      </x:c>
      <x:c r="F2" s="48" t="str">
        <x:v>FALSE</x:v>
      </x:c>
      <x:c r="G2" s="48" t="str">
        <x:v>M0</x:v>
      </x:c>
      <x:c r="H2" s="48" t="str">
        <x:v>Quick screen</x:v>
      </x:c>
      <x:c r="I2" s="48" t="str">
        <x:v>Determine whether an opportunity is economically plausible enough to justify senior attention and the next level of work.</x:v>
      </x:c>
      <x:c r="J2" s="48" t="str">
        <x:v>Engage, decline, conduct limited follow-up, or authorize preliminary resources.</x:v>
      </x:c>
      <x:c r="K2" s="48" t="str">
        <x:v>Headline revenue and EBITDA; rough normalization; indicative enterprise value or price range; preliminary leverage; equity cheque; entry and exit multiple; simple IRR/MOIC; one base case and a limited sensitivity; obvious concentration or cash-flow flags.</x:v>
      </x:c>
      <x:c r="L2" s="48" t="str">
        <x:v>Single-sheet or compact model; company-level annual periods; broad assumptions; significant placeholders explicitly identified.</x:v>
      </x:c>
      <x:c r="M2" s="48" t="str">
        <x:v>Teaser or CIM summary; public information; high-level financials; prior sector knowledge; initial management or adviser discussion; comparable transactions.</x:v>
      </x:c>
      <x:c r="N2" s="48" t="str">
        <x:v>Commercial sector work; preliminary financial review; financing market heuristics; initial legal/perimeter understanding.</x:v>
      </x:c>
      <x:c r="O2" s="48" t="str">
        <x:v>First economic frame; critical assumptions; preliminary price boundary; swing-factor list; initial diligence questions; resource request.</x:v>
      </x:c>
      <x:c r="P2" s="48" t="str">
        <x:v>Opportunity passes initial screen and sufficient company-specific information becomes available to build an offer-supporting underwrite.</x:v>
      </x:c>
      <x:c r="Q2" s="48" t="str">
        <x:v>New headline data; seller price guidance; initial management meeting; obvious perimeter or financing change.</x:v>
      </x:c>
      <x:c r="R2" s="48" t="str">
        <x:v>Returns implausible across reasonable assumptions; business outside mandate; fatal concentration or regulatory issue; unavailable financing; information insufficient and access unlikely.</x:v>
      </x:c>
      <x:c r="S2" s="48" t="str">
        <x:v>Separate known facts, sponsor assumptions and placeholders; do not treat management EBITDA as normalized; show price and leverage sensitivity.</x:v>
      </x:c>
      <x:c r="T2" s="48" t="str">
        <x:v>Deal team, usually with senior sponsor or sector input.</x:v>
      </x:c>
      <x:c r="U2" s="48" t="str">
        <x:v>Usually limited; advisers may provide market benchmarks or financing indications.</x:v>
      </x:c>
      <x:c r="V2" s="48" t="str">
        <x:v>HOURS_TO_DAYS after receipt of initial materials.</x:v>
      </x:c>
      <x:c r="W2" s="48" t="str">
        <x:v>STATE; implementation may be a spreadsheet tab, screening template or preliminary return case.</x:v>
      </x:c>
      <x:c r="X2" s="48" t="str">
        <x:v>SPONSOR_SELF_DESCRIBED_PLUS_ANALYTIC_SYNTHESIS</x:v>
      </x:c>
      <x:c r="Y2" s="48" t="str">
        <x:v>EMPIRICAL_COMPOSITION_PLUS_ANALYTIC_STATE_MODEL</x:v>
      </x:c>
      <x:c r="Z2" s="48" t="str">
        <x:v>HIGH_FOR_PURPOSE; MEDIUM_FOR_EXACT_CONTENT</x:v>
      </x:c>
      <x:c r="AA2" s="48" t="str">
        <x:v>HIGH</x:v>
      </x:c>
      <x:c r="AB2" s="48" t="str">
        <x:v>A preliminary economic screen is consistently implied or explicitly described before deeper commitment, although its format varies.</x:v>
      </x:c>
      <x:c r="AC2" s="48" t="str">
        <x:v>M0 may reuse an existing sector model and can be skipped as a distinct artifact when a proprietary opportunity has already been studied extensively.</x:v>
      </x:c>
    </x:row>
    <x:row r="3">
      <x:c r="A3" s="48" t="str">
        <x:v>A_WORKSTREAM_ANATOMY</x:v>
      </x:c>
      <x:c r="B3" s="48" t="str">
        <x:v>Tier A v1.0</x:v>
      </x:c>
      <x:c r="C3" s="48" t="str">
        <x:v>2026-07-16</x:v>
      </x:c>
      <x:c r="D3" s="48" t="str">
        <x:v>DOMAIN_SYNTHESIS_FROM_DDQ_CORPUS_PLUS_FIRST_PRINCIPLES_REASONING</x:v>
      </x:c>
      <x:c r="E3" s="48" t="str">
        <x:v>Compositional synthesis; not archive-verified frequency and not a universal necessity claim.</x:v>
      </x:c>
      <x:c r="F3" s="48" t="str">
        <x:v>FALSE</x:v>
      </x:c>
      <x:c r="G3" s="48" t="str">
        <x:v>M1</x:v>
      </x:c>
      <x:c r="H3" s="48" t="str">
        <x:v>Preliminary underwrite</x:v>
      </x:c>
      <x:c r="I3" s="48" t="str">
        <x:v>Support an indicative price, IOI, NBIO, LOI range or authorization to pursue the transaction.</x:v>
      </x:c>
      <x:c r="J3" s="48" t="str">
        <x:v>Approve preliminary offer terms, price ceiling, diligence plan and expected resource commitment.</x:v>
      </x:c>
      <x:c r="K3" s="48" t="str">
        <x:v>Historical financial bridge; preliminary sponsor forecast; management-versus-sponsor assumptions where available; initial normalization; sources and uses; debt capacity; equity cheque; base and downside returns; preliminary exit assumptions; key sensitivities; initial VCP hypotheses.</x:v>
      </x:c>
      <x:c r="L3" s="48" t="str">
        <x:v>Company and major segment level; annual or quarterly periods; early revenue and margin drivers; preliminary capital structure.</x:v>
      </x:c>
      <x:c r="M3" s="48" t="str">
        <x:v>CIM and data room; early management access; M0; sector work; preliminary lender feedback; initial commercial and financial analysis.</x:v>
      </x:c>
      <x:c r="N3" s="48" t="str">
        <x:v>Commercial; financial; financing; preliminary operational and talent input; legal perimeter.</x:v>
      </x:c>
      <x:c r="O3" s="48" t="str">
        <x:v>Offer-supporting case; price and leverage boundaries; diligence priorities; adviser scopes; preliminary VCP; initial IC or partner materials.</x:v>
      </x:c>
      <x:c r="P3" s="48" t="str">
        <x:v>Access, conviction or exclusivity supports detailed driver-based modelling and material diligence evidence begins to arrive.</x:v>
      </x:c>
      <x:c r="Q3" s="48" t="str">
        <x:v>Seller changes price or perimeter; management forecast differs materially; early customer or accounting findings invalidate assumptions.</x:v>
      </x:c>
      <x:c r="R3" s="48" t="str">
        <x:v>Price cannot support returns without unsupported assumptions; leverage unavailable; key commercial or legal issue likely fatal; seller process does not permit required diligence.</x:v>
      </x:c>
      <x:c r="S3" s="48" t="str">
        <x:v>Distinguish management, sponsor base and upside; expose dependence on VCP; show downside liquidity; tie price to assumptions rather than a single point estimate.</x:v>
      </x:c>
      <x:c r="T3" s="48" t="str">
        <x:v>Deal team with senior sponsor and capital-markets review.</x:v>
      </x:c>
      <x:c r="U3" s="48" t="str">
        <x:v>Early market, accounting or lender indications; management and adviser materials.</x:v>
      </x:c>
      <x:c r="V3" s="48" t="str">
        <x:v>DAYS_TO_2_WEEKS, often compressed by auction timetable.</x:v>
      </x:c>
      <x:c r="W3" s="48" t="str">
        <x:v>STATE; often accompanies an IOI/NBIO/LOI memorandum.</x:v>
      </x:c>
      <x:c r="X3" s="48" t="str">
        <x:v>SPONSOR_SELF_DESCRIBED_WITH_SELECTED_SPONSOR_BEHAVIOURAL_EXAMPLES</x:v>
      </x:c>
      <x:c r="Y3" s="48" t="str">
        <x:v>EMPIRICAL_COMPOSITION_PLUS_ANALYTIC_STATE_MODEL</x:v>
      </x:c>
      <x:c r="Z3" s="48" t="str">
        <x:v>HIGH_FOR_PURPOSE_AND_CONTENT</x:v>
      </x:c>
      <x:c r="AA3" s="48" t="str">
        <x:v>HIGH</x:v>
      </x:c>
      <x:c r="AB3" s="48" t="str">
        <x:v>Detailed manager processes repeatedly describe a short-form model and thesis before indicative positioning.</x:v>
      </x:c>
      <x:c r="AC3" s="48" t="str">
        <x:v>An LOI can precede or follow the first formal IC; M1 describes the economic state, not a universal committee order.</x:v>
      </x:c>
    </x:row>
    <x:row r="4">
      <x:c r="A4" s="48" t="str">
        <x:v>A_WORKSTREAM_ANATOMY</x:v>
      </x:c>
      <x:c r="B4" s="48" t="str">
        <x:v>Tier A v1.0</x:v>
      </x:c>
      <x:c r="C4" s="48" t="str">
        <x:v>2026-07-16</x:v>
      </x:c>
      <x:c r="D4" s="48" t="str">
        <x:v>DOMAIN_SYNTHESIS_FROM_DDQ_CORPUS_PLUS_FIRST_PRINCIPLES_REASONING</x:v>
      </x:c>
      <x:c r="E4" s="48" t="str">
        <x:v>Compositional synthesis; not archive-verified frequency and not a universal necessity claim.</x:v>
      </x:c>
      <x:c r="F4" s="48" t="str">
        <x:v>FALSE</x:v>
      </x:c>
      <x:c r="G4" s="48" t="str">
        <x:v>M2</x:v>
      </x:c>
      <x:c r="H4" s="48" t="str">
        <x:v>Diligence operating model</x:v>
      </x:c>
      <x:c r="I4" s="48" t="str">
        <x:v>Represent how the business actually earns revenue, incurs cost, consumes capital and converts EBITDA to cash so that diligence can test the highest-value assumptions.</x:v>
      </x:c>
      <x:c r="J4" s="48" t="str">
        <x:v>Direct workstreams; quantify swing factors; assess whether the preliminary case survives detailed evidence.</x:v>
      </x:c>
      <x:c r="K4" s="48" t="str">
        <x:v>Driver-based revenue; price-volume-mix or cohort logic; segment, site, product, customer or unit economics; gross margin and opex drivers; working capital; capex; cash taxes; debt schedule; implementation costs; scenario switches; bridge from management case to sponsor assumptions.</x:v>
      </x:c>
      <x:c r="L4" s="48" t="str">
        <x:v>Monthly, quarterly or annual depending business; segment, site, cohort, customer or product level where material.</x:v>
      </x:c>
      <x:c r="M4" s="48" t="str">
        <x:v>Detailed data room; management workshops; commercial, financial and operational findings; historical KPI files; lender definitions; legal and tax perimeter.</x:v>
      </x:c>
      <x:c r="N4" s="48" t="str">
        <x:v>All seven workstreams, with strongest direct inputs from commercial, financial, operational and financing.</x:v>
      </x:c>
      <x:c r="O4" s="48" t="str">
        <x:v>Testable operating case; sensitivity map; data gaps; quantified diligence questions; preliminary normalized cash flow; initial VCP economics.</x:v>
      </x:c>
      <x:c r="P4" s="48" t="str">
        <x:v>Material diligence findings have been incorporated and the sponsor can distinguish evidence-supported assumptions from management aspiration and unverified upside.</x:v>
      </x:c>
      <x:c r="Q4" s="48" t="str">
        <x:v>New customer evidence; QoE adjustments; site or capacity findings; revised management plan; tax or legal perimeter change; lender feedback.</x:v>
      </x:c>
      <x:c r="R4" s="48" t="str">
        <x:v>Business drivers cannot be reconciled; data quality prevents a decision-useful case; downside liquidity or economics fail; VCP required for returns is not operationally feasible.</x:v>
      </x:c>
      <x:c r="S4" s="48" t="str">
        <x:v>Reconcile to audited or verified history; avoid double-counting levers; link operating drivers to financial statements and cash; maintain source and version traceability.</x:v>
      </x:c>
      <x:c r="T4" s="48" t="str">
        <x:v>Deal-team model owner with inputs from workstream leads and senior reviewers.</x:v>
      </x:c>
      <x:c r="U4" s="48" t="str">
        <x:v>Adviser analyses and schedules; lender definitions; technical and market data.</x:v>
      </x:c>
      <x:c r="V4" s="48" t="str">
        <x:v>ONE_TO_SEVERAL_WEEKS; evolves throughout diligence.</x:v>
      </x:c>
      <x:c r="W4" s="48" t="str">
        <x:v>STATE; commonly the central model file or connected model family.</x:v>
      </x:c>
      <x:c r="X4" s="48" t="str">
        <x:v>SPONSOR_SELF_DESCRIBED_PLUS_SPONSOR_AND_CO_INVESTOR_BEHAVIOURAL_EXAMPLES</x:v>
      </x:c>
      <x:c r="Y4" s="48" t="str">
        <x:v>EMPIRICAL_COMPOSITION_PLUS_ANALYTIC_STATE_MODEL</x:v>
      </x:c>
      <x:c r="Z4" s="48" t="str">
        <x:v>HIGH_FOR_CONTENT_AND_ITERATION</x:v>
      </x:c>
      <x:c r="AA4" s="48" t="str">
        <x:v>HIGH</x:v>
      </x:c>
      <x:c r="AB4" s="48" t="str">
        <x:v>Driver-based model evolution and repeated revisions are directly visible in deal models and manager process descriptions.</x:v>
      </x:c>
      <x:c r="AC4" s="48" t="str">
        <x:v>M2 and M3 may coexist in one file through scenario tabs rather than separate documents.</x:v>
      </x:c>
    </x:row>
    <x:row r="5">
      <x:c r="A5" s="48" t="str">
        <x:v>A_WORKSTREAM_ANATOMY</x:v>
      </x:c>
      <x:c r="B5" s="48" t="str">
        <x:v>Tier A v1.0</x:v>
      </x:c>
      <x:c r="C5" s="48" t="str">
        <x:v>2026-07-16</x:v>
      </x:c>
      <x:c r="D5" s="48" t="str">
        <x:v>DOMAIN_SYNTHESIS_FROM_DDQ_CORPUS_PLUS_FIRST_PRINCIPLES_REASONING</x:v>
      </x:c>
      <x:c r="E5" s="48" t="str">
        <x:v>Compositional synthesis; not archive-verified frequency and not a universal necessity claim.</x:v>
      </x:c>
      <x:c r="F5" s="48" t="str">
        <x:v>FALSE</x:v>
      </x:c>
      <x:c r="G5" s="48" t="str">
        <x:v>M3</x:v>
      </x:c>
      <x:c r="H5" s="48" t="str">
        <x:v>Diligence-adjusted sponsor case</x:v>
      </x:c>
      <x:c r="I5" s="48" t="str">
        <x:v>Convert diligence evidence into the sponsor's own base, downside and upside cases, independent from the management forecast.</x:v>
      </x:c>
      <x:c r="J5" s="48" t="str">
        <x:v>Determine whether to continue, revise price or structure, and which risks or VCP levers can be underwritten.</x:v>
      </x:c>
      <x:c r="K5" s="48" t="str">
        <x:v>Normalized historical base; explicit sponsor assumptions; management-to-sponsor bridge; base, downside and upside; revised revenue and margin; working capital, capex and cash taxes; validated and excluded VCP levers; risk-adjusted timing; updated debt capacity and return sensitivities.</x:v>
      </x:c>
      <x:c r="L5" s="48" t="str">
        <x:v>Same operational depth as M2, with stronger scenario governance and explicit evidence mapping.</x:v>
      </x:c>
      <x:c r="M5" s="48" t="str">
        <x:v>M2; material commercial, financial, operational, talent, legal, tax and financing findings; management responses; IC challenge.</x:v>
      </x:c>
      <x:c r="N5" s="48" t="str">
        <x:v>All workstreams; each material finding must either change the case, be accepted and priced, be mitigated, or be classified as non-material.</x:v>
      </x:c>
      <x:c r="O5" s="48" t="str">
        <x:v>Sponsor base and downside; revised price boundary; open-item register; base-versus-upside VCP classification; updated returns; draft final investment case.</x:v>
      </x:c>
      <x:c r="P5" s="48" t="str">
        <x:v>Transaction terms and financeable capital structure become sufficiently concrete to optimize the bid and binding commitment.</x:v>
      </x:c>
      <x:c r="Q5" s="48" t="str">
        <x:v>Contradictory evidence; IC challenge; seller response; new financing terms; management revises the plan; open item changes status.</x:v>
      </x:c>
      <x:c r="R5" s="48" t="str">
        <x:v>Returns depend on unvalidated upside; downside is unacceptable; risk cannot be priced or mitigated; sponsor case lacks an evidence-supported path to value.</x:v>
      </x:c>
      <x:c r="S5" s="48" t="str">
        <x:v>No unsupported management assumptions in base; clear base/upside boundary; documented source for adjustments; scenario integrity; no circular VCP assumptions.</x:v>
      </x:c>
      <x:c r="T5" s="48" t="str">
        <x:v>Deal team, reviewed by senior sponsors, operating resources and IC or equivalent challenge body.</x:v>
      </x:c>
      <x:c r="U5" s="48" t="str">
        <x:v>Finalizing adviser work and management responses.</x:v>
      </x:c>
      <x:c r="V5" s="48" t="str">
        <x:v>ITERATIVE_OVER_SEVERAL_WEEKS; often intensifies before final bid or approval.</x:v>
      </x:c>
      <x:c r="W5" s="48" t="str">
        <x:v>STATE; may be one scenario within the core model rather than a separate file.</x:v>
      </x:c>
      <x:c r="X5" s="48" t="str">
        <x:v>SPONSOR_SELF_DESCRIBED_PLUS_SPONSOR_AND_CO_INVESTOR_BEHAVIOURAL_EXAMPLES</x:v>
      </x:c>
      <x:c r="Y5" s="48" t="str">
        <x:v>EMPIRICAL_COMPOSITION_PLUS_ANALYTIC_STATE_MODEL</x:v>
      </x:c>
      <x:c r="Z5" s="48" t="str">
        <x:v>HIGH_FOR_CONTENT_AND_DECISION_ROLE</x:v>
      </x:c>
      <x:c r="AA5" s="48" t="str">
        <x:v>HIGH</x:v>
      </x:c>
      <x:c r="AB5" s="48" t="str">
        <x:v>The management-to-sponsor recast, downside testing and removal of unproven levers are repeatedly described and visible in transaction models.</x:v>
      </x:c>
      <x:c r="AC5" s="48" t="str">
        <x:v>Not all managers use the term sponsor case; the distinction can be embedded in scenario labels or committee materials.</x:v>
      </x:c>
    </x:row>
    <x:row r="6">
      <x:c r="A6" s="48" t="str">
        <x:v>A_WORKSTREAM_ANATOMY</x:v>
      </x:c>
      <x:c r="B6" s="48" t="str">
        <x:v>Tier A v1.0</x:v>
      </x:c>
      <x:c r="C6" s="48" t="str">
        <x:v>2026-07-16</x:v>
      </x:c>
      <x:c r="D6" s="48" t="str">
        <x:v>DOMAIN_SYNTHESIS_FROM_DDQ_CORPUS_PLUS_FIRST_PRINCIPLES_REASONING</x:v>
      </x:c>
      <x:c r="E6" s="48" t="str">
        <x:v>Compositional synthesis; not archive-verified frequency and not a universal necessity claim.</x:v>
      </x:c>
      <x:c r="F6" s="48" t="str">
        <x:v>FALSE</x:v>
      </x:c>
      <x:c r="G6" s="48" t="str">
        <x:v>M4</x:v>
      </x:c>
      <x:c r="H6" s="48" t="str">
        <x:v>Financing and bid model</x:v>
      </x:c>
      <x:c r="I6" s="48" t="str">
        <x:v>Translate the diligence-adjusted operating case into an executable price, capital structure, equity requirement and transaction response.</x:v>
      </x:c>
      <x:c r="J6" s="48" t="str">
        <x:v>Approve final bid or negotiated price, financing structure, equity allocation and key commercial terms.</x:v>
      </x:c>
      <x:c r="K6" s="48" t="str">
        <x:v>Final or near-final sources and uses; debt instruments and terms; fees and OID; interest and hedging; covenant headroom; equity cheque and co-investment; purchase-price adjustments; rollover; financing conditions; price and term sensitivities; downside liquidity and returns.</x:v>
      </x:c>
      <x:c r="L6" s="48" t="str">
        <x:v>Detailed debt schedule and transaction mechanics connected to the M3 operating case.</x:v>
      </x:c>
      <x:c r="M6" s="48" t="str">
        <x:v>M3; lender term sheets and commitments; seller price and transaction terms; legal and tax structure; management rollover; co-investment allocation; latest diligence adjustments.</x:v>
      </x:c>
      <x:c r="N6" s="48" t="str">
        <x:v>Financing; financial; legal/regulatory; tax/structure; talent for rollover; all workstreams through the M3 operating case.</x:v>
      </x:c>
      <x:c r="O6" s="48" t="str">
        <x:v>Executable bid economics; final leverage and equity requirement; pricing sensitivities; sources and uses; commitment requirement; transaction-structure recommendation.</x:v>
      </x:c>
      <x:c r="P6" s="48" t="str">
        <x:v>Material diligence, financing and terms are sufficiently resolved for final investment synthesis and authorization.</x:v>
      </x:c>
      <x:c r="Q6" s="48" t="str">
        <x:v>Seller counteroffer; lender flex; interest-rate movement; purchase-price adjustment; revised open item; co-investment allocation change.</x:v>
      </x:c>
      <x:c r="R6" s="48" t="str">
        <x:v>No financeable structure supports acceptable downside and returns; bid exceeds price ceiling; financing certainty insufficient; equity requirement breaches fund constraints.</x:v>
      </x:c>
      <x:c r="S6" s="48" t="str">
        <x:v>Tie debt to lender-defined EBITDA; include fees and flex; stress liquidity and covenants; reconcile sources and uses; isolate price, operating and leverage contributions to return.</x:v>
      </x:c>
      <x:c r="T6" s="48" t="str">
        <x:v>Deal team and capital-markets team with tax, legal and senior sponsor review.</x:v>
      </x:c>
      <x:c r="U6" s="48" t="str">
        <x:v>Lender and adviser terms; legal documentation; hedging quotes; co-investor indications.</x:v>
      </x:c>
      <x:c r="V6" s="48" t="str">
        <x:v>DAYS_TO_WEEKS around final bid, signing and financing commitment.</x:v>
      </x:c>
      <x:c r="W6" s="48" t="str">
        <x:v>STATE; often a transaction tab or connected financing model.</x:v>
      </x:c>
      <x:c r="X6" s="48" t="str">
        <x:v>SPONSOR_SELF_DESCRIBED_WITH_DERIVATIVE_AND_DEAL_BEHAVIOURAL_SUPPORT</x:v>
      </x:c>
      <x:c r="Y6" s="48" t="str">
        <x:v>EMPIRICAL_COMPOSITION_PLUS_ANALYTIC_STATE_MODEL</x:v>
      </x:c>
      <x:c r="Z6" s="48" t="str">
        <x:v>HIGH_FOR_PURPOSE; MEDIUM_TO_HIGH_FOR_EXACT_CONTENT</x:v>
      </x:c>
      <x:c r="AA6" s="48" t="str">
        <x:v>HIGH</x:v>
      </x:c>
      <x:c r="AB6" s="48" t="str">
        <x:v>Financing and transaction terms are explicitly integrated into final underwriting across leveraged-buyout manager descriptions.</x:v>
      </x:c>
      <x:c r="AC6" s="48" t="str">
        <x:v>M4 is much lighter in all-equity or minimally leveraged deals and may be merged with M5.</x:v>
      </x:c>
    </x:row>
    <x:row r="7">
      <x:c r="A7" s="48" t="str">
        <x:v>A_WORKSTREAM_ANATOMY</x:v>
      </x:c>
      <x:c r="B7" s="48" t="str">
        <x:v>Tier A v1.0</x:v>
      </x:c>
      <x:c r="C7" s="48" t="str">
        <x:v>2026-07-16</x:v>
      </x:c>
      <x:c r="D7" s="48" t="str">
        <x:v>DOMAIN_SYNTHESIS_FROM_DDQ_CORPUS_PLUS_FIRST_PRINCIPLES_REASONING</x:v>
      </x:c>
      <x:c r="E7" s="48" t="str">
        <x:v>Compositional synthesis; not archive-verified frequency and not a universal necessity claim.</x:v>
      </x:c>
      <x:c r="F7" s="48" t="str">
        <x:v>FALSE</x:v>
      </x:c>
      <x:c r="G7" s="48" t="str">
        <x:v>M5</x:v>
      </x:c>
      <x:c r="H7" s="48" t="str">
        <x:v>Final underwrite</x:v>
      </x:c>
      <x:c r="I7" s="48" t="str">
        <x:v>Provide the authoritative economic case used for final investment approval and binding commitment within defined parameters.</x:v>
      </x:c>
      <x:c r="J7" s="48" t="str">
        <x:v>Approve, reject, conditionally approve or return for specified further work.</x:v>
      </x:c>
      <x:c r="K7" s="48" t="str">
        <x:v>Final sponsor base and downside; material diligence findings; final or bounded price and terms; financing; sources and uses; VCP and implementation cost; open-item statuses; covenant and liquidity sensitivities; exit cases; return decomposition; conditions and approval parameters.</x:v>
      </x:c>
      <x:c r="L7" s="48" t="str">
        <x:v>Decision-complete model with controlled assumptions, documented versions and explicit links to the final recommendation.</x:v>
      </x:c>
      <x:c r="M7" s="48" t="str">
        <x:v>M3 and M4; final workstream synthesis; transaction documents; financing commitments; IC challenge; open-item decisions.</x:v>
      </x:c>
      <x:c r="N7" s="48" t="str">
        <x:v>All workstreams through a synthesized final case.</x:v>
      </x:c>
      <x:c r="O7" s="48" t="str">
        <x:v>Approved economic parameters; binding price and capital structure boundaries; final return case; conditions for execution and closing; baseline for ownership planning.</x:v>
      </x:c>
      <x:c r="P7" s="48" t="str">
        <x:v>Investment is approved and the underwrite is converted into budgets, KPIs, initiative owners and board governance for ownership.</x:v>
      </x:c>
      <x:c r="Q7" s="48" t="str">
        <x:v>Material change before signing or closing; financing flex; adverse diligence finding; price or perimeter change outside approval parameters.</x:v>
      </x:c>
      <x:c r="R7" s="48" t="str">
        <x:v>Authorized body rejects; material swing factor unresolved without acceptable condition; economics outside mandate; legal or financing execution fails.</x:v>
      </x:c>
      <x:c r="S7" s="48" t="str">
        <x:v>Version lock; approval parameters; source traceability; open-item ownership; reconciliation to final transaction documents and financing; explicit management-versus-sponsor differences.</x:v>
      </x:c>
      <x:c r="T7" s="48" t="str">
        <x:v>Deal team with final review by authorized investment body; legal and finance functions control execution parameters.</x:v>
      </x:c>
      <x:c r="U7" s="48" t="str">
        <x:v>Final adviser reports, financing commitments and negotiated documents.</x:v>
      </x:c>
      <x:c r="V7" s="48" t="str">
        <x:v>IMMEDIATELY_BEFORE_FINAL_APPROVAL_AND_BINDING_COMMITMENT, with controlled updates through closing.</x:v>
      </x:c>
      <x:c r="W7" s="48" t="str">
        <x:v>STATE; may be referenced by a final investment memorandum and approval record.</x:v>
      </x:c>
      <x:c r="X7" s="48" t="str">
        <x:v>SPONSOR_SELF_DESCRIBED_WITH_LIMITED_SPONSOR_BEHAVIOURAL_CONFIRMATION</x:v>
      </x:c>
      <x:c r="Y7" s="48" t="str">
        <x:v>EMPIRICAL_COMPOSITION_PLUS_ANALYTIC_STATE_MODEL</x:v>
      </x:c>
      <x:c r="Z7" s="48" t="str">
        <x:v>HIGH_FOR_ROLE; MEDIUM_FOR_STANDARDIZED_CONTENT</x:v>
      </x:c>
      <x:c r="AA7" s="48" t="str">
        <x:v>HIGH</x:v>
      </x:c>
      <x:c r="AB7" s="48" t="str">
        <x:v>Progressively fuller final cases and final approval artifacts are consistent across manager descriptions, though exact formats vary.</x:v>
      </x:c>
      <x:c r="AC7" s="48" t="str">
        <x:v>Final does not mean immutable. Material changes require reapproval; immaterial or bounded updates can be processed within delegated authority.</x:v>
      </x:c>
    </x:row>
    <x:row r="8">
      <x:c r="A8" s="48" t="str">
        <x:v>A_WORKSTREAM_ANATOMY</x:v>
      </x:c>
      <x:c r="B8" s="48" t="str">
        <x:v>Tier A v1.0</x:v>
      </x:c>
      <x:c r="C8" s="48" t="str">
        <x:v>2026-07-16</x:v>
      </x:c>
      <x:c r="D8" s="48" t="str">
        <x:v>DOMAIN_SYNTHESIS_FROM_DDQ_CORPUS_PLUS_FIRST_PRINCIPLES_REASONING</x:v>
      </x:c>
      <x:c r="E8" s="48" t="str">
        <x:v>Compositional synthesis; not archive-verified frequency and not a universal necessity claim.</x:v>
      </x:c>
      <x:c r="F8" s="48" t="str">
        <x:v>FALSE</x:v>
      </x:c>
      <x:c r="G8" s="48" t="str">
        <x:v>M6</x:v>
      </x:c>
      <x:c r="H8" s="48" t="str">
        <x:v>Ownership budget and control case</x:v>
      </x:c>
      <x:c r="I8" s="48" t="str">
        <x:v>Translate the acquisition underwrite into an accountable operating baseline for management, the board and sponsor monitoring.</x:v>
      </x:c>
      <x:c r="J8" s="48" t="str">
        <x:v>Approve first-year budget, initiative sequencing, management actions, KPI baseline and ownership resource allocation.</x:v>
      </x:c>
      <x:c r="K8" s="48" t="str">
        <x:v>Closing balance sheet; first-year budget; monthly or quarterly operating forecast; KPI baseline; initiative owners and timing; implementation costs and capex; covenant and liquidity monitoring; board reporting; management incentives; variance bridge to the M5 underwrite.</x:v>
      </x:c>
      <x:c r="L8" s="48" t="str">
        <x:v>Monthly or quarterly management and board model; operating KPIs linked to financial statements and cash.</x:v>
      </x:c>
      <x:c r="M8" s="48" t="str">
        <x:v>M5; final closing balance sheet and financing; management planning; V4/V5 value-creation plan; board and governance design; actual close date.</x:v>
      </x:c>
      <x:c r="N8" s="48" t="str">
        <x:v>Operational; talent; financial; financing; commercial; legal and tax for post-close obligations.</x:v>
      </x:c>
      <x:c r="O8" s="48" t="str">
        <x:v>Ownership baseline; management budget; KPI dashboard; initiative scorecard; covenant and cash forecast; variance reporting; updated exit roadmap.</x:v>
      </x:c>
      <x:c r="P8" s="48" t="str">
        <x:v>Not a terminal transition. Actual performance, board decisions and strategic changes produce rolling forecasts, reforecasts and eventual exit models.</x:v>
      </x:c>
      <x:c r="Q8" s="48" t="str">
        <x:v>Closing adjustment; management plan refinement; actual performance variance; delayed initiatives; add-on acquisition; refinancing; market change.</x:v>
      </x:c>
      <x:c r="R8" s="48" t="str">
        <x:v>Not normally a rejection state. Failure to reconcile M6 with M5 should trigger governance escalation and re-baselining.</x:v>
      </x:c>
      <x:c r="S8" s="48" t="str">
        <x:v>Bridge to the approved underwrite; distinguish acquisition-case assumptions from post-close changes; assign owners and milestones; preserve original case for performance attribution.</x:v>
      </x:c>
      <x:c r="T8" s="48" t="str">
        <x:v>Management, sponsor deal/portfolio team and operating resources under board oversight.</x:v>
      </x:c>
      <x:c r="U8" s="48" t="str">
        <x:v>Consultants, implementation partners, lenders and auditors where relevant.</x:v>
      </x:c>
      <x:c r="V8" s="48" t="str">
        <x:v>DEVELOPED_PRE_CLOSE_OR_FIRST_100_TO_180_DAYS; then maintained throughout ownership.</x:v>
      </x:c>
      <x:c r="W8" s="48" t="str">
        <x:v>STATE; implemented through budget, KPI dashboard, board pack and initiative tracker.</x:v>
      </x:c>
      <x:c r="X8" s="48" t="str">
        <x:v>SPONSOR_SELF_DESCRIBED_WITH_SELECTED_POST_CLOSE_BEHAVIOURAL_SUPPORT</x:v>
      </x:c>
      <x:c r="Y8" s="48" t="str">
        <x:v>EMPIRICAL_COMPOSITION_PLUS_ANALYTIC_STATE_MODEL</x:v>
      </x:c>
      <x:c r="Z8" s="48" t="str">
        <x:v>HIGH_FOR_PURPOSE; MEDIUM_FOR_STANDARDIZED_CONTENT</x:v>
      </x:c>
      <x:c r="AA8" s="48" t="str">
        <x:v>HIGH</x:v>
      </x:c>
      <x:c r="AB8" s="48" t="str">
        <x:v>Manager materials consistently connect the underwrite to ownership plans, KPIs and management accountability.</x:v>
      </x:c>
      <x:c r="AC8" s="48" t="str">
        <x:v>The state may be called a budget, 100-day plan, full-potential plan or long-range plan. The naming and timing are configurable.</x:v>
      </x:c>
    </x:row>
  </x:sheetData>
  <x:pageMargins left="0.7" right="0.7" top="0.75" bottom="0.75" header="0.3" footer="0.3"/>
  <x:tableParts count="1">
    <x:tablePart xmlns:r="http://schemas.openxmlformats.org/officeDocument/2006/relationships" r:id="Ra9790e48ea104d25"/>
  </x:tableParts>
</x:worksheet>
</file>

<file path=xl/worksheets/sheet4.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s>
  <x:sheetData>
    <x:row r="1">
      <x:c r="A1" s="42" t="str">
        <x:v>tier</x:v>
      </x:c>
      <x:c r="B1" s="42" t="str">
        <x:v>version</x:v>
      </x:c>
      <x:c r="C1" s="42" t="str">
        <x:v>as_of_date</x:v>
      </x:c>
      <x:c r="D1" s="42" t="str">
        <x:v>source</x:v>
      </x:c>
      <x:c r="E1" s="42" t="str">
        <x:v>source_note</x:v>
      </x:c>
      <x:c r="F1" s="42" t="str">
        <x:v>archive_frequency_verified</x:v>
      </x:c>
      <x:c r="G1" s="42" t="str">
        <x:v>vcp_state_id</x:v>
      </x:c>
      <x:c r="H1" s="42" t="str">
        <x:v>state_name</x:v>
      </x:c>
      <x:c r="I1" s="42" t="str">
        <x:v>purpose</x:v>
      </x:c>
      <x:c r="J1" s="42" t="str">
        <x:v>minimum_contents</x:v>
      </x:c>
      <x:c r="K1" s="42" t="str">
        <x:v>evidence_threshold</x:v>
      </x:c>
      <x:c r="L1" s="42" t="str">
        <x:v>primary_inputs</x:v>
      </x:c>
      <x:c r="M1" s="42" t="str">
        <x:v>feeding_workstreams</x:v>
      </x:c>
      <x:c r="N1" s="42" t="str">
        <x:v>outputs_produced</x:v>
      </x:c>
      <x:c r="O1" s="42" t="str">
        <x:v>model_linkage</x:v>
      </x:c>
      <x:c r="P1" s="42" t="str">
        <x:v>transition_trigger_to_next_state</x:v>
      </x:c>
      <x:c r="Q1" s="42" t="str">
        <x:v>backward_iteration_triggers</x:v>
      </x:c>
      <x:c r="R1" s="42" t="str">
        <x:v>rejection_or_demotion_conditions</x:v>
      </x:c>
      <x:c r="S1" s="42" t="str">
        <x:v>typical_owner</x:v>
      </x:c>
      <x:c r="T1" s="42" t="str">
        <x:v>typical_timing</x:v>
      </x:c>
      <x:c r="U1" s="42" t="str">
        <x:v>function_or_artifact</x:v>
      </x:c>
      <x:c r="V1" s="42" t="str">
        <x:v>primary_evidence_class</x:v>
      </x:c>
      <x:c r="W1" s="42" t="str">
        <x:v>claim_basis</x:v>
      </x:c>
      <x:c r="X1" s="42" t="str">
        <x:v>observability</x:v>
      </x:c>
      <x:c r="Y1" s="42" t="str">
        <x:v>confidence</x:v>
      </x:c>
      <x:c r="Z1" s="42" t="str">
        <x:v>confidence_reason</x:v>
      </x:c>
      <x:c r="AA1" s="42" t="str">
        <x:v>caveats</x:v>
      </x:c>
    </x:row>
    <x:row r="2">
      <x:c r="A2" s="48" t="str">
        <x:v>A_WORKSTREAM_ANATOMY</x:v>
      </x:c>
      <x:c r="B2" s="48" t="str">
        <x:v>Tier A v1.0</x:v>
      </x:c>
      <x:c r="C2" s="48" t="str">
        <x:v>2026-07-16</x:v>
      </x:c>
      <x:c r="D2" s="48" t="str">
        <x:v>DOMAIN_SYNTHESIS_FROM_DDQ_CORPUS_PLUS_FIRST_PRINCIPLES_REASONING</x:v>
      </x:c>
      <x:c r="E2" s="48" t="str">
        <x:v>Compositional synthesis; not archive-verified frequency and not a universal necessity claim.</x:v>
      </x:c>
      <x:c r="F2" s="48" t="str">
        <x:v>FALSE</x:v>
      </x:c>
      <x:c r="G2" s="48" t="str">
        <x:v>V0</x:v>
      </x:c>
      <x:c r="H2" s="48" t="str">
        <x:v>Initial value-creation hypotheses</x:v>
      </x:c>
      <x:c r="I2" s="48" t="str">
        <x:v>Record plausible ways the sponsor might improve the business or reduce risk before those ideas are validated or underwritten.</x:v>
      </x:c>
      <x:c r="J2" s="48" t="str">
        <x:v>Candidate initiatives such as pricing, salesforce, procurement, margin improvement, geographic expansion, product expansion, M&amp;A, professionalization, working capital, technology, talent and governance; initial rationale; rough relevance to the investment thesis.</x:v>
      </x:c>
      <x:c r="K2" s="48" t="str">
        <x:v>Plausible hypothesis grounded in sector knowledge or visible company opportunity; no requirement yet for quantified proof.</x:v>
      </x:c>
      <x:c r="L2" s="48" t="str">
        <x:v>Thematic research; initial company materials; management discussion; sponsor operating experience; comparable portfolio cases; M0/M1 sensitivities.</x:v>
      </x:c>
      <x:c r="M2" s="48" t="str">
        <x:v>Commercial; operational; talent; financial; preliminary legal and financing constraints.</x:v>
      </x:c>
      <x:c r="N2" s="48" t="str">
        <x:v>Hypothesis list; initial diligence questions; potential value-creation narrative; provisional ownership angle.</x:v>
      </x:c>
      <x:c r="O2" s="48" t="str">
        <x:v>May appear as unquantified upside or a rough sensitivity. It should not be embedded in the sponsor base case without further evidence.</x:v>
      </x:c>
      <x:c r="P2" s="48" t="str">
        <x:v>Diligence is designed to test whether each material hypothesis is real, controllable and compatible with management, capacity and capital requirements.</x:v>
      </x:c>
      <x:c r="Q2" s="48" t="str">
        <x:v>New opportunity idea; management proposal; sector specialist input; model identifies an additional return dependency.</x:v>
      </x:c>
      <x:c r="R2" s="48" t="str">
        <x:v>Hypothesis lacks addressable opportunity, conflicts with market evidence, is outside sponsor control or duplicates another initiative.</x:v>
      </x:c>
      <x:c r="S2" s="48" t="str">
        <x:v>Deal team and operating resources, with management input where available.</x:v>
      </x:c>
      <x:c r="T2" s="48" t="str">
        <x:v>THEMATIC_STAGE_THROUGH_INITIAL_SCREEN.</x:v>
      </x:c>
      <x:c r="U2" s="48" t="str">
        <x:v>STATE; may exist in screening memo, initial IC material or VCP worksheet.</x:v>
      </x:c>
      <x:c r="V2" s="48" t="str">
        <x:v>SPONSOR_SELF_DESCRIBED_PLUS_ANALYTIC_SYNTHESIS</x:v>
      </x:c>
      <x:c r="W2" s="48" t="str">
        <x:v>EMPIRICAL_COMPOSITION_PLUS_ANALYTIC_STATE_MODEL</x:v>
      </x:c>
      <x:c r="X2" s="48" t="str">
        <x:v>HIGH_FOR_CONCEPT; MEDIUM_FOR_EXACT_DOCUMENTATION</x:v>
      </x:c>
      <x:c r="Y2" s="48" t="str">
        <x:v>HIGH</x:v>
      </x:c>
      <x:c r="Z2" s="48" t="str">
        <x:v>Managers frequently describe early operating hypotheses before detailed validation.</x:v>
      </x:c>
      <x:c r="AA2" s="48" t="str">
        <x:v>V0 is intentionally broad. Presence in V0 is not evidence that an initiative belongs in valuation or the base case.</x:v>
      </x:c>
    </x:row>
    <x:row r="3">
      <x:c r="A3" s="48" t="str">
        <x:v>A_WORKSTREAM_ANATOMY</x:v>
      </x:c>
      <x:c r="B3" s="48" t="str">
        <x:v>Tier A v1.0</x:v>
      </x:c>
      <x:c r="C3" s="48" t="str">
        <x:v>2026-07-16</x:v>
      </x:c>
      <x:c r="D3" s="48" t="str">
        <x:v>DOMAIN_SYNTHESIS_FROM_DDQ_CORPUS_PLUS_FIRST_PRINCIPLES_REASONING</x:v>
      </x:c>
      <x:c r="E3" s="48" t="str">
        <x:v>Compositional synthesis; not archive-verified frequency and not a universal necessity claim.</x:v>
      </x:c>
      <x:c r="F3" s="48" t="str">
        <x:v>FALSE</x:v>
      </x:c>
      <x:c r="G3" s="48" t="str">
        <x:v>V1</x:v>
      </x:c>
      <x:c r="H3" s="48" t="str">
        <x:v>Diligence-validated levers</x:v>
      </x:c>
      <x:c r="I3" s="48" t="str">
        <x:v>Determine which initial hypotheses are supported by evidence and which should be rejected, narrowed or treated as speculative upside.</x:v>
      </x:c>
      <x:c r="J3" s="48" t="str">
        <x:v>Evidence for addressable opportunity; baseline performance; management and organizational feasibility; customer or supplier response; capacity and systems requirements; key dependencies; principal execution risks.</x:v>
      </x:c>
      <x:c r="K3" s="48" t="str">
        <x:v>Sufficient workstream evidence to conclude that the opportunity exists and is not contradicted by known constraints; quantification may still be preliminary.</x:v>
      </x:c>
      <x:c r="L3" s="48" t="str">
        <x:v>Commercial, operational, financial and talent findings; management workshops; customer and supplier evidence; site and systems work; legal and regulatory constraints.</x:v>
      </x:c>
      <x:c r="M3" s="48" t="str">
        <x:v>Commercial; operational; talent; financial; legal/regulatory; tax and financing where they constrain implementation.</x:v>
      </x:c>
      <x:c r="N3" s="48" t="str">
        <x:v>Validated lever list; rejected lever list; dependency map; evidence gaps; revised diligence questions; preliminary owners and timing.</x:v>
      </x:c>
      <x:c r="O3" s="48" t="str">
        <x:v>Validated levers may enter scenario analysis, but base-case inclusion still requires quantified economics and execution confidence.</x:v>
      </x:c>
      <x:c r="P3" s="48" t="str">
        <x:v>The sponsor can estimate the financial impact, timing, cost, capex, working capital and implementation requirements of each surviving lever.</x:v>
      </x:c>
      <x:c r="Q3" s="48" t="str">
        <x:v>Contradictory evidence; management challenge; technical or legal constraint; operating baseline changes.</x:v>
      </x:c>
      <x:c r="R3" s="48" t="str">
        <x:v>Opportunity is not material, not controllable, not differentiated, incompatible with capacity or dependent on unsupported management capability.</x:v>
      </x:c>
      <x:c r="S3" s="48" t="str">
        <x:v>Deal team and operating-workstream leads, with management involvement.</x:v>
      </x:c>
      <x:c r="T3" s="48" t="str">
        <x:v>EARLY_TO_MID_DILIGENCE.</x:v>
      </x:c>
      <x:c r="U3" s="48" t="str">
        <x:v>STATE; often documented in workstream findings or an evolving VCP section.</x:v>
      </x:c>
      <x:c r="V3" s="48" t="str">
        <x:v>SPONSOR_SELF_DESCRIBED_WITH_SELECTED_BEHAVIOURAL_EXAMPLES</x:v>
      </x:c>
      <x:c r="W3" s="48" t="str">
        <x:v>EMPIRICAL_COMPOSITION_PLUS_ANALYTIC_STATE_MODEL</x:v>
      </x:c>
      <x:c r="X3" s="48" t="str">
        <x:v>HIGH_FOR_PURPOSE; MEDIUM_FOR_STANDARDIZED_THRESHOLD</x:v>
      </x:c>
      <x:c r="Y3" s="48" t="str">
        <x:v>HIGH</x:v>
      </x:c>
      <x:c r="Z3" s="48" t="str">
        <x:v>Detailed processes describe testing initial value-creation ideas through commercial, operating and management work.</x:v>
      </x:c>
      <x:c r="AA3" s="48" t="str">
        <x:v>Validation is proposition-specific. A lever can be validated as an opportunity but still be too risky for the base case.</x:v>
      </x:c>
    </x:row>
    <x:row r="4">
      <x:c r="A4" s="48" t="str">
        <x:v>A_WORKSTREAM_ANATOMY</x:v>
      </x:c>
      <x:c r="B4" s="48" t="str">
        <x:v>Tier A v1.0</x:v>
      </x:c>
      <x:c r="C4" s="48" t="str">
        <x:v>2026-07-16</x:v>
      </x:c>
      <x:c r="D4" s="48" t="str">
        <x:v>DOMAIN_SYNTHESIS_FROM_DDQ_CORPUS_PLUS_FIRST_PRINCIPLES_REASONING</x:v>
      </x:c>
      <x:c r="E4" s="48" t="str">
        <x:v>Compositional synthesis; not archive-verified frequency and not a universal necessity claim.</x:v>
      </x:c>
      <x:c r="F4" s="48" t="str">
        <x:v>FALSE</x:v>
      </x:c>
      <x:c r="G4" s="48" t="str">
        <x:v>V2</x:v>
      </x:c>
      <x:c r="H4" s="48" t="str">
        <x:v>Quantified levers</x:v>
      </x:c>
      <x:c r="I4" s="48" t="str">
        <x:v>Translate surviving value-creation opportunities into explicit financial and operational assumptions.</x:v>
      </x:c>
      <x:c r="J4" s="48" t="str">
        <x:v>Revenue or cost impact; timing and ramp; one-time implementation cost; capex and working capital; required hires; dependencies; responsible function; leading KPIs; risk range; interaction with other initiatives.</x:v>
      </x:c>
      <x:c r="K4" s="48" t="str">
        <x:v>Decision-useful estimate supported by baseline data, workstream analysis and a plausible implementation mechanism.</x:v>
      </x:c>
      <x:c r="L4" s="48" t="str">
        <x:v>V1; M2 operating model; detailed commercial and operational data; management input; adviser analyses; talent and systems requirements.</x:v>
      </x:c>
      <x:c r="M4" s="48" t="str">
        <x:v>Operational and commercial primary; financial, talent, technology, legal, tax and financing as required.</x:v>
      </x:c>
      <x:c r="N4" s="48" t="str">
        <x:v>Quantified initiative cases; implementation-cost schedule; KPI definitions; initiative sensitivities; preliminary initiative owners and sequence.</x:v>
      </x:c>
      <x:c r="O4" s="48" t="str">
        <x:v>Each lever is connected to revenue, margin, capex, working capital, cash and returns. Double counting and dependency conflicts are tested.</x:v>
      </x:c>
      <x:c r="P4" s="48" t="str">
        <x:v>The sponsor can classify each lever as base case, upside, risk mitigation or excluded based on evidence and controllability.</x:v>
      </x:c>
      <x:c r="Q4" s="48" t="str">
        <x:v>Cost or timing changes; management capacity assessment; initiative interaction; model sensitivity reveals excessive dependence.</x:v>
      </x:c>
      <x:c r="R4" s="48" t="str">
        <x:v>Economics are immaterial; cost exceeds benefit; timing is outside hold period; dependency is uncontrolled; initiative duplicates baseline forecast.</x:v>
      </x:c>
      <x:c r="S4" s="48" t="str">
        <x:v>Operating resources and deal team, with management and functional specialists.</x:v>
      </x:c>
      <x:c r="T4" s="48" t="str">
        <x:v>MID_TO_LATE_DILIGENCE.</x:v>
      </x:c>
      <x:c r="U4" s="48" t="str">
        <x:v>STATE; may be a VCP model, initiative workbook or memorandum section.</x:v>
      </x:c>
      <x:c r="V4" s="48" t="str">
        <x:v>SPONSOR_SELF_DESCRIBED_WITH_MODEL_AND_MEMO_BEHAVIOURAL_SUPPORT</x:v>
      </x:c>
      <x:c r="W4" s="48" t="str">
        <x:v>EMPIRICAL_COMPOSITION_PLUS_ANALYTIC_STATE_MODEL</x:v>
      </x:c>
      <x:c r="X4" s="48" t="str">
        <x:v>HIGH_FOR_CONTENT_AND_MODEL_LINKAGE</x:v>
      </x:c>
      <x:c r="Y4" s="48" t="str">
        <x:v>HIGH</x:v>
      </x:c>
      <x:c r="Z4" s="48" t="str">
        <x:v>Manager materials explicitly connect quantified initiatives, costs and timing to the business plan and sponsor model.</x:v>
      </x:c>
      <x:c r="AA4" s="48" t="str">
        <x:v>Quantification does not imply base-case inclusion. Numeric precision can exceed evidence quality and should be sensitivity-tested.</x:v>
      </x:c>
    </x:row>
    <x:row r="5">
      <x:c r="A5" s="48" t="str">
        <x:v>A_WORKSTREAM_ANATOMY</x:v>
      </x:c>
      <x:c r="B5" s="48" t="str">
        <x:v>Tier A v1.0</x:v>
      </x:c>
      <x:c r="C5" s="48" t="str">
        <x:v>2026-07-16</x:v>
      </x:c>
      <x:c r="D5" s="48" t="str">
        <x:v>DOMAIN_SYNTHESIS_FROM_DDQ_CORPUS_PLUS_FIRST_PRINCIPLES_REASONING</x:v>
      </x:c>
      <x:c r="E5" s="48" t="str">
        <x:v>Compositional synthesis; not archive-verified frequency and not a universal necessity claim.</x:v>
      </x:c>
      <x:c r="F5" s="48" t="str">
        <x:v>FALSE</x:v>
      </x:c>
      <x:c r="G5" s="48" t="str">
        <x:v>V3</x:v>
      </x:c>
      <x:c r="H5" s="48" t="str">
        <x:v>Underwritten base, upside and risk mitigants</x:v>
      </x:c>
      <x:c r="I5" s="48" t="str">
        <x:v>Separate value-creation assumptions that are sufficiently supported for the sponsor base case from speculative upside and non-return risk mitigants.</x:v>
      </x:c>
      <x:c r="J5" s="48" t="str">
        <x:v>Base-case levers; upside-only levers; excluded ideas; risk mitigants; evidence basis; probability or sensitivity range; execution owner; required management or board action; implementation cost; downside if delayed or unsuccessful.</x:v>
      </x:c>
      <x:c r="K5" s="48" t="str">
        <x:v>Base-case lever requires sufficient evidence, sponsor influence or control, credible management capacity, quantified cost and timing, and no unresolved dependency that would make inclusion misleading.</x:v>
      </x:c>
      <x:c r="L5" s="48" t="str">
        <x:v>V2; M3 sponsor case; open-item register; IC challenge; management and operating-team commitment; legal, tax and financing constraints.</x:v>
      </x:c>
      <x:c r="M5" s="48" t="str">
        <x:v>All workstreams through the sponsor case and implementation feasibility.</x:v>
      </x:c>
      <x:c r="N5" s="48" t="str">
        <x:v>Underwritten VCP; base/upside boundary; return attribution; initiative downside cases; conditions or pre-close actions; final diligence priorities.</x:v>
      </x:c>
      <x:c r="O5" s="48" t="str">
        <x:v>Base levers enter M3/M5; upside levers remain separate; risk mitigants may reduce downside without increasing the base forecast.</x:v>
      </x:c>
      <x:c r="P5" s="48" t="str">
        <x:v>Initiatives have owners, milestones, budgets and sequencing sufficient to become a pre-close or early-ownership implementation plan.</x:v>
      </x:c>
      <x:c r="Q5" s="48" t="str">
        <x:v>IC removes a lever from base; seller or management changes; financing restricts investment; implementation cost rises; key hire unavailable.</x:v>
      </x:c>
      <x:c r="R5" s="48" t="str">
        <x:v>Lever is essential to returns but not evidence-supported; sponsor lacks control; timing or cost is unbounded; management capability is insufficient.</x:v>
      </x:c>
      <x:c r="S5" s="48" t="str">
        <x:v>Deal team and operating partner, approved or challenged by the relevant decision body.</x:v>
      </x:c>
      <x:c r="T5" s="48" t="str">
        <x:v>LATE_DILIGENCE_AND_FINAL_UNDERWRITING.</x:v>
      </x:c>
      <x:c r="U5" s="48" t="str">
        <x:v>STATE; represented in final model, VCP and investment memorandum.</x:v>
      </x:c>
      <x:c r="V5" s="48" t="str">
        <x:v>SPONSOR_SELF_DESCRIBED_PLUS_SPONSOR_AND_CO_INVESTOR_BEHAVIOURAL_EXAMPLES</x:v>
      </x:c>
      <x:c r="W5" s="48" t="str">
        <x:v>EMPIRICAL_COMPOSITION_PLUS_ANALYTIC_STATE_MODEL</x:v>
      </x:c>
      <x:c r="X5" s="48" t="str">
        <x:v>HIGH_FOR_DECISION_LOGIC; MEDIUM_FOR_FORMAL_LABELS</x:v>
      </x:c>
      <x:c r="Y5" s="48" t="str">
        <x:v>HIGH</x:v>
      </x:c>
      <x:c r="Z5" s="48" t="str">
        <x:v>The distinction between evidence-supported sponsor base and unproven upside is central to robust underwriting and is observed in scenario structures.</x:v>
      </x:c>
      <x:c r="AA5" s="48" t="str">
        <x:v>Managers may not explicitly label base and upside; the classification must be inferred only where scenario treatment is visible.</x:v>
      </x:c>
    </x:row>
    <x:row r="6">
      <x:c r="A6" s="48" t="str">
        <x:v>A_WORKSTREAM_ANATOMY</x:v>
      </x:c>
      <x:c r="B6" s="48" t="str">
        <x:v>Tier A v1.0</x:v>
      </x:c>
      <x:c r="C6" s="48" t="str">
        <x:v>2026-07-16</x:v>
      </x:c>
      <x:c r="D6" s="48" t="str">
        <x:v>DOMAIN_SYNTHESIS_FROM_DDQ_CORPUS_PLUS_FIRST_PRINCIPLES_REASONING</x:v>
      </x:c>
      <x:c r="E6" s="48" t="str">
        <x:v>Compositional synthesis; not archive-verified frequency and not a universal necessity claim.</x:v>
      </x:c>
      <x:c r="F6" s="48" t="str">
        <x:v>FALSE</x:v>
      </x:c>
      <x:c r="G6" s="48" t="str">
        <x:v>V4</x:v>
      </x:c>
      <x:c r="H6" s="48" t="str">
        <x:v>Implementation-ready 100/180-day plan</x:v>
      </x:c>
      <x:c r="I6" s="48" t="str">
        <x:v>Convert the underwritten VCP into an actionable program that can begin at or immediately after closing.</x:v>
      </x:c>
      <x:c r="J6" s="48" t="str">
        <x:v>Initiatives; owners; sequence; first actions; milestones; budget; required hires and advisers; board decisions; KPI baseline and reporting cadence; dependencies; risk escalation; pre-close and post-close actions.</x:v>
      </x:c>
      <x:c r="K6" s="48" t="str">
        <x:v>Each included initiative has sufficient clarity on ownership, first actions, required resources, timing and measurement to be managed rather than merely described.</x:v>
      </x:c>
      <x:c r="L6" s="48" t="str">
        <x:v>V3; M5; management planning; final organization and governance; closing timetable; legal and regulatory obligations; financing and liquidity constraints.</x:v>
      </x:c>
      <x:c r="M6" s="48" t="str">
        <x:v>Operational; talent; financial; commercial; legal/regulatory; tax and financing for execution constraints.</x:v>
      </x:c>
      <x:c r="N6" s="48" t="str">
        <x:v>100-day or 180-day plan; initiative scorecard; management and board agenda; implementation budget; hiring plan; adviser scopes; KPI dashboard specification.</x:v>
      </x:c>
      <x:c r="O6" s="48" t="str">
        <x:v>Implementation timing, cost and capex reconcile to M5/M6. Deviations are recorded rather than silently changing the acquisition case.</x:v>
      </x:c>
      <x:c r="P6" s="48" t="str">
        <x:v>The plan is embedded into ownership governance, budgets, KPIs and the longer-term exit roadmap.</x:v>
      </x:c>
      <x:c r="Q6" s="48" t="str">
        <x:v>Closing delay; management change; financing change; new post-signing information; implementation-resource constraint.</x:v>
      </x:c>
      <x:c r="R6" s="48" t="str">
        <x:v>No accountable owner; first actions undefined; budget unavailable; dependencies unresolved; initiative cannot start within relevant ownership horizon.</x:v>
      </x:c>
      <x:c r="S6" s="48" t="str">
        <x:v>Management and sponsor operating team under deal-team and board oversight.</x:v>
      </x:c>
      <x:c r="T6" s="48" t="str">
        <x:v>DEVELOPED_PRE_CLOSE_THROUGH_FIRST_100_TO_180_DAYS.</x:v>
      </x:c>
      <x:c r="U6" s="48" t="str">
        <x:v>STATE; the 100-day or 180-day plan is the principal artifact, but the number of days is conventional.</x:v>
      </x:c>
      <x:c r="V6" s="48" t="str">
        <x:v>SPONSOR_SELF_DESCRIBED_WITH_SELECTED_OWNERSHIP_BEHAVIOURAL_SUPPORT</x:v>
      </x:c>
      <x:c r="W6" s="48" t="str">
        <x:v>EMPIRICAL_COMPOSITION_PLUS_ANALYTIC_STATE_MODEL</x:v>
      </x:c>
      <x:c r="X6" s="48" t="str">
        <x:v>HIGH_FOR_CONTENT; MEDIUM_FOR_TIMING</x:v>
      </x:c>
      <x:c r="Y6" s="48" t="str">
        <x:v>HIGH</x:v>
      </x:c>
      <x:c r="Z6" s="48" t="str">
        <x:v>Multiple manager processes explicitly connect pre-close operating work to 100/180-day plans and ownership accountability.</x:v>
      </x:c>
      <x:c r="AA6" s="48" t="str">
        <x:v>Not every initiative must be fully implementation-ready at closing. Long-dated initiatives can remain in the strategic roadmap with staged validation.</x:v>
      </x:c>
    </x:row>
    <x:row r="7">
      <x:c r="A7" s="48" t="str">
        <x:v>A_WORKSTREAM_ANATOMY</x:v>
      </x:c>
      <x:c r="B7" s="48" t="str">
        <x:v>Tier A v1.0</x:v>
      </x:c>
      <x:c r="C7" s="48" t="str">
        <x:v>2026-07-16</x:v>
      </x:c>
      <x:c r="D7" s="48" t="str">
        <x:v>DOMAIN_SYNTHESIS_FROM_DDQ_CORPUS_PLUS_FIRST_PRINCIPLES_REASONING</x:v>
      </x:c>
      <x:c r="E7" s="48" t="str">
        <x:v>Compositional synthesis; not archive-verified frequency and not a universal necessity claim.</x:v>
      </x:c>
      <x:c r="F7" s="48" t="str">
        <x:v>FALSE</x:v>
      </x:c>
      <x:c r="G7" s="48" t="str">
        <x:v>V5</x:v>
      </x:c>
      <x:c r="H7" s="48" t="str">
        <x:v>Ownership and exit roadmap</x:v>
      </x:c>
      <x:c r="I7" s="48" t="str">
        <x:v>Maintain the VCP as a living ownership system and connect initiative delivery to capital allocation, governance and eventual realization.</x:v>
      </x:c>
      <x:c r="J7" s="48" t="str">
        <x:v>Long-range financial plan; initiative performance; board and management cadence; capital allocation; add-on criteria; management incentives; refinancing options; exit-readiness requirements; likely buyer or public-market path; required business quality at exit.</x:v>
      </x:c>
      <x:c r="K7" s="48" t="str">
        <x:v>Ownership data and initiative results support periodic revision; exit assumptions are linked to achievable company positioning rather than only a target multiple.</x:v>
      </x:c>
      <x:c r="L7" s="48" t="str">
        <x:v>V4; M6; actual performance; board decisions; market conditions; add-on opportunities; lender and exit-market feedback; management succession and incentive outcomes.</x:v>
      </x:c>
      <x:c r="M7" s="48" t="str">
        <x:v>All workstreams continue during ownership, with financial, operational, talent, commercial and financing most prominent.</x:v>
      </x:c>
      <x:c r="N7" s="48" t="str">
        <x:v>Updated VCP; board priorities; capital-allocation decisions; reforecast; refinancing or M&amp;A decisions; exit-readiness program; disposition recommendation.</x:v>
      </x:c>
      <x:c r="O7" s="48" t="str">
        <x:v>Actual-versus-underwrite attribution; rolling ownership model; exit model and buyer cases; revised return forecast.</x:v>
      </x:c>
      <x:c r="P7" s="48" t="str">
        <x:v>No fixed next state; culminates in an authorized exit, continuation or other realization decision.</x:v>
      </x:c>
      <x:c r="Q7" s="48" t="str">
        <x:v>Performance variance; market change; management change; new M&amp;A; refinancing; buyer feedback; holding-period extension.</x:v>
      </x:c>
      <x:c r="R7" s="48" t="str">
        <x:v>Initiative is no longer value-accretive; market conditions change; capital is better allocated elsewhere; exit path requires different company positioning.</x:v>
      </x:c>
      <x:c r="S7" s="48" t="str">
        <x:v>Management, board, sponsor deal/portfolio team and operating resources.</x:v>
      </x:c>
      <x:c r="T7" s="48" t="str">
        <x:v>THROUGHOUT_OWNERSHIP_TO_EXIT.</x:v>
      </x:c>
      <x:c r="U7" s="48" t="str">
        <x:v>STATE; implemented through long-range plan, board packs, initiative trackers and exit-preparation materials.</x:v>
      </x:c>
      <x:c r="V7" s="48" t="str">
        <x:v>SPONSOR_SELF_DESCRIBED_WITH_LIMITED_POST_CLOSE_BEHAVIOURAL_SUPPORT</x:v>
      </x:c>
      <x:c r="W7" s="48" t="str">
        <x:v>EMPIRICAL_COMPOSITION_PLUS_ANALYTIC_STATE_MODEL</x:v>
      </x:c>
      <x:c r="X7" s="48" t="str">
        <x:v>HIGH_FOR_LIFECYCLE_ROLE; MEDIUM_FOR_STANDARDIZED_CONTENT</x:v>
      </x:c>
      <x:c r="Y7" s="48" t="str">
        <x:v>HIGH</x:v>
      </x:c>
      <x:c r="Z7" s="48" t="str">
        <x:v>Active ownership, monitoring and exit preparation are explicit across manager descriptions and industry background.</x:v>
      </x:c>
      <x:c r="AA7" s="48" t="str">
        <x:v>V5 is outside the narrow pre-acquisition process but is included because acquisition assumptions become meaningful only when transferred into ownership accountability.</x:v>
      </x:c>
    </x:row>
  </x:sheetData>
  <x:pageMargins left="0.7" right="0.7" top="0.75" bottom="0.75" header="0.3" footer="0.3"/>
  <x:tableParts count="1">
    <x:tablePart xmlns:r="http://schemas.openxmlformats.org/officeDocument/2006/relationships" r:id="Rff7d7bf8d95f49cb"/>
  </x:tableParts>
</x:worksheet>
</file>

<file path=xl/worksheets/sheet5.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s>
  <x:sheetData>
    <x:row r="1">
      <x:c r="A1" s="42" t="str">
        <x:v>tier</x:v>
      </x:c>
      <x:c r="B1" s="42" t="str">
        <x:v>version</x:v>
      </x:c>
      <x:c r="C1" s="42" t="str">
        <x:v>as_of_date</x:v>
      </x:c>
      <x:c r="D1" s="42" t="str">
        <x:v>source</x:v>
      </x:c>
      <x:c r="E1" s="42" t="str">
        <x:v>source_note</x:v>
      </x:c>
      <x:c r="F1" s="42" t="str">
        <x:v>archive_frequency_verified</x:v>
      </x:c>
      <x:c r="G1" s="42" t="str">
        <x:v>status_id</x:v>
      </x:c>
      <x:c r="H1" s="42" t="str">
        <x:v>status_name</x:v>
      </x:c>
      <x:c r="I1" s="42" t="str">
        <x:v>definition</x:v>
      </x:c>
      <x:c r="J1" s="42" t="str">
        <x:v>entry_conditions</x:v>
      </x:c>
      <x:c r="K1" s="42" t="str">
        <x:v>decision_rule</x:v>
      </x:c>
      <x:c r="L1" s="42" t="str">
        <x:v>required_evidence</x:v>
      </x:c>
      <x:c r="M1" s="42" t="str">
        <x:v>required_owner</x:v>
      </x:c>
      <x:c r="N1" s="42" t="str">
        <x:v>effect_on_model</x:v>
      </x:c>
      <x:c r="O1" s="42" t="str">
        <x:v>effect_on_price_or_terms</x:v>
      </x:c>
      <x:c r="P1" s="42" t="str">
        <x:v>effect_on_approval</x:v>
      </x:c>
      <x:c r="Q1" s="42" t="str">
        <x:v>permitted_transition_targets</x:v>
      </x:c>
      <x:c r="R1" s="42" t="str">
        <x:v>prohibited_usage</x:v>
      </x:c>
      <x:c r="S1" s="42" t="str">
        <x:v>monitoring_requirement</x:v>
      </x:c>
      <x:c r="T1" s="42" t="str">
        <x:v>illustrative_examples</x:v>
      </x:c>
      <x:c r="U1" s="42" t="str">
        <x:v>function_or_artifact</x:v>
      </x:c>
      <x:c r="V1" s="42" t="str">
        <x:v>primary_evidence_class</x:v>
      </x:c>
      <x:c r="W1" s="42" t="str">
        <x:v>claim_basis</x:v>
      </x:c>
      <x:c r="X1" s="42" t="str">
        <x:v>observability</x:v>
      </x:c>
      <x:c r="Y1" s="42" t="str">
        <x:v>confidence</x:v>
      </x:c>
      <x:c r="Z1" s="42" t="str">
        <x:v>confidence_reason</x:v>
      </x:c>
      <x:c r="AA1" s="42" t="str">
        <x:v>caveats</x:v>
      </x:c>
    </x:row>
    <x:row r="2">
      <x:c r="A2" s="48" t="str">
        <x:v>A_WORKSTREAM_ANATOMY</x:v>
      </x:c>
      <x:c r="B2" s="48" t="str">
        <x:v>Tier A v1.0</x:v>
      </x:c>
      <x:c r="C2" s="48" t="str">
        <x:v>2026-07-16</x:v>
      </x:c>
      <x:c r="D2" s="48" t="str">
        <x:v>DOMAIN_SYNTHESIS_FROM_DDQ_CORPUS_PLUS_FIRST_PRINCIPLES_REASONING</x:v>
      </x:c>
      <x:c r="E2" s="48" t="str">
        <x:v>Compositional synthesis; not archive-verified frequency and not a universal necessity claim.</x:v>
      </x:c>
      <x:c r="F2" s="48" t="str">
        <x:v>FALSE</x:v>
      </x:c>
      <x:c r="G2" s="48" t="str">
        <x:v>OI-01</x:v>
      </x:c>
      <x:c r="H2" s="48" t="str">
        <x:v>UNRESOLVED</x:v>
      </x:c>
      <x:c r="I2" s="48" t="str">
        <x:v>A potentially material question remains open and the available evidence is insufficient to determine its economic, legal or execution consequence.</x:v>
      </x:c>
      <x:c r="J2" s="48" t="str">
        <x:v>Issue identified; materiality plausible; evidence incomplete, contradictory or unavailable; no authorized disposition of the risk.</x:v>
      </x:c>
      <x:c r="K2" s="48" t="str">
        <x:v>Remain unresolved until the team obtains sufficient evidence to resolve, price, mitigate, condition, defer or reject the issue.</x:v>
      </x:c>
      <x:c r="L2" s="48" t="str">
        <x:v>Defined question; evidence gap; materiality hypothesis; workplan; expected decision date; dependencies.</x:v>
      </x:c>
      <x:c r="M2" s="48" t="str">
        <x:v>Named deal-team or workstream owner with escalation path.</x:v>
      </x:c>
      <x:c r="N2" s="48" t="str">
        <x:v>Use conservative placeholder, sensitivity or exclusion; do not silently adopt management case.</x:v>
      </x:c>
      <x:c r="O2" s="48" t="str">
        <x:v>Price and terms remain provisional; may create holdback, ceiling or conditional offer.</x:v>
      </x:c>
      <x:c r="P2" s="48" t="str">
        <x:v>Material unresolved items should block unconditional final approval; conditional approval is possible only with explicit parameters and owner.</x:v>
      </x:c>
      <x:c r="Q2" s="48" t="str">
        <x:v>MATERIALLY_RESOLVED; ACCEPTED_AND_PRICED; CONTRACTUALLY_MITIGATED; CLOSING_CONDITION; POST_CLOSE_ACTION; FATAL.</x:v>
      </x:c>
      <x:c r="R2" s="48" t="str">
        <x:v>Do not describe as low risk merely because no adverse evidence has yet been found. Do not omit from final materials.</x:v>
      </x:c>
      <x:c r="S2" s="48" t="str">
        <x:v>Track owner, next evidence, due date, decision body and model sensitivity.</x:v>
      </x:c>
      <x:c r="T2" s="48" t="str">
        <x:v>Customer churn not yet reconciled; license transferability unclear; disputed EBITDA add-back; financing terms not yet committed.</x:v>
      </x:c>
      <x:c r="U2" s="48" t="str">
        <x:v>DECISION_STATUS; implemented in risk register, issues list or approval conditions.</x:v>
      </x:c>
      <x:c r="V2" s="48" t="str">
        <x:v>DOMAIN_SYNTHESIS</x:v>
      </x:c>
      <x:c r="W2" s="48" t="str">
        <x:v>ANALYTIC_TAXONOMY_INFORMED_BY_EMPIRICAL_PROCESS</x:v>
      </x:c>
      <x:c r="X2" s="48" t="str">
        <x:v>HIGH_FOR_LOGIC; VARIABLE_FOR_FORMAL_LABEL</x:v>
      </x:c>
      <x:c r="Y2" s="48" t="str">
        <x:v>HIGH</x:v>
      </x:c>
      <x:c r="Z2" s="48" t="str">
        <x:v>The status follows directly from incomplete evidence and is required to prevent unknowns from being treated as resolved.</x:v>
      </x:c>
      <x:c r="AA2" s="48" t="str">
        <x:v>Unresolved does not mean adverse. It means the decision consequence is not yet known.</x:v>
      </x:c>
    </x:row>
    <x:row r="3">
      <x:c r="A3" s="48" t="str">
        <x:v>A_WORKSTREAM_ANATOMY</x:v>
      </x:c>
      <x:c r="B3" s="48" t="str">
        <x:v>Tier A v1.0</x:v>
      </x:c>
      <x:c r="C3" s="48" t="str">
        <x:v>2026-07-16</x:v>
      </x:c>
      <x:c r="D3" s="48" t="str">
        <x:v>DOMAIN_SYNTHESIS_FROM_DDQ_CORPUS_PLUS_FIRST_PRINCIPLES_REASONING</x:v>
      </x:c>
      <x:c r="E3" s="48" t="str">
        <x:v>Compositional synthesis; not archive-verified frequency and not a universal necessity claim.</x:v>
      </x:c>
      <x:c r="F3" s="48" t="str">
        <x:v>FALSE</x:v>
      </x:c>
      <x:c r="G3" s="48" t="str">
        <x:v>OI-02</x:v>
      </x:c>
      <x:c r="H3" s="48" t="str">
        <x:v>MATERIALLY_RESOLVED</x:v>
      </x:c>
      <x:c r="I3" s="48" t="str">
        <x:v>Sufficient evidence exists to determine the issue's material consequence, and no additional work is expected to change the investment decision materially.</x:v>
      </x:c>
      <x:c r="J3" s="48" t="str">
        <x:v>Relevant evidence obtained; contradictions reconciled or bounded; workstream lead and decision owner agree on the conclusion.</x:v>
      </x:c>
      <x:c r="K3" s="48" t="str">
        <x:v>Classify as materially resolved when residual uncertainty is within ordinary forecast or execution tolerance and does not require special pricing, protection or condition.</x:v>
      </x:c>
      <x:c r="L3" s="48" t="str">
        <x:v>Documented conclusion; source and version; model or term impact; residual risk; reviewer sign-off or acceptance.</x:v>
      </x:c>
      <x:c r="M3" s="48" t="str">
        <x:v>Workstream owner and deal-team decision owner.</x:v>
      </x:c>
      <x:c r="N3" s="48" t="str">
        <x:v>Incorporate the supported assumption or confirm no change.</x:v>
      </x:c>
      <x:c r="O3" s="48" t="str">
        <x:v>No special adjustment beyond the ordinary underwrite unless the resolved finding itself changes economics.</x:v>
      </x:c>
      <x:c r="P3" s="48" t="str">
        <x:v>Does not block approval; conclusion and residual risk remain visible in the synthesis.</x:v>
      </x:c>
      <x:c r="Q3" s="48" t="str">
        <x:v>May return to UNRESOLVED if new contradictory evidence arises; otherwise closes or becomes a monitored ownership assumption.</x:v>
      </x:c>
      <x:c r="R3" s="48" t="str">
        <x:v>Do not use merely because a report was delivered. Completion of an artifact does not itself resolve the proposition.</x:v>
      </x:c>
      <x:c r="S3" s="48" t="str">
        <x:v>Preserve evidence and residual-risk note; monitor only if the assumption remains performance-sensitive.</x:v>
      </x:c>
      <x:c r="T3" s="48" t="str">
        <x:v>QoE supports normalized EBITDA; customer references substantiate retention; legal review confirms required consent is obtainable in the ordinary course.</x:v>
      </x:c>
      <x:c r="U3" s="48" t="str">
        <x:v>DECISION_STATUS</x:v>
      </x:c>
      <x:c r="V3" s="48" t="str">
        <x:v>DOMAIN_SYNTHESIS</x:v>
      </x:c>
      <x:c r="W3" s="48" t="str">
        <x:v>ANALYTIC_TAXONOMY_INFORMED_BY_EMPIRICAL_PROCESS</x:v>
      </x:c>
      <x:c r="X3" s="48" t="str">
        <x:v>HIGH_FOR_LOGIC</x:v>
      </x:c>
      <x:c r="Y3" s="48" t="str">
        <x:v>HIGH</x:v>
      </x:c>
      <x:c r="Z3" s="48" t="str">
        <x:v>The state separates proposition resolution from mere document completion.</x:v>
      </x:c>
      <x:c r="AA3" s="48" t="str">
        <x:v>Materially resolved does not mean certain; it means residual uncertainty is decision-acceptable without special treatment.</x:v>
      </x:c>
    </x:row>
    <x:row r="4">
      <x:c r="A4" s="48" t="str">
        <x:v>A_WORKSTREAM_ANATOMY</x:v>
      </x:c>
      <x:c r="B4" s="48" t="str">
        <x:v>Tier A v1.0</x:v>
      </x:c>
      <x:c r="C4" s="48" t="str">
        <x:v>2026-07-16</x:v>
      </x:c>
      <x:c r="D4" s="48" t="str">
        <x:v>DOMAIN_SYNTHESIS_FROM_DDQ_CORPUS_PLUS_FIRST_PRINCIPLES_REASONING</x:v>
      </x:c>
      <x:c r="E4" s="48" t="str">
        <x:v>Compositional synthesis; not archive-verified frequency and not a universal necessity claim.</x:v>
      </x:c>
      <x:c r="F4" s="48" t="str">
        <x:v>FALSE</x:v>
      </x:c>
      <x:c r="G4" s="48" t="str">
        <x:v>OI-03</x:v>
      </x:c>
      <x:c r="H4" s="48" t="str">
        <x:v>ACCEPTED_AND_PRICED</x:v>
      </x:c>
      <x:c r="I4" s="48" t="str">
        <x:v>The risk remains real, but its expected and downside consequences are reflected explicitly in price, valuation, leverage or return requirements.</x:v>
      </x:c>
      <x:c r="J4" s="48" t="str">
        <x:v>Risk is sufficiently understood to estimate consequence; sponsor chooses economic compensation rather than elimination or contractual transfer.</x:v>
      </x:c>
      <x:c r="K4" s="48" t="str">
        <x:v>Use when the risk is quantifiable or sensitivity-bounded, the adjusted economics remain acceptable and the authorized body consciously accepts residual exposure.</x:v>
      </x:c>
      <x:c r="L4" s="48" t="str">
        <x:v>Risk description; quantified model impact or range; price or return adjustment; downside case; authorized acceptance.</x:v>
      </x:c>
      <x:c r="M4" s="48" t="str">
        <x:v>Deal-team owner and approving investment authority.</x:v>
      </x:c>
      <x:c r="N4" s="48" t="str">
        <x:v>Adjust base or downside assumptions; show return and liquidity impact; avoid retaining an unadjusted management case.</x:v>
      </x:c>
      <x:c r="O4" s="48" t="str">
        <x:v>Reduce price, change equity/debt mix, increase required return or otherwise compensate economically.</x:v>
      </x:c>
      <x:c r="P4" s="48" t="str">
        <x:v>Can proceed if acceptance is explicit and within mandate; approval record should identify the priced risk.</x:v>
      </x:c>
      <x:c r="Q4" s="48" t="str">
        <x:v>MATERIALLY_RESOLVED if later evidence removes the risk; CONTRACTUALLY_MITIGATED; POST_CLOSE_ACTION; FATAL if economics deteriorate.</x:v>
      </x:c>
      <x:c r="R4" s="48" t="str">
        <x:v>Do not claim a risk is priced without identifying where the economic adjustment appears. General conservatism is insufficient.</x:v>
      </x:c>
      <x:c r="S4" s="48" t="str">
        <x:v>Track actual outcome against priced assumption for attribution and future decisions.</x:v>
      </x:c>
      <x:c r="T4" s="48" t="str">
        <x:v>Higher churn reflected in lower revenue and price; known capex backlog included in sources and uses; customer concentration reflected in downside and required return.</x:v>
      </x:c>
      <x:c r="U4" s="48" t="str">
        <x:v>DECISION_STATUS</x:v>
      </x:c>
      <x:c r="V4" s="48" t="str">
        <x:v>DOMAIN_SYNTHESIS</x:v>
      </x:c>
      <x:c r="W4" s="48" t="str">
        <x:v>ANALYTIC_TAXONOMY_INFORMED_BY_EMPIRICAL_PROCESS</x:v>
      </x:c>
      <x:c r="X4" s="48" t="str">
        <x:v>HIGH_FOR_LOGIC; MEDIUM_FOR_FORMAL_DOCUMENTATION</x:v>
      </x:c>
      <x:c r="Y4" s="48" t="str">
        <x:v>HIGH</x:v>
      </x:c>
      <x:c r="Z4" s="48" t="str">
        <x:v>Pricing known risk is a distinct and recurrent decision treatment linking diligence to economics.</x:v>
      </x:c>
      <x:c r="AA4" s="48" t="str">
        <x:v>Some risks cannot be adequately priced because potential loss is unbounded, binary or outside mandate.</x:v>
      </x:c>
    </x:row>
    <x:row r="5">
      <x:c r="A5" s="48" t="str">
        <x:v>A_WORKSTREAM_ANATOMY</x:v>
      </x:c>
      <x:c r="B5" s="48" t="str">
        <x:v>Tier A v1.0</x:v>
      </x:c>
      <x:c r="C5" s="48" t="str">
        <x:v>2026-07-16</x:v>
      </x:c>
      <x:c r="D5" s="48" t="str">
        <x:v>DOMAIN_SYNTHESIS_FROM_DDQ_CORPUS_PLUS_FIRST_PRINCIPLES_REASONING</x:v>
      </x:c>
      <x:c r="E5" s="48" t="str">
        <x:v>Compositional synthesis; not archive-verified frequency and not a universal necessity claim.</x:v>
      </x:c>
      <x:c r="F5" s="48" t="str">
        <x:v>FALSE</x:v>
      </x:c>
      <x:c r="G5" s="48" t="str">
        <x:v>OI-04</x:v>
      </x:c>
      <x:c r="H5" s="48" t="str">
        <x:v>CONTRACTUALLY_MITIGATED</x:v>
      </x:c>
      <x:c r="I5" s="48" t="str">
        <x:v>The identified risk remains possible but is reduced, allocated or compensated through enforceable transaction terms or insurance.</x:v>
      </x:c>
      <x:c r="J5" s="48" t="str">
        <x:v>Risk identified and understood; counterparty, insurer or contractual mechanism can bear or limit part of the exposure; negotiated protection is sufficiently concrete.</x:v>
      </x:c>
      <x:c r="K5" s="48" t="str">
        <x:v>Use only when the protection is legally enforceable, sized and timed consistently with the risk and does not leave an unacknowledged residual exposure.</x:v>
      </x:c>
      <x:c r="L5" s="48" t="str">
        <x:v>Draft or agreed covenant, indemnity, escrow, holdback, warranty, price adjustment, insurance term or structural protection; legal assessment of enforceability; residual-risk estimate.</x:v>
      </x:c>
      <x:c r="M5" s="48" t="str">
        <x:v>Deal team and legal owner; tax, insurance or finance owner where relevant.</x:v>
      </x:c>
      <x:c r="N5" s="48" t="str">
        <x:v>Model residual exposure, cost of protection and timing of recovery where material.</x:v>
      </x:c>
      <x:c r="O5" s="48" t="str">
        <x:v>Protection is embedded in transaction documents, escrow, insurance or structure; price may also change.</x:v>
      </x:c>
      <x:c r="P5" s="48" t="str">
        <x:v>Can support approval within specified parameters; material erosion of protection requires escalation or reapproval.</x:v>
      </x:c>
      <x:c r="Q5" s="48" t="str">
        <x:v>MATERIALLY_RESOLVED when executed and residual risk becomes ordinary; CLOSING_CONDITION; POST_CLOSE_ACTION; FATAL if protection fails.</x:v>
      </x:c>
      <x:c r="R5" s="48" t="str">
        <x:v>Do not classify based on an unaccepted request or generic representation that does not address the specific risk.</x:v>
      </x:c>
      <x:c r="S5" s="48" t="str">
        <x:v>Confirm execution at signing/closing; calendar claims and covenant deadlines; monitor residual remediation.</x:v>
      </x:c>
      <x:c r="T5" s="48" t="str">
        <x:v>Tax indemnity; escrow for identified litigation; RWI for specified representations; working-capital mechanism; seller covenant to obtain consent.</x:v>
      </x:c>
      <x:c r="U5" s="48" t="str">
        <x:v>DECISION_STATUS</x:v>
      </x:c>
      <x:c r="V5" s="48" t="str">
        <x:v>DOMAIN_SYNTHESIS</x:v>
      </x:c>
      <x:c r="W5" s="48" t="str">
        <x:v>ANALYTIC_TAXONOMY_INFORMED_BY_EMPIRICAL_PROCESS</x:v>
      </x:c>
      <x:c r="X5" s="48" t="str">
        <x:v>HIGH_FOR_LOGIC_AND_ARTIFACT</x:v>
      </x:c>
      <x:c r="Y5" s="48" t="str">
        <x:v>HIGH</x:v>
      </x:c>
      <x:c r="Z5" s="48" t="str">
        <x:v>Contractual risk allocation is a clearly distinguishable treatment from economic pricing or factual resolution.</x:v>
      </x:c>
      <x:c r="AA5" s="48" t="str">
        <x:v>Protection quality depends on counterparty credit, caps, baskets, exclusions, duration and enforceability.</x:v>
      </x:c>
    </x:row>
    <x:row r="6">
      <x:c r="A6" s="48" t="str">
        <x:v>A_WORKSTREAM_ANATOMY</x:v>
      </x:c>
      <x:c r="B6" s="48" t="str">
        <x:v>Tier A v1.0</x:v>
      </x:c>
      <x:c r="C6" s="48" t="str">
        <x:v>2026-07-16</x:v>
      </x:c>
      <x:c r="D6" s="48" t="str">
        <x:v>DOMAIN_SYNTHESIS_FROM_DDQ_CORPUS_PLUS_FIRST_PRINCIPLES_REASONING</x:v>
      </x:c>
      <x:c r="E6" s="48" t="str">
        <x:v>Compositional synthesis; not archive-verified frequency and not a universal necessity claim.</x:v>
      </x:c>
      <x:c r="F6" s="48" t="str">
        <x:v>FALSE</x:v>
      </x:c>
      <x:c r="G6" s="48" t="str">
        <x:v>OI-05</x:v>
      </x:c>
      <x:c r="H6" s="48" t="str">
        <x:v>CLOSING_CONDITION</x:v>
      </x:c>
      <x:c r="I6" s="48" t="str">
        <x:v>The transaction may be approved or signed, but funding or closing cannot occur unless the specified evidence, consent, action or state is achieved or validly waived.</x:v>
      </x:c>
      <x:c r="J6" s="48" t="str">
        <x:v>Issue is not required to formulate the investment judgment fully, but is required for legal, financing, regulatory or risk acceptability at closing.</x:v>
      </x:c>
      <x:c r="K6" s="48" t="str">
        <x:v>Use when the risk can be bounded by a clear objective condition with an accountable party, deadline, verification method and authorized waiver standard.</x:v>
      </x:c>
      <x:c r="L6" s="48" t="str">
        <x:v>Defined condition precedent; responsible party; satisfaction evidence; long-stop date; waiver authority; consequence of failure.</x:v>
      </x:c>
      <x:c r="M6" s="48" t="str">
        <x:v>Legal or closing owner, with deal-team and authorized signatory oversight.</x:v>
      </x:c>
      <x:c r="N6" s="48" t="str">
        <x:v>Reflect closing timing, cost and probability where material; do not assume satisfaction if uncertain.</x:v>
      </x:c>
      <x:c r="O6" s="48" t="str">
        <x:v>May require termination right, reverse fee, escrow, ticking fee or other allocation of delay and failure risk.</x:v>
      </x:c>
      <x:c r="P6" s="48" t="str">
        <x:v>Conditional approval or signing can proceed; funding remains blocked until condition is satisfied or validly waived.</x:v>
      </x:c>
      <x:c r="Q6" s="48" t="str">
        <x:v>MATERIALLY_RESOLVED upon satisfaction; CONTRACTUALLY_MITIGATED; FATAL if unmet and not waivable; POST_CLOSE_ACTION only if formally converted before closing.</x:v>
      </x:c>
      <x:c r="R6" s="48" t="str">
        <x:v>Do not defer a core investment-judgment question to closing merely to preserve timetable. Conditions must be objective and monitorable.</x:v>
      </x:c>
      <x:c r="S6" s="48" t="str">
        <x:v>Closing checklist; evidence file; daily or periodic status; explicit waiver record.</x:v>
      </x:c>
      <x:c r="T6" s="48" t="str">
        <x:v>Regulatory approval; lender commitment condition; material customer consent; completion of restructuring step; KYC/AML clearance.</x:v>
      </x:c>
      <x:c r="U6" s="48" t="str">
        <x:v>DECISION_STATUS; commonly implemented through conditions precedent and closing checklist.</x:v>
      </x:c>
      <x:c r="V6" s="48" t="str">
        <x:v>DOMAIN_SYNTHESIS</x:v>
      </x:c>
      <x:c r="W6" s="48" t="str">
        <x:v>ANALYTIC_TAXONOMY_INFORMED_BY_EMPIRICAL_PROCESS</x:v>
      </x:c>
      <x:c r="X6" s="48" t="str">
        <x:v>HIGH_FOR_LOGIC_AND_ARTIFACT</x:v>
      </x:c>
      <x:c r="Y6" s="48" t="str">
        <x:v>HIGH</x:v>
      </x:c>
      <x:c r="Z6" s="48" t="str">
        <x:v>The status is a standard bridge between investment approval, signing and closing readiness.</x:v>
      </x:c>
      <x:c r="AA6" s="48" t="str">
        <x:v>A condition can protect against closing without eliminating pre-signing opportunity cost or reputational exposure.</x:v>
      </x:c>
    </x:row>
    <x:row r="7">
      <x:c r="A7" s="48" t="str">
        <x:v>A_WORKSTREAM_ANATOMY</x:v>
      </x:c>
      <x:c r="B7" s="48" t="str">
        <x:v>Tier A v1.0</x:v>
      </x:c>
      <x:c r="C7" s="48" t="str">
        <x:v>2026-07-16</x:v>
      </x:c>
      <x:c r="D7" s="48" t="str">
        <x:v>DOMAIN_SYNTHESIS_FROM_DDQ_CORPUS_PLUS_FIRST_PRINCIPLES_REASONING</x:v>
      </x:c>
      <x:c r="E7" s="48" t="str">
        <x:v>Compositional synthesis; not archive-verified frequency and not a universal necessity claim.</x:v>
      </x:c>
      <x:c r="F7" s="48" t="str">
        <x:v>FALSE</x:v>
      </x:c>
      <x:c r="G7" s="48" t="str">
        <x:v>OI-06</x:v>
      </x:c>
      <x:c r="H7" s="48" t="str">
        <x:v>POST_CLOSE_ACTION</x:v>
      </x:c>
      <x:c r="I7" s="48" t="str">
        <x:v>The issue is sufficiently understood and acceptable to close, but requires a defined remediation, implementation or monitoring action during ownership.</x:v>
      </x:c>
      <x:c r="J7" s="48" t="str">
        <x:v>Risk is non-fatal; closing without prior remediation is legally and economically acceptable; action, owner, cost and timing are sufficiently defined.</x:v>
      </x:c>
      <x:c r="K7" s="48" t="str">
        <x:v>Use when the matter can be addressed under sponsor control after closing and the cost, risk and delay are included in the underwrite and ownership plan.</x:v>
      </x:c>
      <x:c r="L7" s="48" t="str">
        <x:v>Action plan; owner; timing; budget and capex; KPI or completion test; governance escalation; model treatment.</x:v>
      </x:c>
      <x:c r="M7" s="48" t="str">
        <x:v>Management or sponsor operating owner under board oversight.</x:v>
      </x:c>
      <x:c r="N7" s="48" t="str">
        <x:v>Include implementation cost, capex, timing and risk; adjust base or downside as appropriate.</x:v>
      </x:c>
      <x:c r="O7" s="48" t="str">
        <x:v>May be priced, contractually supported or accepted without special terms if immaterial.</x:v>
      </x:c>
      <x:c r="P7" s="48" t="str">
        <x:v>Does not block closing if explicitly accepted; material actions should be included in approval and VCP.</x:v>
      </x:c>
      <x:c r="Q7" s="48" t="str">
        <x:v>MATERIALLY_RESOLVED when completed; ACCEPTED_AND_PRICED if ongoing; FATAL only if post-close evidence reveals a fundamentally different risk.</x:v>
      </x:c>
      <x:c r="R7" s="48" t="str">
        <x:v>Do not use as a dumping ground for issues that should be resolved before investment or that management lacks capacity to remediate.</x:v>
      </x:c>
      <x:c r="S7" s="48" t="str">
        <x:v>Include in V4/V5 plan, board agenda and KPI tracker until completed or reclassified.</x:v>
      </x:c>
      <x:c r="T7" s="48" t="str">
        <x:v>Upgrade reporting systems; recruit CFO; remediate cyber control; consolidate suppliers; complete non-critical permit renewal; implement working-capital discipline.</x:v>
      </x:c>
      <x:c r="U7" s="48" t="str">
        <x:v>DECISION_STATUS</x:v>
      </x:c>
      <x:c r="V7" s="48" t="str">
        <x:v>DOMAIN_SYNTHESIS</x:v>
      </x:c>
      <x:c r="W7" s="48" t="str">
        <x:v>ANALYTIC_TAXONOMY_INFORMED_BY_EMPIRICAL_PROCESS</x:v>
      </x:c>
      <x:c r="X7" s="48" t="str">
        <x:v>HIGH_FOR_LOGIC; MEDIUM_FOR_FORMAL_STATUS_LABEL</x:v>
      </x:c>
      <x:c r="Y7" s="48" t="str">
        <x:v>HIGH</x:v>
      </x:c>
      <x:c r="Z7" s="48" t="str">
        <x:v>The state separates acceptable remediable ownership work from pre-close requirements.</x:v>
      </x:c>
      <x:c r="AA7" s="48" t="str">
        <x:v>Post-close action remains an investment risk and must be costed and governed; it is not equivalent to resolution.</x:v>
      </x:c>
    </x:row>
    <x:row r="8">
      <x:c r="A8" s="48" t="str">
        <x:v>A_WORKSTREAM_ANATOMY</x:v>
      </x:c>
      <x:c r="B8" s="48" t="str">
        <x:v>Tier A v1.0</x:v>
      </x:c>
      <x:c r="C8" s="48" t="str">
        <x:v>2026-07-16</x:v>
      </x:c>
      <x:c r="D8" s="48" t="str">
        <x:v>DOMAIN_SYNTHESIS_FROM_DDQ_CORPUS_PLUS_FIRST_PRINCIPLES_REASONING</x:v>
      </x:c>
      <x:c r="E8" s="48" t="str">
        <x:v>Compositional synthesis; not archive-verified frequency and not a universal necessity claim.</x:v>
      </x:c>
      <x:c r="F8" s="48" t="str">
        <x:v>FALSE</x:v>
      </x:c>
      <x:c r="G8" s="48" t="str">
        <x:v>OI-07</x:v>
      </x:c>
      <x:c r="H8" s="48" t="str">
        <x:v>FATAL</x:v>
      </x:c>
      <x:c r="I8" s="48" t="str">
        <x:v>The issue makes the transaction legally impossible, outside mandate, economically unacceptable or dependent on a risk that cannot be sufficiently resolved, priced, mitigated or conditioned.</x:v>
      </x:c>
      <x:c r="J8" s="48" t="str">
        <x:v>Evidence establishes an unbounded, binary or mandate-breaking exposure; required consent or financing is unavailable; economics fail under reasonable assumptions; management or operational capability is irreparable within the investment case.</x:v>
      </x:c>
      <x:c r="K8" s="48" t="str">
        <x:v>Classify as fatal when no credible structure, price, condition or ownership action can bring the transaction within legal, mandate, risk and return requirements.</x:v>
      </x:c>
      <x:c r="L8" s="48" t="str">
        <x:v>Documented finding; attempted alternatives; impact on mandate, legality, economics or execution; senior decision confirmation.</x:v>
      </x:c>
      <x:c r="M8" s="48" t="str">
        <x:v>Authorized investment decision-maker, with relevant legal, compliance or workstream owner.</x:v>
      </x:c>
      <x:c r="N8" s="48" t="str">
        <x:v>Transaction case is rejected; model may preserve the failed-case analysis for record and learning.</x:v>
      </x:c>
      <x:c r="O8" s="48" t="str">
        <x:v>No acceptable price or term resolves the issue, or seller will not accept the required remedy.</x:v>
      </x:c>
      <x:c r="P8" s="48" t="str">
        <x:v>Reject, withdraw or terminate unless new evidence changes the underlying fact.</x:v>
      </x:c>
      <x:c r="Q8" s="48" t="str">
        <x:v>Return to UNRESOLVED only if the purported fact is credibly challenged; otherwise closed as rejected.</x:v>
      </x:c>
      <x:c r="R8" s="48" t="str">
        <x:v>Do not label merely because a deal is unattractive at the current seller price if a lower price would make it viable; that is a pricing issue, not necessarily fatal.</x:v>
      </x:c>
      <x:c r="S8" s="48" t="str">
        <x:v>Record cause of rejection, source evidence and whether the issue is company-specific or archetype-wide for future screening.</x:v>
      </x:c>
      <x:c r="T8" s="48" t="str">
        <x:v>Core license cannot transfer; sanctions prohibition; irreparable title defect; required financing unavailable at any sustainable leverage; returns fail without an unsupported lever; seller refuses necessary risk allocation.</x:v>
      </x:c>
      <x:c r="U8" s="48" t="str">
        <x:v>DECISION_STATUS</x:v>
      </x:c>
      <x:c r="V8" s="48" t="str">
        <x:v>DOMAIN_SYNTHESIS</x:v>
      </x:c>
      <x:c r="W8" s="48" t="str">
        <x:v>ANALYTIC_TAXONOMY_INFORMED_BY_EMPIRICAL_PROCESS</x:v>
      </x:c>
      <x:c r="X8" s="48" t="str">
        <x:v>HIGH_FOR_LOGIC; LOW_FOR_ARCHIVE_FREQUENCY_DUE_TO_SURVIVORSHIP_BIAS</x:v>
      </x:c>
      <x:c r="Y8" s="48" t="str">
        <x:v>HIGH</x:v>
      </x:c>
      <x:c r="Z8" s="48" t="str">
        <x:v>The terminal state is necessary to distinguish true deal-breaking evidence from unresolved or priced risk.</x:v>
      </x:c>
      <x:c r="AA8" s="48" t="str">
        <x:v>Completed-deal archives underrepresent fatal findings and killed transactions; no prevalence claim is made.</x:v>
      </x:c>
    </x:row>
  </x:sheetData>
  <x:pageMargins left="0.7" right="0.7" top="0.75" bottom="0.75" header="0.3" footer="0.3"/>
  <x:tableParts count="1">
    <x:tablePart xmlns:r="http://schemas.openxmlformats.org/officeDocument/2006/relationships" r:id="Rcc2a875dcc9b49a4"/>
  </x:tableParts>
</x:worksheet>
</file>

<file path=xl/worksheets/sheet6.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 min="33" max="33" width="12" hidden="0" customWidth="1"/>
    <x:col min="34" max="34" width="12" hidden="0" customWidth="1"/>
    <x:col min="35" max="35" width="12" hidden="0" customWidth="1"/>
    <x:col min="36" max="36" width="12" hidden="0" customWidth="1"/>
    <x:col min="37" max="37" width="12" hidden="0" customWidth="1"/>
    <x:col min="38" max="38" width="12" hidden="0" customWidth="1"/>
    <x:col min="39" max="39" width="12" hidden="0" customWidth="1"/>
    <x:col min="40" max="40" width="12" hidden="0" customWidth="1"/>
    <x:col min="41" max="41" width="12" hidden="0" customWidth="1"/>
    <x:col min="42" max="42" width="12" hidden="0" customWidth="1"/>
    <x:col min="43" max="43" width="12" hidden="0" customWidth="1"/>
    <x:col min="44" max="44" width="12" hidden="0" customWidth="1"/>
    <x:col min="45" max="45" width="12" hidden="0" customWidth="1"/>
  </x:cols>
  <x:sheetData>
    <x:row r="1">
      <x:c r="A1" s="42" t="str">
        <x:v>tier</x:v>
      </x:c>
      <x:c r="B1" s="42" t="str">
        <x:v>version</x:v>
      </x:c>
      <x:c r="C1" s="42" t="str">
        <x:v>as_of_date</x:v>
      </x:c>
      <x:c r="D1" s="42" t="str">
        <x:v>source_scope</x:v>
      </x:c>
      <x:c r="E1" s="42" t="str">
        <x:v>archive_frequency_verified</x:v>
      </x:c>
      <x:c r="F1" s="42" t="str">
        <x:v>feature_id</x:v>
      </x:c>
      <x:c r="G1" s="42" t="str">
        <x:v>feature_category</x:v>
      </x:c>
      <x:c r="H1" s="42" t="str">
        <x:v>process_feature</x:v>
      </x:c>
      <x:c r="I1" s="42" t="str">
        <x:v>feature_definition</x:v>
      </x:c>
      <x:c r="J1" s="42" t="str">
        <x:v>present_count</x:v>
      </x:c>
      <x:c r="K1" s="42" t="str">
        <x:v>conditional_present_count</x:v>
      </x:c>
      <x:c r="L1" s="42" t="str">
        <x:v>explicit_absent_count</x:v>
      </x:c>
      <x:c r="M1" s="42" t="str">
        <x:v>not_observable_count</x:v>
      </x:c>
      <x:c r="N1" s="42" t="str">
        <x:v>not_applicable_count</x:v>
      </x:c>
      <x:c r="O1" s="42" t="str">
        <x:v>ambiguous_count</x:v>
      </x:c>
      <x:c r="P1" s="42" t="str">
        <x:v>observable_n</x:v>
      </x:c>
      <x:c r="Q1" s="42" t="str">
        <x:v>Blackstone Capital Partners Asia III</x:v>
      </x:c>
      <x:c r="R1" s="42" t="str">
        <x:v>TPG Asia VIII</x:v>
      </x:c>
      <x:c r="S1" s="42" t="str">
        <x:v>CVC Capital Partners Asia V</x:v>
      </x:c>
      <x:c r="T1" s="42" t="str">
        <x:v>Permira VII</x:v>
      </x:c>
      <x:c r="U1" s="42" t="str">
        <x:v>BC Partners Fund XI</x:v>
      </x:c>
      <x:c r="V1" s="42" t="str">
        <x:v>Brookfield Capital Partners VII</x:v>
      </x:c>
      <x:c r="W1" s="42" t="str">
        <x:v>Providence Equity Partners IX</x:v>
      </x:c>
      <x:c r="X1" s="42" t="str">
        <x:v>Onex Partners VI</x:v>
      </x:c>
      <x:c r="Y1" s="42" t="str">
        <x:v>Partners Group Direct Equity V</x:v>
      </x:c>
      <x:c r="Z1" s="42" t="str">
        <x:v>General Atlantic Core Program</x:v>
      </x:c>
      <x:c r="AA1" s="42" t="str">
        <x:v>Kohlberg &amp; Company Fund IX</x:v>
      </x:c>
      <x:c r="AB1" s="42" t="str">
        <x:v>Charlesbank Capital Partners Fund XI</x:v>
      </x:c>
      <x:c r="AC1" s="42" t="str">
        <x:v>Gridiron Capital Fund VI</x:v>
      </x:c>
      <x:c r="AD1" s="42" t="str">
        <x:v>Warren Equity Partners Fund V</x:v>
      </x:c>
      <x:c r="AE1" s="42" t="str">
        <x:v>Sun Capital Partners VIII</x:v>
      </x:c>
      <x:c r="AF1" s="42" t="str">
        <x:v>Reverence Capital Partners PE Opportunities Fund IV</x:v>
      </x:c>
      <x:c r="AG1" s="42" t="str">
        <x:v>BayPine Capital Partners</x:v>
      </x:c>
      <x:c r="AH1" s="42" t="str">
        <x:v>Broad Sky Partners</x:v>
      </x:c>
      <x:c r="AI1" s="42" t="str">
        <x:v>Centerbridge Capital Partners IV</x:v>
      </x:c>
      <x:c r="AJ1" s="42" t="str">
        <x:v>GEF U.S. Climate Solutions Fund III</x:v>
      </x:c>
      <x:c r="AK1" s="42" t="str">
        <x:v>Gryphon Heritage Partners II</x:v>
      </x:c>
      <x:c r="AL1" s="42" t="str">
        <x:v>Perwyn</x:v>
      </x:c>
      <x:c r="AM1" s="42" t="str">
        <x:v>Viburnum Private III</x:v>
      </x:c>
      <x:c r="AN1" s="42" t="str">
        <x:v>RedBird Financial Services I</x:v>
      </x:c>
      <x:c r="AO1" s="42" t="str">
        <x:v>Silver Lake</x:v>
      </x:c>
      <x:c r="AP1" s="42" t="str">
        <x:v>Oak Hill Capital Partners</x:v>
      </x:c>
      <x:c r="AQ1" s="42" t="str">
        <x:v>Lee Equity Partners</x:v>
      </x:c>
      <x:c r="AR1" s="42" t="str">
        <x:v>Naxicap Partners</x:v>
      </x:c>
      <x:c r="AS1" s="42" t="str">
        <x:v>Manna Tree Partners</x:v>
      </x:c>
    </x:row>
    <x:row r="2">
      <x:c r="A2" s="48" t="str">
        <x:v>B_GOVERNANCE_SEGMENTATION</x:v>
      </x:c>
      <x:c r="B2" s="48" t="str">
        <x:v>Tier B v1.1 - N=29 rerun</x:v>
      </x:c>
      <x:c r="C2" s="48" t="str">
        <x:v>2026-07-16</x:v>
      </x:c>
      <x:c r="D2" s="48" t="str">
        <x:v>29_MANAGER_FAMILY_DDQ_CENSUS_LOWER_BOUND</x:v>
      </x:c>
      <x:c r="E2" s="48" t="str">
        <x:v>FALSE</x:v>
      </x:c>
      <x:c r="F2" s="48" t="str">
        <x:v>G01</x:v>
      </x:c>
      <x:c r="G2" s="48" t="str">
        <x:v>GATING_DECISION</x:v>
      </x:c>
      <x:c r="H2" s="48" t="str">
        <x:v>Formal preliminary screen before full diligence</x:v>
      </x:c>
      <x:c r="I2" s="48" t="str">
        <x:v>A documented or clearly described senior/committee screen occurs before the main diligence phase.</x:v>
      </x:c>
      <x:c r="J2" s="48" t="str">
        <x:v>29</x:v>
      </x:c>
      <x:c r="K2" s="48" t="str">
        <x:v>0</x:v>
      </x:c>
      <x:c r="L2" s="48" t="str">
        <x:v>0</x:v>
      </x:c>
      <x:c r="M2" s="48" t="str">
        <x:v>0</x:v>
      </x:c>
      <x:c r="N2" s="48" t="str">
        <x:v>0</x:v>
      </x:c>
      <x:c r="O2" s="48" t="str">
        <x:v>0</x:v>
      </x:c>
      <x:c r="P2" s="48" t="str">
        <x:v>29</x:v>
      </x:c>
      <x:c r="Q2" s="48" t="str">
        <x:v>P-SD</x:v>
      </x:c>
      <x:c r="R2" s="48" t="str">
        <x:v>P-SD</x:v>
      </x:c>
      <x:c r="S2" s="48" t="str">
        <x:v>P-SD</x:v>
      </x:c>
      <x:c r="T2" s="48" t="str">
        <x:v>P-SD</x:v>
      </x:c>
      <x:c r="U2" s="48" t="str">
        <x:v>P-SD</x:v>
      </x:c>
      <x:c r="V2" s="48" t="str">
        <x:v>P-SD</x:v>
      </x:c>
      <x:c r="W2" s="48" t="str">
        <x:v>P-SD</x:v>
      </x:c>
      <x:c r="X2" s="48" t="str">
        <x:v>P-SD</x:v>
      </x:c>
      <x:c r="Y2" s="48" t="str">
        <x:v>P-SD</x:v>
      </x:c>
      <x:c r="Z2" s="48" t="str">
        <x:v>P-SD</x:v>
      </x:c>
      <x:c r="AA2" s="48" t="str">
        <x:v>P-SD</x:v>
      </x:c>
      <x:c r="AB2" s="48" t="str">
        <x:v>P-SD</x:v>
      </x:c>
      <x:c r="AC2" s="48" t="str">
        <x:v>P-SD</x:v>
      </x:c>
      <x:c r="AD2" s="48" t="str">
        <x:v>P-SD</x:v>
      </x:c>
      <x:c r="AE2" s="48" t="str">
        <x:v>P-SD</x:v>
      </x:c>
      <x:c r="AF2" s="48" t="str">
        <x:v>P-SD</x:v>
      </x:c>
      <x:c r="AG2" s="48" t="str">
        <x:v>P-SD</x:v>
      </x:c>
      <x:c r="AH2" s="48" t="str">
        <x:v>P-SD</x:v>
      </x:c>
      <x:c r="AI2" s="48" t="str">
        <x:v>P-SD</x:v>
      </x:c>
      <x:c r="AJ2" s="48" t="str">
        <x:v>P-SD</x:v>
      </x:c>
      <x:c r="AK2" s="48" t="str">
        <x:v>P-SD</x:v>
      </x:c>
      <x:c r="AL2" s="48" t="str">
        <x:v>P-SD</x:v>
      </x:c>
      <x:c r="AM2" s="48" t="str">
        <x:v>P-SD</x:v>
      </x:c>
      <x:c r="AN2" s="48" t="str">
        <x:v>P-SD</x:v>
      </x:c>
      <x:c r="AO2" s="48" t="str">
        <x:v>P-SD</x:v>
      </x:c>
      <x:c r="AP2" s="48" t="str">
        <x:v>P-SD</x:v>
      </x:c>
      <x:c r="AQ2" s="48" t="str">
        <x:v>P-SD</x:v>
      </x:c>
      <x:c r="AR2" s="48" t="str">
        <x:v>P-SD</x:v>
      </x:c>
      <x:c r="AS2" s="48" t="str">
        <x:v>P-SD</x:v>
      </x:c>
    </x:row>
    <x:row r="3">
      <x:c r="A3" s="48" t="str">
        <x:v>B_GOVERNANCE_SEGMENTATION</x:v>
      </x:c>
      <x:c r="B3" s="48" t="str">
        <x:v>Tier B v1.1 - N=29 rerun</x:v>
      </x:c>
      <x:c r="C3" s="48" t="str">
        <x:v>2026-07-16</x:v>
      </x:c>
      <x:c r="D3" s="48" t="str">
        <x:v>29_MANAGER_FAMILY_DDQ_CENSUS_LOWER_BOUND</x:v>
      </x:c>
      <x:c r="E3" s="48" t="str">
        <x:v>FALSE</x:v>
      </x:c>
      <x:c r="F3" s="48" t="str">
        <x:v>G02</x:v>
      </x:c>
      <x:c r="G3" s="48" t="str">
        <x:v>GATING_DECISION</x:v>
      </x:c>
      <x:c r="H3" s="48" t="str">
        <x:v>Explicit permission-to-spend or resource gate</x:v>
      </x:c>
      <x:c r="I3" s="48" t="str">
        <x:v>A body explicitly authorizes material diligence resources, adviser spend or organizational effort.</x:v>
      </x:c>
      <x:c r="J3" s="48" t="str">
        <x:v>24</x:v>
      </x:c>
      <x:c r="K3" s="48" t="str">
        <x:v>6</x:v>
      </x:c>
      <x:c r="L3" s="48" t="str">
        <x:v>0</x:v>
      </x:c>
      <x:c r="M3" s="48" t="str">
        <x:v>5</x:v>
      </x:c>
      <x:c r="N3" s="48" t="str">
        <x:v>0</x:v>
      </x:c>
      <x:c r="O3" s="48" t="str">
        <x:v>0</x:v>
      </x:c>
      <x:c r="P3" s="48" t="str">
        <x:v>24</x:v>
      </x:c>
      <x:c r="Q3" s="48" t="str">
        <x:v>P-SD</x:v>
      </x:c>
      <x:c r="R3" s="48" t="str">
        <x:v>P-SD</x:v>
      </x:c>
      <x:c r="S3" s="48" t="str">
        <x:v>P-SD</x:v>
      </x:c>
      <x:c r="T3" s="48" t="str">
        <x:v>P-SD</x:v>
      </x:c>
      <x:c r="U3" s="48" t="str">
        <x:v>P-SD</x:v>
      </x:c>
      <x:c r="V3" s="48" t="str">
        <x:v>P-SD</x:v>
      </x:c>
      <x:c r="W3" s="48" t="str">
        <x:v>NO</x:v>
      </x:c>
      <x:c r="X3" s="48" t="str">
        <x:v>PC-SD</x:v>
      </x:c>
      <x:c r="Y3" s="48" t="str">
        <x:v>P-SD</x:v>
      </x:c>
      <x:c r="Z3" s="48" t="str">
        <x:v>NO</x:v>
      </x:c>
      <x:c r="AA3" s="48" t="str">
        <x:v>PC-SD</x:v>
      </x:c>
      <x:c r="AB3" s="48" t="str">
        <x:v>PC-SD</x:v>
      </x:c>
      <x:c r="AC3" s="48" t="str">
        <x:v>P-SD</x:v>
      </x:c>
      <x:c r="AD3" s="48" t="str">
        <x:v>PC-SD</x:v>
      </x:c>
      <x:c r="AE3" s="48" t="str">
        <x:v>P-SD</x:v>
      </x:c>
      <x:c r="AF3" s="48" t="str">
        <x:v>P-SD</x:v>
      </x:c>
      <x:c r="AG3" s="48" t="str">
        <x:v>P-SD</x:v>
      </x:c>
      <x:c r="AH3" s="48" t="str">
        <x:v>PC-SD</x:v>
      </x:c>
      <x:c r="AI3" s="48" t="str">
        <x:v>P-SD</x:v>
      </x:c>
      <x:c r="AJ3" s="48" t="str">
        <x:v>P-SD</x:v>
      </x:c>
      <x:c r="AK3" s="48" t="str">
        <x:v>P-SD</x:v>
      </x:c>
      <x:c r="AL3" s="48" t="str">
        <x:v>P-SD</x:v>
      </x:c>
      <x:c r="AM3" s="48" t="str">
        <x:v>P-SD</x:v>
      </x:c>
      <x:c r="AN3" s="48" t="str">
        <x:v>NO</x:v>
      </x:c>
      <x:c r="AO3" s="48" t="str">
        <x:v>NO</x:v>
      </x:c>
      <x:c r="AP3" s="48" t="str">
        <x:v>P-SD</x:v>
      </x:c>
      <x:c r="AQ3" s="48" t="str">
        <x:v>NO</x:v>
      </x:c>
      <x:c r="AR3" s="48" t="str">
        <x:v>P-SD</x:v>
      </x:c>
      <x:c r="AS3" s="48" t="str">
        <x:v>PC-SD</x:v>
      </x:c>
    </x:row>
    <x:row r="4">
      <x:c r="A4" s="48" t="str">
        <x:v>B_GOVERNANCE_SEGMENTATION</x:v>
      </x:c>
      <x:c r="B4" s="48" t="str">
        <x:v>Tier B v1.1 - N=29 rerun</x:v>
      </x:c>
      <x:c r="C4" s="48" t="str">
        <x:v>2026-07-16</x:v>
      </x:c>
      <x:c r="D4" s="48" t="str">
        <x:v>29_MANAGER_FAMILY_DDQ_CENSUS_LOWER_BOUND</x:v>
      </x:c>
      <x:c r="E4" s="48" t="str">
        <x:v>FALSE</x:v>
      </x:c>
      <x:c r="F4" s="48" t="str">
        <x:v>G03</x:v>
      </x:c>
      <x:c r="G4" s="48" t="str">
        <x:v>GATING_DECISION</x:v>
      </x:c>
      <x:c r="H4" s="48" t="str">
        <x:v>Formal IOI or NBIO authority</x:v>
      </x:c>
      <x:c r="I4" s="48" t="str">
        <x:v>A named body formally authorizes an indication or non-binding offer.</x:v>
      </x:c>
      <x:c r="J4" s="48" t="str">
        <x:v>15</x:v>
      </x:c>
      <x:c r="K4" s="48" t="str">
        <x:v>2</x:v>
      </x:c>
      <x:c r="L4" s="48" t="str">
        <x:v>0</x:v>
      </x:c>
      <x:c r="M4" s="48" t="str">
        <x:v>14</x:v>
      </x:c>
      <x:c r="N4" s="48" t="str">
        <x:v>0</x:v>
      </x:c>
      <x:c r="O4" s="48" t="str">
        <x:v>0</x:v>
      </x:c>
      <x:c r="P4" s="48" t="str">
        <x:v>15</x:v>
      </x:c>
      <x:c r="Q4" s="48" t="str">
        <x:v>NO</x:v>
      </x:c>
      <x:c r="R4" s="48" t="str">
        <x:v>P-SD</x:v>
      </x:c>
      <x:c r="S4" s="48" t="str">
        <x:v>P-SD</x:v>
      </x:c>
      <x:c r="T4" s="48" t="str">
        <x:v>PC-SD</x:v>
      </x:c>
      <x:c r="U4" s="48" t="str">
        <x:v>PC-SD</x:v>
      </x:c>
      <x:c r="V4" s="48" t="str">
        <x:v>P-SD</x:v>
      </x:c>
      <x:c r="W4" s="48" t="str">
        <x:v>NO</x:v>
      </x:c>
      <x:c r="X4" s="48" t="str">
        <x:v>NO</x:v>
      </x:c>
      <x:c r="Y4" s="48" t="str">
        <x:v>P-SD</x:v>
      </x:c>
      <x:c r="Z4" s="48" t="str">
        <x:v>NO</x:v>
      </x:c>
      <x:c r="AA4" s="48" t="str">
        <x:v>NO</x:v>
      </x:c>
      <x:c r="AB4" s="48" t="str">
        <x:v>NO</x:v>
      </x:c>
      <x:c r="AC4" s="48" t="str">
        <x:v>P-SD</x:v>
      </x:c>
      <x:c r="AD4" s="48" t="str">
        <x:v>NO</x:v>
      </x:c>
      <x:c r="AE4" s="48" t="str">
        <x:v>P-SD</x:v>
      </x:c>
      <x:c r="AF4" s="48" t="str">
        <x:v>P-SD</x:v>
      </x:c>
      <x:c r="AG4" s="48" t="str">
        <x:v>NO</x:v>
      </x:c>
      <x:c r="AH4" s="48" t="str">
        <x:v>P-SD</x:v>
      </x:c>
      <x:c r="AI4" s="48" t="str">
        <x:v>NO</x:v>
      </x:c>
      <x:c r="AJ4" s="48" t="str">
        <x:v>NO</x:v>
      </x:c>
      <x:c r="AK4" s="48" t="str">
        <x:v>P-SD</x:v>
      </x:c>
      <x:c r="AL4" s="48" t="str">
        <x:v>P-SD</x:v>
      </x:c>
      <x:c r="AM4" s="48" t="str">
        <x:v>P-SD</x:v>
      </x:c>
      <x:c r="AN4" s="48" t="str">
        <x:v>NO</x:v>
      </x:c>
      <x:c r="AO4" s="48" t="str">
        <x:v>NO</x:v>
      </x:c>
      <x:c r="AP4" s="48" t="str">
        <x:v>NO</x:v>
      </x:c>
      <x:c r="AQ4" s="48" t="str">
        <x:v>NO</x:v>
      </x:c>
      <x:c r="AR4" s="48" t="str">
        <x:v>P-SD</x:v>
      </x:c>
      <x:c r="AS4" s="48" t="str">
        <x:v>P-SD</x:v>
      </x:c>
    </x:row>
    <x:row r="5">
      <x:c r="A5" s="48" t="str">
        <x:v>B_GOVERNANCE_SEGMENTATION</x:v>
      </x:c>
      <x:c r="B5" s="48" t="str">
        <x:v>Tier B v1.1 - N=29 rerun</x:v>
      </x:c>
      <x:c r="C5" s="48" t="str">
        <x:v>2026-07-16</x:v>
      </x:c>
      <x:c r="D5" s="48" t="str">
        <x:v>29_MANAGER_FAMILY_DDQ_CENSUS_LOWER_BOUND</x:v>
      </x:c>
      <x:c r="E5" s="48" t="str">
        <x:v>FALSE</x:v>
      </x:c>
      <x:c r="F5" s="48" t="str">
        <x:v>G04</x:v>
      </x:c>
      <x:c r="G5" s="48" t="str">
        <x:v>GATING_DECISION</x:v>
      </x:c>
      <x:c r="H5" s="48" t="str">
        <x:v>Formal LOI or term-sheet authority</x:v>
      </x:c>
      <x:c r="I5" s="48" t="str">
        <x:v>A named body formally authorizes an LOI, term sheet or equivalent offer terms.</x:v>
      </x:c>
      <x:c r="J5" s="48" t="str">
        <x:v>15</x:v>
      </x:c>
      <x:c r="K5" s="48" t="str">
        <x:v>9</x:v>
      </x:c>
      <x:c r="L5" s="48" t="str">
        <x:v>0</x:v>
      </x:c>
      <x:c r="M5" s="48" t="str">
        <x:v>14</x:v>
      </x:c>
      <x:c r="N5" s="48" t="str">
        <x:v>0</x:v>
      </x:c>
      <x:c r="O5" s="48" t="str">
        <x:v>0</x:v>
      </x:c>
      <x:c r="P5" s="48" t="str">
        <x:v>15</x:v>
      </x:c>
      <x:c r="Q5" s="48" t="str">
        <x:v>NO</x:v>
      </x:c>
      <x:c r="R5" s="48" t="str">
        <x:v>PC-SD</x:v>
      </x:c>
      <x:c r="S5" s="48" t="str">
        <x:v>PC-SD</x:v>
      </x:c>
      <x:c r="T5" s="48" t="str">
        <x:v>PC-SD</x:v>
      </x:c>
      <x:c r="U5" s="48" t="str">
        <x:v>PC-SD</x:v>
      </x:c>
      <x:c r="V5" s="48" t="str">
        <x:v>NO</x:v>
      </x:c>
      <x:c r="W5" s="48" t="str">
        <x:v>NO</x:v>
      </x:c>
      <x:c r="X5" s="48" t="str">
        <x:v>NO</x:v>
      </x:c>
      <x:c r="Y5" s="48" t="str">
        <x:v>PC-SD</x:v>
      </x:c>
      <x:c r="Z5" s="48" t="str">
        <x:v>NO</x:v>
      </x:c>
      <x:c r="AA5" s="48" t="str">
        <x:v>NO</x:v>
      </x:c>
      <x:c r="AB5" s="48" t="str">
        <x:v>NO</x:v>
      </x:c>
      <x:c r="AC5" s="48" t="str">
        <x:v>P-SD</x:v>
      </x:c>
      <x:c r="AD5" s="48" t="str">
        <x:v>P-SD</x:v>
      </x:c>
      <x:c r="AE5" s="48" t="str">
        <x:v>P-SD</x:v>
      </x:c>
      <x:c r="AF5" s="48" t="str">
        <x:v>P-SD</x:v>
      </x:c>
      <x:c r="AG5" s="48" t="str">
        <x:v>NO</x:v>
      </x:c>
      <x:c r="AH5" s="48" t="str">
        <x:v>PC-SD</x:v>
      </x:c>
      <x:c r="AI5" s="48" t="str">
        <x:v>NO</x:v>
      </x:c>
      <x:c r="AJ5" s="48" t="str">
        <x:v>P-SD</x:v>
      </x:c>
      <x:c r="AK5" s="48" t="str">
        <x:v>PC-SD</x:v>
      </x:c>
      <x:c r="AL5" s="48" t="str">
        <x:v>PC-SD</x:v>
      </x:c>
      <x:c r="AM5" s="48" t="str">
        <x:v>PC-SD</x:v>
      </x:c>
      <x:c r="AN5" s="48" t="str">
        <x:v>NO</x:v>
      </x:c>
      <x:c r="AO5" s="48" t="str">
        <x:v>NO</x:v>
      </x:c>
      <x:c r="AP5" s="48" t="str">
        <x:v>NO</x:v>
      </x:c>
      <x:c r="AQ5" s="48" t="str">
        <x:v>NO</x:v>
      </x:c>
      <x:c r="AR5" s="48" t="str">
        <x:v>NO</x:v>
      </x:c>
      <x:c r="AS5" s="48" t="str">
        <x:v>P-SD</x:v>
      </x:c>
    </x:row>
    <x:row r="6">
      <x:c r="A6" s="48" t="str">
        <x:v>B_GOVERNANCE_SEGMENTATION</x:v>
      </x:c>
      <x:c r="B6" s="48" t="str">
        <x:v>Tier B v1.1 - N=29 rerun</x:v>
      </x:c>
      <x:c r="C6" s="48" t="str">
        <x:v>2026-07-16</x:v>
      </x:c>
      <x:c r="D6" s="48" t="str">
        <x:v>29_MANAGER_FAMILY_DDQ_CENSUS_LOWER_BOUND</x:v>
      </x:c>
      <x:c r="E6" s="48" t="str">
        <x:v>FALSE</x:v>
      </x:c>
      <x:c r="F6" s="48" t="str">
        <x:v>G05</x:v>
      </x:c>
      <x:c r="G6" s="48" t="str">
        <x:v>GATING_DECISION</x:v>
      </x:c>
      <x:c r="H6" s="48" t="str">
        <x:v>Interim or conditional approval stage</x:v>
      </x:c>
      <x:c r="I6" s="48" t="str">
        <x:v>A formal intermediate gate can approve continued work subject to additional evidence or conditions.</x:v>
      </x:c>
      <x:c r="J6" s="48" t="str">
        <x:v>27</x:v>
      </x:c>
      <x:c r="K6" s="48" t="str">
        <x:v>2</x:v>
      </x:c>
      <x:c r="L6" s="48" t="str">
        <x:v>2</x:v>
      </x:c>
      <x:c r="M6" s="48" t="str">
        <x:v>0</x:v>
      </x:c>
      <x:c r="N6" s="48" t="str">
        <x:v>0</x:v>
      </x:c>
      <x:c r="O6" s="48" t="str">
        <x:v>0</x:v>
      </x:c>
      <x:c r="P6" s="48" t="str">
        <x:v>29</x:v>
      </x:c>
      <x:c r="Q6" s="48" t="str">
        <x:v>P-SD</x:v>
      </x:c>
      <x:c r="R6" s="48" t="str">
        <x:v>P-SD</x:v>
      </x:c>
      <x:c r="S6" s="48" t="str">
        <x:v>P-SD</x:v>
      </x:c>
      <x:c r="T6" s="48" t="str">
        <x:v>P-SD</x:v>
      </x:c>
      <x:c r="U6" s="48" t="str">
        <x:v>P-SD</x:v>
      </x:c>
      <x:c r="V6" s="48" t="str">
        <x:v>A-SD</x:v>
      </x:c>
      <x:c r="W6" s="48" t="str">
        <x:v>P-SD</x:v>
      </x:c>
      <x:c r="X6" s="48" t="str">
        <x:v>P-SD</x:v>
      </x:c>
      <x:c r="Y6" s="48" t="str">
        <x:v>P-SD</x:v>
      </x:c>
      <x:c r="Z6" s="48" t="str">
        <x:v>PC-SD</x:v>
      </x:c>
      <x:c r="AA6" s="48" t="str">
        <x:v>P-SD</x:v>
      </x:c>
      <x:c r="AB6" s="48" t="str">
        <x:v>P-SD</x:v>
      </x:c>
      <x:c r="AC6" s="48" t="str">
        <x:v>P-SD</x:v>
      </x:c>
      <x:c r="AD6" s="48" t="str">
        <x:v>P-SD</x:v>
      </x:c>
      <x:c r="AE6" s="48" t="str">
        <x:v>P-SD</x:v>
      </x:c>
      <x:c r="AF6" s="48" t="str">
        <x:v>P-SD</x:v>
      </x:c>
      <x:c r="AG6" s="48" t="str">
        <x:v>A-SD</x:v>
      </x:c>
      <x:c r="AH6" s="48" t="str">
        <x:v>P-SD</x:v>
      </x:c>
      <x:c r="AI6" s="48" t="str">
        <x:v>P-SD</x:v>
      </x:c>
      <x:c r="AJ6" s="48" t="str">
        <x:v>P-SD</x:v>
      </x:c>
      <x:c r="AK6" s="48" t="str">
        <x:v>P-SD</x:v>
      </x:c>
      <x:c r="AL6" s="48" t="str">
        <x:v>P-SD</x:v>
      </x:c>
      <x:c r="AM6" s="48" t="str">
        <x:v>P-SD</x:v>
      </x:c>
      <x:c r="AN6" s="48" t="str">
        <x:v>PC-SD</x:v>
      </x:c>
      <x:c r="AO6" s="48" t="str">
        <x:v>P-SD</x:v>
      </x:c>
      <x:c r="AP6" s="48" t="str">
        <x:v>P-SD</x:v>
      </x:c>
      <x:c r="AQ6" s="48" t="str">
        <x:v>P-SD</x:v>
      </x:c>
      <x:c r="AR6" s="48" t="str">
        <x:v>P-SD</x:v>
      </x:c>
      <x:c r="AS6" s="48" t="str">
        <x:v>P-SD</x:v>
      </x:c>
    </x:row>
    <x:row r="7">
      <x:c r="A7" s="48" t="str">
        <x:v>B_GOVERNANCE_SEGMENTATION</x:v>
      </x:c>
      <x:c r="B7" s="48" t="str">
        <x:v>Tier B v1.1 - N=29 rerun</x:v>
      </x:c>
      <x:c r="C7" s="48" t="str">
        <x:v>2026-07-16</x:v>
      </x:c>
      <x:c r="D7" s="48" t="str">
        <x:v>29_MANAGER_FAMILY_DDQ_CENSUS_LOWER_BOUND</x:v>
      </x:c>
      <x:c r="E7" s="48" t="str">
        <x:v>FALSE</x:v>
      </x:c>
      <x:c r="F7" s="48" t="str">
        <x:v>G06</x:v>
      </x:c>
      <x:c r="G7" s="48" t="str">
        <x:v>GATING_DECISION</x:v>
      </x:c>
      <x:c r="H7" s="48" t="str">
        <x:v>Three or more formal pre-investment gates</x:v>
      </x:c>
      <x:c r="I7" s="48" t="str">
        <x:v>The described process contains at least three distinct formal decision gates before investment completion.</x:v>
      </x:c>
      <x:c r="J7" s="48" t="str">
        <x:v>26</x:v>
      </x:c>
      <x:c r="K7" s="48" t="str">
        <x:v>1</x:v>
      </x:c>
      <x:c r="L7" s="48" t="str">
        <x:v>3</x:v>
      </x:c>
      <x:c r="M7" s="48" t="str">
        <x:v>0</x:v>
      </x:c>
      <x:c r="N7" s="48" t="str">
        <x:v>0</x:v>
      </x:c>
      <x:c r="O7" s="48" t="str">
        <x:v>0</x:v>
      </x:c>
      <x:c r="P7" s="48" t="str">
        <x:v>29</x:v>
      </x:c>
      <x:c r="Q7" s="48" t="str">
        <x:v>P-SD</x:v>
      </x:c>
      <x:c r="R7" s="48" t="str">
        <x:v>P-SD</x:v>
      </x:c>
      <x:c r="S7" s="48" t="str">
        <x:v>P-SD</x:v>
      </x:c>
      <x:c r="T7" s="48" t="str">
        <x:v>P-SD</x:v>
      </x:c>
      <x:c r="U7" s="48" t="str">
        <x:v>P-SD</x:v>
      </x:c>
      <x:c r="V7" s="48" t="str">
        <x:v>A-SD</x:v>
      </x:c>
      <x:c r="W7" s="48" t="str">
        <x:v>P-SD</x:v>
      </x:c>
      <x:c r="X7" s="48" t="str">
        <x:v>P-SD</x:v>
      </x:c>
      <x:c r="Y7" s="48" t="str">
        <x:v>P-SD</x:v>
      </x:c>
      <x:c r="Z7" s="48" t="str">
        <x:v>PC-SD</x:v>
      </x:c>
      <x:c r="AA7" s="48" t="str">
        <x:v>P-SD</x:v>
      </x:c>
      <x:c r="AB7" s="48" t="str">
        <x:v>P-SD</x:v>
      </x:c>
      <x:c r="AC7" s="48" t="str">
        <x:v>P-SD</x:v>
      </x:c>
      <x:c r="AD7" s="48" t="str">
        <x:v>P-SD</x:v>
      </x:c>
      <x:c r="AE7" s="48" t="str">
        <x:v>P-SD</x:v>
      </x:c>
      <x:c r="AF7" s="48" t="str">
        <x:v>P-SD</x:v>
      </x:c>
      <x:c r="AG7" s="48" t="str">
        <x:v>A-SD</x:v>
      </x:c>
      <x:c r="AH7" s="48" t="str">
        <x:v>P-SD</x:v>
      </x:c>
      <x:c r="AI7" s="48" t="str">
        <x:v>P-SD</x:v>
      </x:c>
      <x:c r="AJ7" s="48" t="str">
        <x:v>P-SD</x:v>
      </x:c>
      <x:c r="AK7" s="48" t="str">
        <x:v>P-SD</x:v>
      </x:c>
      <x:c r="AL7" s="48" t="str">
        <x:v>P-SD</x:v>
      </x:c>
      <x:c r="AM7" s="48" t="str">
        <x:v>P-SD</x:v>
      </x:c>
      <x:c r="AN7" s="48" t="str">
        <x:v>A-SD</x:v>
      </x:c>
      <x:c r="AO7" s="48" t="str">
        <x:v>P-SD</x:v>
      </x:c>
      <x:c r="AP7" s="48" t="str">
        <x:v>P-SD</x:v>
      </x:c>
      <x:c r="AQ7" s="48" t="str">
        <x:v>P-SD</x:v>
      </x:c>
      <x:c r="AR7" s="48" t="str">
        <x:v>P-SD</x:v>
      </x:c>
      <x:c r="AS7" s="48" t="str">
        <x:v>P-SD</x:v>
      </x:c>
    </x:row>
    <x:row r="8">
      <x:c r="A8" s="48" t="str">
        <x:v>B_GOVERNANCE_SEGMENTATION</x:v>
      </x:c>
      <x:c r="B8" s="48" t="str">
        <x:v>Tier B v1.1 - N=29 rerun</x:v>
      </x:c>
      <x:c r="C8" s="48" t="str">
        <x:v>2026-07-16</x:v>
      </x:c>
      <x:c r="D8" s="48" t="str">
        <x:v>29_MANAGER_FAMILY_DDQ_CENSUS_LOWER_BOUND</x:v>
      </x:c>
      <x:c r="E8" s="48" t="str">
        <x:v>FALSE</x:v>
      </x:c>
      <x:c r="F8" s="48" t="str">
        <x:v>G07</x:v>
      </x:c>
      <x:c r="G8" s="48" t="str">
        <x:v>GATING_DECISION</x:v>
      </x:c>
      <x:c r="H8" s="48" t="str">
        <x:v>Investment Committee is final investment authority</x:v>
      </x:c>
      <x:c r="I8" s="48" t="str">
        <x:v>The IC, rather than merely recommending, is described as the final investment-decision body.</x:v>
      </x:c>
      <x:c r="J8" s="48" t="str">
        <x:v>26</x:v>
      </x:c>
      <x:c r="K8" s="48" t="str">
        <x:v>0</x:v>
      </x:c>
      <x:c r="L8" s="48" t="str">
        <x:v>3</x:v>
      </x:c>
      <x:c r="M8" s="48" t="str">
        <x:v>0</x:v>
      </x:c>
      <x:c r="N8" s="48" t="str">
        <x:v>0</x:v>
      </x:c>
      <x:c r="O8" s="48" t="str">
        <x:v>0</x:v>
      </x:c>
      <x:c r="P8" s="48" t="str">
        <x:v>29</x:v>
      </x:c>
      <x:c r="Q8" s="48" t="str">
        <x:v>P-SD</x:v>
      </x:c>
      <x:c r="R8" s="48" t="str">
        <x:v>P-SD</x:v>
      </x:c>
      <x:c r="S8" s="48" t="str">
        <x:v>A-SD</x:v>
      </x:c>
      <x:c r="T8" s="48" t="str">
        <x:v>A-SD</x:v>
      </x:c>
      <x:c r="U8" s="48" t="str">
        <x:v>P-SD</x:v>
      </x:c>
      <x:c r="V8" s="48" t="str">
        <x:v>P-SD</x:v>
      </x:c>
      <x:c r="W8" s="48" t="str">
        <x:v>P-SD</x:v>
      </x:c>
      <x:c r="X8" s="48" t="str">
        <x:v>P-SD</x:v>
      </x:c>
      <x:c r="Y8" s="48" t="str">
        <x:v>P-SD</x:v>
      </x:c>
      <x:c r="Z8" s="48" t="str">
        <x:v>P-SD</x:v>
      </x:c>
      <x:c r="AA8" s="48" t="str">
        <x:v>P-SD</x:v>
      </x:c>
      <x:c r="AB8" s="48" t="str">
        <x:v>P-SD</x:v>
      </x:c>
      <x:c r="AC8" s="48" t="str">
        <x:v>P-SD</x:v>
      </x:c>
      <x:c r="AD8" s="48" t="str">
        <x:v>P-SD</x:v>
      </x:c>
      <x:c r="AE8" s="48" t="str">
        <x:v>P-SD</x:v>
      </x:c>
      <x:c r="AF8" s="48" t="str">
        <x:v>P-SD</x:v>
      </x:c>
      <x:c r="AG8" s="48" t="str">
        <x:v>P-SD</x:v>
      </x:c>
      <x:c r="AH8" s="48" t="str">
        <x:v>P-SD</x:v>
      </x:c>
      <x:c r="AI8" s="48" t="str">
        <x:v>P-SD</x:v>
      </x:c>
      <x:c r="AJ8" s="48" t="str">
        <x:v>P-SD</x:v>
      </x:c>
      <x:c r="AK8" s="48" t="str">
        <x:v>P-SD</x:v>
      </x:c>
      <x:c r="AL8" s="48" t="str">
        <x:v>A-SD</x:v>
      </x:c>
      <x:c r="AM8" s="48" t="str">
        <x:v>P-SD</x:v>
      </x:c>
      <x:c r="AN8" s="48" t="str">
        <x:v>P-SD</x:v>
      </x:c>
      <x:c r="AO8" s="48" t="str">
        <x:v>P-SD</x:v>
      </x:c>
      <x:c r="AP8" s="48" t="str">
        <x:v>P-SD</x:v>
      </x:c>
      <x:c r="AQ8" s="48" t="str">
        <x:v>P-SD</x:v>
      </x:c>
      <x:c r="AR8" s="48" t="str">
        <x:v>P-SD</x:v>
      </x:c>
      <x:c r="AS8" s="48" t="str">
        <x:v>P-SD</x:v>
      </x:c>
    </x:row>
    <x:row r="9">
      <x:c r="A9" s="48" t="str">
        <x:v>B_GOVERNANCE_SEGMENTATION</x:v>
      </x:c>
      <x:c r="B9" s="48" t="str">
        <x:v>Tier B v1.1 - N=29 rerun</x:v>
      </x:c>
      <x:c r="C9" s="48" t="str">
        <x:v>2026-07-16</x:v>
      </x:c>
      <x:c r="D9" s="48" t="str">
        <x:v>29_MANAGER_FAMILY_DDQ_CENSUS_LOWER_BOUND</x:v>
      </x:c>
      <x:c r="E9" s="48" t="str">
        <x:v>FALSE</x:v>
      </x:c>
      <x:c r="F9" s="48" t="str">
        <x:v>G08</x:v>
      </x:c>
      <x:c r="G9" s="48" t="str">
        <x:v>GATING_DECISION</x:v>
      </x:c>
      <x:c r="H9" s="48" t="str">
        <x:v>IC recommendation followed by separate final authority</x:v>
      </x:c>
      <x:c r="I9" s="48" t="str">
        <x:v>The IC recommends and a GP, manager board, family office or other body gives final legal approval.</x:v>
      </x:c>
      <x:c r="J9" s="48" t="str">
        <x:v>3</x:v>
      </x:c>
      <x:c r="K9" s="48" t="str">
        <x:v>0</x:v>
      </x:c>
      <x:c r="L9" s="48" t="str">
        <x:v>26</x:v>
      </x:c>
      <x:c r="M9" s="48" t="str">
        <x:v>0</x:v>
      </x:c>
      <x:c r="N9" s="48" t="str">
        <x:v>0</x:v>
      </x:c>
      <x:c r="O9" s="48" t="str">
        <x:v>0</x:v>
      </x:c>
      <x:c r="P9" s="48" t="str">
        <x:v>29</x:v>
      </x:c>
      <x:c r="Q9" s="48" t="str">
        <x:v>A-SD</x:v>
      </x:c>
      <x:c r="R9" s="48" t="str">
        <x:v>A-SD</x:v>
      </x:c>
      <x:c r="S9" s="48" t="str">
        <x:v>P-SD</x:v>
      </x:c>
      <x:c r="T9" s="48" t="str">
        <x:v>P-SD</x:v>
      </x:c>
      <x:c r="U9" s="48" t="str">
        <x:v>A-SD</x:v>
      </x:c>
      <x:c r="V9" s="48" t="str">
        <x:v>A-SD</x:v>
      </x:c>
      <x:c r="W9" s="48" t="str">
        <x:v>A-SD</x:v>
      </x:c>
      <x:c r="X9" s="48" t="str">
        <x:v>A-SD</x:v>
      </x:c>
      <x:c r="Y9" s="48" t="str">
        <x:v>A-SD</x:v>
      </x:c>
      <x:c r="Z9" s="48" t="str">
        <x:v>A-SD</x:v>
      </x:c>
      <x:c r="AA9" s="48" t="str">
        <x:v>A-SD</x:v>
      </x:c>
      <x:c r="AB9" s="48" t="str">
        <x:v>A-SD</x:v>
      </x:c>
      <x:c r="AC9" s="48" t="str">
        <x:v>A-SD</x:v>
      </x:c>
      <x:c r="AD9" s="48" t="str">
        <x:v>A-SD</x:v>
      </x:c>
      <x:c r="AE9" s="48" t="str">
        <x:v>A-SD</x:v>
      </x:c>
      <x:c r="AF9" s="48" t="str">
        <x:v>A-SD</x:v>
      </x:c>
      <x:c r="AG9" s="48" t="str">
        <x:v>A-SD</x:v>
      </x:c>
      <x:c r="AH9" s="48" t="str">
        <x:v>A-SD</x:v>
      </x:c>
      <x:c r="AI9" s="48" t="str">
        <x:v>A-SD</x:v>
      </x:c>
      <x:c r="AJ9" s="48" t="str">
        <x:v>A-SD</x:v>
      </x:c>
      <x:c r="AK9" s="48" t="str">
        <x:v>A-SD</x:v>
      </x:c>
      <x:c r="AL9" s="48" t="str">
        <x:v>P-SD</x:v>
      </x:c>
      <x:c r="AM9" s="48" t="str">
        <x:v>A-SD</x:v>
      </x:c>
      <x:c r="AN9" s="48" t="str">
        <x:v>A-SD</x:v>
      </x:c>
      <x:c r="AO9" s="48" t="str">
        <x:v>A-SD</x:v>
      </x:c>
      <x:c r="AP9" s="48" t="str">
        <x:v>A-SD</x:v>
      </x:c>
      <x:c r="AQ9" s="48" t="str">
        <x:v>A-SD</x:v>
      </x:c>
      <x:c r="AR9" s="48" t="str">
        <x:v>A-SD</x:v>
      </x:c>
      <x:c r="AS9" s="48" t="str">
        <x:v>A-SD</x:v>
      </x:c>
    </x:row>
    <x:row r="10">
      <x:c r="A10" s="48" t="str">
        <x:v>B_GOVERNANCE_SEGMENTATION</x:v>
      </x:c>
      <x:c r="B10" s="48" t="str">
        <x:v>Tier B v1.1 - N=29 rerun</x:v>
      </x:c>
      <x:c r="C10" s="48" t="str">
        <x:v>2026-07-16</x:v>
      </x:c>
      <x:c r="D10" s="48" t="str">
        <x:v>29_MANAGER_FAMILY_DDQ_CENSUS_LOWER_BOUND</x:v>
      </x:c>
      <x:c r="E10" s="48" t="str">
        <x:v>FALSE</x:v>
      </x:c>
      <x:c r="F10" s="48" t="str">
        <x:v>G09</x:v>
      </x:c>
      <x:c r="G10" s="48" t="str">
        <x:v>GATING_DECISION</x:v>
      </x:c>
      <x:c r="H10" s="48" t="str">
        <x:v>Separate closing-readiness or funding control</x:v>
      </x:c>
      <x:c r="I10" s="48" t="str">
        <x:v>A distinct sign-off, checklist or control exists after investment approval and before signing, closing or funding.</x:v>
      </x:c>
      <x:c r="J10" s="48" t="str">
        <x:v>17</x:v>
      </x:c>
      <x:c r="K10" s="48" t="str">
        <x:v>1</x:v>
      </x:c>
      <x:c r="L10" s="48" t="str">
        <x:v>0</x:v>
      </x:c>
      <x:c r="M10" s="48" t="str">
        <x:v>12</x:v>
      </x:c>
      <x:c r="N10" s="48" t="str">
        <x:v>0</x:v>
      </x:c>
      <x:c r="O10" s="48" t="str">
        <x:v>0</x:v>
      </x:c>
      <x:c r="P10" s="48" t="str">
        <x:v>17</x:v>
      </x:c>
      <x:c r="Q10" s="48" t="str">
        <x:v>NO</x:v>
      </x:c>
      <x:c r="R10" s="48" t="str">
        <x:v>P-SD</x:v>
      </x:c>
      <x:c r="S10" s="48" t="str">
        <x:v>P-SD</x:v>
      </x:c>
      <x:c r="T10" s="48" t="str">
        <x:v>P-SD</x:v>
      </x:c>
      <x:c r="U10" s="48" t="str">
        <x:v>PC-SD</x:v>
      </x:c>
      <x:c r="V10" s="48" t="str">
        <x:v>P-SD</x:v>
      </x:c>
      <x:c r="W10" s="48" t="str">
        <x:v>NO</x:v>
      </x:c>
      <x:c r="X10" s="48" t="str">
        <x:v>NO</x:v>
      </x:c>
      <x:c r="Y10" s="48" t="str">
        <x:v>P-SD</x:v>
      </x:c>
      <x:c r="Z10" s="48" t="str">
        <x:v>P-SD</x:v>
      </x:c>
      <x:c r="AA10" s="48" t="str">
        <x:v>P-SD</x:v>
      </x:c>
      <x:c r="AB10" s="48" t="str">
        <x:v>NO</x:v>
      </x:c>
      <x:c r="AC10" s="48" t="str">
        <x:v>NO</x:v>
      </x:c>
      <x:c r="AD10" s="48" t="str">
        <x:v>P-SD</x:v>
      </x:c>
      <x:c r="AE10" s="48" t="str">
        <x:v>P-SD</x:v>
      </x:c>
      <x:c r="AF10" s="48" t="str">
        <x:v>P-SD</x:v>
      </x:c>
      <x:c r="AG10" s="48" t="str">
        <x:v>P-SD</x:v>
      </x:c>
      <x:c r="AH10" s="48" t="str">
        <x:v>NO</x:v>
      </x:c>
      <x:c r="AI10" s="48" t="str">
        <x:v>P-SD</x:v>
      </x:c>
      <x:c r="AJ10" s="48" t="str">
        <x:v>P-SD</x:v>
      </x:c>
      <x:c r="AK10" s="48" t="str">
        <x:v>P-SD</x:v>
      </x:c>
      <x:c r="AL10" s="48" t="str">
        <x:v>NO</x:v>
      </x:c>
      <x:c r="AM10" s="48" t="str">
        <x:v>P-SD</x:v>
      </x:c>
      <x:c r="AN10" s="48" t="str">
        <x:v>NO</x:v>
      </x:c>
      <x:c r="AO10" s="48" t="str">
        <x:v>NO</x:v>
      </x:c>
      <x:c r="AP10" s="48" t="str">
        <x:v>NO</x:v>
      </x:c>
      <x:c r="AQ10" s="48" t="str">
        <x:v>NO</x:v>
      </x:c>
      <x:c r="AR10" s="48" t="str">
        <x:v>P-SD</x:v>
      </x:c>
      <x:c r="AS10" s="48" t="str">
        <x:v>NO</x:v>
      </x:c>
    </x:row>
    <x:row r="11">
      <x:c r="A11" s="48" t="str">
        <x:v>B_GOVERNANCE_SEGMENTATION</x:v>
      </x:c>
      <x:c r="B11" s="48" t="str">
        <x:v>Tier B v1.1 - N=29 rerun</x:v>
      </x:c>
      <x:c r="C11" s="48" t="str">
        <x:v>2026-07-16</x:v>
      </x:c>
      <x:c r="D11" s="48" t="str">
        <x:v>29_MANAGER_FAMILY_DDQ_CENSUS_LOWER_BOUND</x:v>
      </x:c>
      <x:c r="E11" s="48" t="str">
        <x:v>FALSE</x:v>
      </x:c>
      <x:c r="F11" s="48" t="str">
        <x:v>G10</x:v>
      </x:c>
      <x:c r="G11" s="48" t="str">
        <x:v>GATING_DECISION</x:v>
      </x:c>
      <x:c r="H11" s="48" t="str">
        <x:v>Separate exit or disposition approval</x:v>
      </x:c>
      <x:c r="I11" s="48" t="str">
        <x:v>Exit or disposition requires a formal decision process rather than ordinary delegated portfolio management.</x:v>
      </x:c>
      <x:c r="J11" s="48" t="str">
        <x:v>22</x:v>
      </x:c>
      <x:c r="K11" s="48" t="str">
        <x:v>3</x:v>
      </x:c>
      <x:c r="L11" s="48" t="str">
        <x:v>0</x:v>
      </x:c>
      <x:c r="M11" s="48" t="str">
        <x:v>7</x:v>
      </x:c>
      <x:c r="N11" s="48" t="str">
        <x:v>0</x:v>
      </x:c>
      <x:c r="O11" s="48" t="str">
        <x:v>0</x:v>
      </x:c>
      <x:c r="P11" s="48" t="str">
        <x:v>22</x:v>
      </x:c>
      <x:c r="Q11" s="48" t="str">
        <x:v>NO</x:v>
      </x:c>
      <x:c r="R11" s="48" t="str">
        <x:v>NO</x:v>
      </x:c>
      <x:c r="S11" s="48" t="str">
        <x:v>P-SD</x:v>
      </x:c>
      <x:c r="T11" s="48" t="str">
        <x:v>P-SD</x:v>
      </x:c>
      <x:c r="U11" s="48" t="str">
        <x:v>NO</x:v>
      </x:c>
      <x:c r="V11" s="48" t="str">
        <x:v>NO</x:v>
      </x:c>
      <x:c r="W11" s="48" t="str">
        <x:v>P-SD</x:v>
      </x:c>
      <x:c r="X11" s="48" t="str">
        <x:v>P-SD</x:v>
      </x:c>
      <x:c r="Y11" s="48" t="str">
        <x:v>P-SD</x:v>
      </x:c>
      <x:c r="Z11" s="48" t="str">
        <x:v>P-SD</x:v>
      </x:c>
      <x:c r="AA11" s="48" t="str">
        <x:v>P-SD</x:v>
      </x:c>
      <x:c r="AB11" s="48" t="str">
        <x:v>NO</x:v>
      </x:c>
      <x:c r="AC11" s="48" t="str">
        <x:v>NO</x:v>
      </x:c>
      <x:c r="AD11" s="48" t="str">
        <x:v>P-SD</x:v>
      </x:c>
      <x:c r="AE11" s="48" t="str">
        <x:v>P-SD</x:v>
      </x:c>
      <x:c r="AF11" s="48" t="str">
        <x:v>P-SD</x:v>
      </x:c>
      <x:c r="AG11" s="48" t="str">
        <x:v>P-SD</x:v>
      </x:c>
      <x:c r="AH11" s="48" t="str">
        <x:v>P-SD</x:v>
      </x:c>
      <x:c r="AI11" s="48" t="str">
        <x:v>P-SD</x:v>
      </x:c>
      <x:c r="AJ11" s="48" t="str">
        <x:v>P-SD</x:v>
      </x:c>
      <x:c r="AK11" s="48" t="str">
        <x:v>P-SD</x:v>
      </x:c>
      <x:c r="AL11" s="48" t="str">
        <x:v>P-SD</x:v>
      </x:c>
      <x:c r="AM11" s="48" t="str">
        <x:v>P-SD</x:v>
      </x:c>
      <x:c r="AN11" s="48" t="str">
        <x:v>P-SD</x:v>
      </x:c>
      <x:c r="AO11" s="48" t="str">
        <x:v>PC-SD</x:v>
      </x:c>
      <x:c r="AP11" s="48" t="str">
        <x:v>P-SD</x:v>
      </x:c>
      <x:c r="AQ11" s="48" t="str">
        <x:v>NO</x:v>
      </x:c>
      <x:c r="AR11" s="48" t="str">
        <x:v>PC-SD</x:v>
      </x:c>
      <x:c r="AS11" s="48" t="str">
        <x:v>PC-SD</x:v>
      </x:c>
    </x:row>
    <x:row r="12">
      <x:c r="A12" s="48" t="str">
        <x:v>B_GOVERNANCE_SEGMENTATION</x:v>
      </x:c>
      <x:c r="B12" s="48" t="str">
        <x:v>Tier B v1.1 - N=29 rerun</x:v>
      </x:c>
      <x:c r="C12" s="48" t="str">
        <x:v>2026-07-16</x:v>
      </x:c>
      <x:c r="D12" s="48" t="str">
        <x:v>29_MANAGER_FAMILY_DDQ_CENSUS_LOWER_BOUND</x:v>
      </x:c>
      <x:c r="E12" s="48" t="str">
        <x:v>FALSE</x:v>
      </x:c>
      <x:c r="F12" s="48" t="str">
        <x:v>G11</x:v>
      </x:c>
      <x:c r="G12" s="48" t="str">
        <x:v>GATING_DECISION</x:v>
      </x:c>
      <x:c r="H12" s="48" t="str">
        <x:v>Majority or consensus voting rule</x:v>
      </x:c>
      <x:c r="I12" s="48" t="str">
        <x:v>The disclosed governing rule is majority or a consensus-based equivalent rather than formal unanimity or supermajority.</x:v>
      </x:c>
      <x:c r="J12" s="48" t="str">
        <x:v>11</x:v>
      </x:c>
      <x:c r="K12" s="48" t="str">
        <x:v>0</x:v>
      </x:c>
      <x:c r="L12" s="48" t="str">
        <x:v>11</x:v>
      </x:c>
      <x:c r="M12" s="48" t="str">
        <x:v>7</x:v>
      </x:c>
      <x:c r="N12" s="48" t="str">
        <x:v>0</x:v>
      </x:c>
      <x:c r="O12" s="48" t="str">
        <x:v>0</x:v>
      </x:c>
      <x:c r="P12" s="48" t="str">
        <x:v>22</x:v>
      </x:c>
      <x:c r="Q12" s="48" t="str">
        <x:v>NO</x:v>
      </x:c>
      <x:c r="R12" s="48" t="str">
        <x:v>A-SD</x:v>
      </x:c>
      <x:c r="S12" s="48" t="str">
        <x:v>P-SD</x:v>
      </x:c>
      <x:c r="T12" s="48" t="str">
        <x:v>A-SD</x:v>
      </x:c>
      <x:c r="U12" s="48" t="str">
        <x:v>A-SD</x:v>
      </x:c>
      <x:c r="V12" s="48" t="str">
        <x:v>A-SD</x:v>
      </x:c>
      <x:c r="W12" s="48" t="str">
        <x:v>P-SD</x:v>
      </x:c>
      <x:c r="X12" s="48" t="str">
        <x:v>A-SD</x:v>
      </x:c>
      <x:c r="Y12" s="48" t="str">
        <x:v>P-SD</x:v>
      </x:c>
      <x:c r="Z12" s="48" t="str">
        <x:v>P-SD</x:v>
      </x:c>
      <x:c r="AA12" s="48" t="str">
        <x:v>P-SD</x:v>
      </x:c>
      <x:c r="AB12" s="48" t="str">
        <x:v>P-SD</x:v>
      </x:c>
      <x:c r="AC12" s="48" t="str">
        <x:v>A-SD</x:v>
      </x:c>
      <x:c r="AD12" s="48" t="str">
        <x:v>A-SD</x:v>
      </x:c>
      <x:c r="AE12" s="48" t="str">
        <x:v>NO</x:v>
      </x:c>
      <x:c r="AF12" s="48" t="str">
        <x:v>A-SD</x:v>
      </x:c>
      <x:c r="AG12" s="48" t="str">
        <x:v>A-SD</x:v>
      </x:c>
      <x:c r="AH12" s="48" t="str">
        <x:v>NO</x:v>
      </x:c>
      <x:c r="AI12" s="48" t="str">
        <x:v>P-SD</x:v>
      </x:c>
      <x:c r="AJ12" s="48" t="str">
        <x:v>NO</x:v>
      </x:c>
      <x:c r="AK12" s="48" t="str">
        <x:v>NO</x:v>
      </x:c>
      <x:c r="AL12" s="48" t="str">
        <x:v>P-SD</x:v>
      </x:c>
      <x:c r="AM12" s="48" t="str">
        <x:v>A-SD</x:v>
      </x:c>
      <x:c r="AN12" s="48" t="str">
        <x:v>P-SD</x:v>
      </x:c>
      <x:c r="AO12" s="48" t="str">
        <x:v>NO</x:v>
      </x:c>
      <x:c r="AP12" s="48" t="str">
        <x:v>P-SD</x:v>
      </x:c>
      <x:c r="AQ12" s="48" t="str">
        <x:v>P-SD</x:v>
      </x:c>
      <x:c r="AR12" s="48" t="str">
        <x:v>NO</x:v>
      </x:c>
      <x:c r="AS12" s="48" t="str">
        <x:v>A-SD</x:v>
      </x:c>
    </x:row>
    <x:row r="13">
      <x:c r="A13" s="48" t="str">
        <x:v>B_GOVERNANCE_SEGMENTATION</x:v>
      </x:c>
      <x:c r="B13" s="48" t="str">
        <x:v>Tier B v1.1 - N=29 rerun</x:v>
      </x:c>
      <x:c r="C13" s="48" t="str">
        <x:v>2026-07-16</x:v>
      </x:c>
      <x:c r="D13" s="48" t="str">
        <x:v>29_MANAGER_FAMILY_DDQ_CENSUS_LOWER_BOUND</x:v>
      </x:c>
      <x:c r="E13" s="48" t="str">
        <x:v>FALSE</x:v>
      </x:c>
      <x:c r="F13" s="48" t="str">
        <x:v>G12</x:v>
      </x:c>
      <x:c r="G13" s="48" t="str">
        <x:v>GATING_DECISION</x:v>
      </x:c>
      <x:c r="H13" s="48" t="str">
        <x:v>Supermajority voting rule</x:v>
      </x:c>
      <x:c r="I13" s="48" t="str">
        <x:v>Formal approval requires more than a simple majority but less than unanimity.</x:v>
      </x:c>
      <x:c r="J13" s="48" t="str">
        <x:v>2</x:v>
      </x:c>
      <x:c r="K13" s="48" t="str">
        <x:v>0</x:v>
      </x:c>
      <x:c r="L13" s="48" t="str">
        <x:v>19</x:v>
      </x:c>
      <x:c r="M13" s="48" t="str">
        <x:v>8</x:v>
      </x:c>
      <x:c r="N13" s="48" t="str">
        <x:v>0</x:v>
      </x:c>
      <x:c r="O13" s="48" t="str">
        <x:v>0</x:v>
      </x:c>
      <x:c r="P13" s="48" t="str">
        <x:v>21</x:v>
      </x:c>
      <x:c r="Q13" s="48" t="str">
        <x:v>NO</x:v>
      </x:c>
      <x:c r="R13" s="48" t="str">
        <x:v>A-SD</x:v>
      </x:c>
      <x:c r="S13" s="48" t="str">
        <x:v>A-SD</x:v>
      </x:c>
      <x:c r="T13" s="48" t="str">
        <x:v>A-SD</x:v>
      </x:c>
      <x:c r="U13" s="48" t="str">
        <x:v>P-SD</x:v>
      </x:c>
      <x:c r="V13" s="48" t="str">
        <x:v>A-SD</x:v>
      </x:c>
      <x:c r="W13" s="48" t="str">
        <x:v>A-SD</x:v>
      </x:c>
      <x:c r="X13" s="48" t="str">
        <x:v>A-SD</x:v>
      </x:c>
      <x:c r="Y13" s="48" t="str">
        <x:v>NO</x:v>
      </x:c>
      <x:c r="Z13" s="48" t="str">
        <x:v>A-SD</x:v>
      </x:c>
      <x:c r="AA13" s="48" t="str">
        <x:v>A-SD</x:v>
      </x:c>
      <x:c r="AB13" s="48" t="str">
        <x:v>A-SD</x:v>
      </x:c>
      <x:c r="AC13" s="48" t="str">
        <x:v>A-SD</x:v>
      </x:c>
      <x:c r="AD13" s="48" t="str">
        <x:v>A-SD</x:v>
      </x:c>
      <x:c r="AE13" s="48" t="str">
        <x:v>NO</x:v>
      </x:c>
      <x:c r="AF13" s="48" t="str">
        <x:v>A-SD</x:v>
      </x:c>
      <x:c r="AG13" s="48" t="str">
        <x:v>P-SD</x:v>
      </x:c>
      <x:c r="AH13" s="48" t="str">
        <x:v>NO</x:v>
      </x:c>
      <x:c r="AI13" s="48" t="str">
        <x:v>A-SD</x:v>
      </x:c>
      <x:c r="AJ13" s="48" t="str">
        <x:v>NO</x:v>
      </x:c>
      <x:c r="AK13" s="48" t="str">
        <x:v>NO</x:v>
      </x:c>
      <x:c r="AL13" s="48" t="str">
        <x:v>A-SD</x:v>
      </x:c>
      <x:c r="AM13" s="48" t="str">
        <x:v>A-SD</x:v>
      </x:c>
      <x:c r="AN13" s="48" t="str">
        <x:v>A-SD</x:v>
      </x:c>
      <x:c r="AO13" s="48" t="str">
        <x:v>NO</x:v>
      </x:c>
      <x:c r="AP13" s="48" t="str">
        <x:v>A-SD</x:v>
      </x:c>
      <x:c r="AQ13" s="48" t="str">
        <x:v>A-SD</x:v>
      </x:c>
      <x:c r="AR13" s="48" t="str">
        <x:v>NO</x:v>
      </x:c>
      <x:c r="AS13" s="48" t="str">
        <x:v>A-SD</x:v>
      </x:c>
    </x:row>
    <x:row r="14">
      <x:c r="A14" s="48" t="str">
        <x:v>B_GOVERNANCE_SEGMENTATION</x:v>
      </x:c>
      <x:c r="B14" s="48" t="str">
        <x:v>Tier B v1.1 - N=29 rerun</x:v>
      </x:c>
      <x:c r="C14" s="48" t="str">
        <x:v>2026-07-16</x:v>
      </x:c>
      <x:c r="D14" s="48" t="str">
        <x:v>29_MANAGER_FAMILY_DDQ_CENSUS_LOWER_BOUND</x:v>
      </x:c>
      <x:c r="E14" s="48" t="str">
        <x:v>FALSE</x:v>
      </x:c>
      <x:c r="F14" s="48" t="str">
        <x:v>G13</x:v>
      </x:c>
      <x:c r="G14" s="48" t="str">
        <x:v>GATING_DECISION</x:v>
      </x:c>
      <x:c r="H14" s="48" t="str">
        <x:v>Unanimity or full-support voting rule</x:v>
      </x:c>
      <x:c r="I14" s="48" t="str">
        <x:v>Formal approval requires unanimity or explicitly full committee support.</x:v>
      </x:c>
      <x:c r="J14" s="48" t="str">
        <x:v>7</x:v>
      </x:c>
      <x:c r="K14" s="48" t="str">
        <x:v>1</x:v>
      </x:c>
      <x:c r="L14" s="48" t="str">
        <x:v>14</x:v>
      </x:c>
      <x:c r="M14" s="48" t="str">
        <x:v>8</x:v>
      </x:c>
      <x:c r="N14" s="48" t="str">
        <x:v>0</x:v>
      </x:c>
      <x:c r="O14" s="48" t="str">
        <x:v>0</x:v>
      </x:c>
      <x:c r="P14" s="48" t="str">
        <x:v>21</x:v>
      </x:c>
      <x:c r="Q14" s="48" t="str">
        <x:v>NO</x:v>
      </x:c>
      <x:c r="R14" s="48" t="str">
        <x:v>P-SD</x:v>
      </x:c>
      <x:c r="S14" s="48" t="str">
        <x:v>A-SD</x:v>
      </x:c>
      <x:c r="T14" s="48" t="str">
        <x:v>P-SD</x:v>
      </x:c>
      <x:c r="U14" s="48" t="str">
        <x:v>A-SD</x:v>
      </x:c>
      <x:c r="V14" s="48" t="str">
        <x:v>P-SD</x:v>
      </x:c>
      <x:c r="W14" s="48" t="str">
        <x:v>A-SD</x:v>
      </x:c>
      <x:c r="X14" s="48" t="str">
        <x:v>A-SD</x:v>
      </x:c>
      <x:c r="Y14" s="48" t="str">
        <x:v>NO</x:v>
      </x:c>
      <x:c r="Z14" s="48" t="str">
        <x:v>PC-SD</x:v>
      </x:c>
      <x:c r="AA14" s="48" t="str">
        <x:v>A-SD</x:v>
      </x:c>
      <x:c r="AB14" s="48" t="str">
        <x:v>A-SD</x:v>
      </x:c>
      <x:c r="AC14" s="48" t="str">
        <x:v>A-SD</x:v>
      </x:c>
      <x:c r="AD14" s="48" t="str">
        <x:v>A-SD</x:v>
      </x:c>
      <x:c r="AE14" s="48" t="str">
        <x:v>NO</x:v>
      </x:c>
      <x:c r="AF14" s="48" t="str">
        <x:v>P-SD</x:v>
      </x:c>
      <x:c r="AG14" s="48" t="str">
        <x:v>A-SD</x:v>
      </x:c>
      <x:c r="AH14" s="48" t="str">
        <x:v>NO</x:v>
      </x:c>
      <x:c r="AI14" s="48" t="str">
        <x:v>A-SD</x:v>
      </x:c>
      <x:c r="AJ14" s="48" t="str">
        <x:v>NO</x:v>
      </x:c>
      <x:c r="AK14" s="48" t="str">
        <x:v>NO</x:v>
      </x:c>
      <x:c r="AL14" s="48" t="str">
        <x:v>A-SD</x:v>
      </x:c>
      <x:c r="AM14" s="48" t="str">
        <x:v>P-SD</x:v>
      </x:c>
      <x:c r="AN14" s="48" t="str">
        <x:v>A-SD</x:v>
      </x:c>
      <x:c r="AO14" s="48" t="str">
        <x:v>NO</x:v>
      </x:c>
      <x:c r="AP14" s="48" t="str">
        <x:v>A-SD</x:v>
      </x:c>
      <x:c r="AQ14" s="48" t="str">
        <x:v>A-SD</x:v>
      </x:c>
      <x:c r="AR14" s="48" t="str">
        <x:v>NO</x:v>
      </x:c>
      <x:c r="AS14" s="48" t="str">
        <x:v>P-SD</x:v>
      </x:c>
    </x:row>
    <x:row r="15">
      <x:c r="A15" s="48" t="str">
        <x:v>B_GOVERNANCE_SEGMENTATION</x:v>
      </x:c>
      <x:c r="B15" s="48" t="str">
        <x:v>Tier B v1.1 - N=29 rerun</x:v>
      </x:c>
      <x:c r="C15" s="48" t="str">
        <x:v>2026-07-16</x:v>
      </x:c>
      <x:c r="D15" s="48" t="str">
        <x:v>29_MANAGER_FAMILY_DDQ_CENSUS_LOWER_BOUND</x:v>
      </x:c>
      <x:c r="E15" s="48" t="str">
        <x:v>FALSE</x:v>
      </x:c>
      <x:c r="F15" s="48" t="str">
        <x:v>G14</x:v>
      </x:c>
      <x:c r="G15" s="48" t="str">
        <x:v>GATING_DECISION</x:v>
      </x:c>
      <x:c r="H15" s="48" t="str">
        <x:v>Individual veto right</x:v>
      </x:c>
      <x:c r="I15" s="48" t="str">
        <x:v>One or more named individuals can block an investment notwithstanding the ordinary vote.</x:v>
      </x:c>
      <x:c r="J15" s="48" t="str">
        <x:v>4</x:v>
      </x:c>
      <x:c r="K15" s="48" t="str">
        <x:v>0</x:v>
      </x:c>
      <x:c r="L15" s="48" t="str">
        <x:v>17</x:v>
      </x:c>
      <x:c r="M15" s="48" t="str">
        <x:v>8</x:v>
      </x:c>
      <x:c r="N15" s="48" t="str">
        <x:v>0</x:v>
      </x:c>
      <x:c r="O15" s="48" t="str">
        <x:v>0</x:v>
      </x:c>
      <x:c r="P15" s="48" t="str">
        <x:v>21</x:v>
      </x:c>
      <x:c r="Q15" s="48" t="str">
        <x:v>NO</x:v>
      </x:c>
      <x:c r="R15" s="48" t="str">
        <x:v>A-SD</x:v>
      </x:c>
      <x:c r="S15" s="48" t="str">
        <x:v>A-SD</x:v>
      </x:c>
      <x:c r="T15" s="48" t="str">
        <x:v>A-SD</x:v>
      </x:c>
      <x:c r="U15" s="48" t="str">
        <x:v>A-SD</x:v>
      </x:c>
      <x:c r="V15" s="48" t="str">
        <x:v>A-SD</x:v>
      </x:c>
      <x:c r="W15" s="48" t="str">
        <x:v>A-SD</x:v>
      </x:c>
      <x:c r="X15" s="48" t="str">
        <x:v>A-SD</x:v>
      </x:c>
      <x:c r="Y15" s="48" t="str">
        <x:v>NO</x:v>
      </x:c>
      <x:c r="Z15" s="48" t="str">
        <x:v>A-SD</x:v>
      </x:c>
      <x:c r="AA15" s="48" t="str">
        <x:v>A-SD</x:v>
      </x:c>
      <x:c r="AB15" s="48" t="str">
        <x:v>A-SD</x:v>
      </x:c>
      <x:c r="AC15" s="48" t="str">
        <x:v>P-SD</x:v>
      </x:c>
      <x:c r="AD15" s="48" t="str">
        <x:v>P-SD</x:v>
      </x:c>
      <x:c r="AE15" s="48" t="str">
        <x:v>NO</x:v>
      </x:c>
      <x:c r="AF15" s="48" t="str">
        <x:v>A-SD</x:v>
      </x:c>
      <x:c r="AG15" s="48" t="str">
        <x:v>A-SD</x:v>
      </x:c>
      <x:c r="AH15" s="48" t="str">
        <x:v>NO</x:v>
      </x:c>
      <x:c r="AI15" s="48" t="str">
        <x:v>P-SD</x:v>
      </x:c>
      <x:c r="AJ15" s="48" t="str">
        <x:v>NO</x:v>
      </x:c>
      <x:c r="AK15" s="48" t="str">
        <x:v>NO</x:v>
      </x:c>
      <x:c r="AL15" s="48" t="str">
        <x:v>A-SD</x:v>
      </x:c>
      <x:c r="AM15" s="48" t="str">
        <x:v>A-SD</x:v>
      </x:c>
      <x:c r="AN15" s="48" t="str">
        <x:v>P-SD</x:v>
      </x:c>
      <x:c r="AO15" s="48" t="str">
        <x:v>NO</x:v>
      </x:c>
      <x:c r="AP15" s="48" t="str">
        <x:v>A-SD</x:v>
      </x:c>
      <x:c r="AQ15" s="48" t="str">
        <x:v>A-SD</x:v>
      </x:c>
      <x:c r="AR15" s="48" t="str">
        <x:v>NO</x:v>
      </x:c>
      <x:c r="AS15" s="48" t="str">
        <x:v>A-SD</x:v>
      </x:c>
    </x:row>
    <x:row r="16">
      <x:c r="A16" s="48" t="str">
        <x:v>B_GOVERNANCE_SEGMENTATION</x:v>
      </x:c>
      <x:c r="B16" s="48" t="str">
        <x:v>Tier B v1.1 - N=29 rerun</x:v>
      </x:c>
      <x:c r="C16" s="48" t="str">
        <x:v>2026-07-16</x:v>
      </x:c>
      <x:c r="D16" s="48" t="str">
        <x:v>29_MANAGER_FAMILY_DDQ_CENSUS_LOWER_BOUND</x:v>
      </x:c>
      <x:c r="E16" s="48" t="str">
        <x:v>FALSE</x:v>
      </x:c>
      <x:c r="F16" s="48" t="str">
        <x:v>G15</x:v>
      </x:c>
      <x:c r="G16" s="48" t="str">
        <x:v>GATING_DECISION</x:v>
      </x:c>
      <x:c r="H16" s="48" t="str">
        <x:v>Two-negative-vote block</x:v>
      </x:c>
      <x:c r="I16" s="48" t="str">
        <x:v>A specified two-negative-vote rule can prevent approval.</x:v>
      </x:c>
      <x:c r="J16" s="48" t="str">
        <x:v>1</x:v>
      </x:c>
      <x:c r="K16" s="48" t="str">
        <x:v>0</x:v>
      </x:c>
      <x:c r="L16" s="48" t="str">
        <x:v>20</x:v>
      </x:c>
      <x:c r="M16" s="48" t="str">
        <x:v>8</x:v>
      </x:c>
      <x:c r="N16" s="48" t="str">
        <x:v>0</x:v>
      </x:c>
      <x:c r="O16" s="48" t="str">
        <x:v>0</x:v>
      </x:c>
      <x:c r="P16" s="48" t="str">
        <x:v>21</x:v>
      </x:c>
      <x:c r="Q16" s="48" t="str">
        <x:v>NO</x:v>
      </x:c>
      <x:c r="R16" s="48" t="str">
        <x:v>A-SD</x:v>
      </x:c>
      <x:c r="S16" s="48" t="str">
        <x:v>A-SD</x:v>
      </x:c>
      <x:c r="T16" s="48" t="str">
        <x:v>A-SD</x:v>
      </x:c>
      <x:c r="U16" s="48" t="str">
        <x:v>A-SD</x:v>
      </x:c>
      <x:c r="V16" s="48" t="str">
        <x:v>A-SD</x:v>
      </x:c>
      <x:c r="W16" s="48" t="str">
        <x:v>A-SD</x:v>
      </x:c>
      <x:c r="X16" s="48" t="str">
        <x:v>P-SD</x:v>
      </x:c>
      <x:c r="Y16" s="48" t="str">
        <x:v>NO</x:v>
      </x:c>
      <x:c r="Z16" s="48" t="str">
        <x:v>A-SD</x:v>
      </x:c>
      <x:c r="AA16" s="48" t="str">
        <x:v>A-SD</x:v>
      </x:c>
      <x:c r="AB16" s="48" t="str">
        <x:v>A-SD</x:v>
      </x:c>
      <x:c r="AC16" s="48" t="str">
        <x:v>A-SD</x:v>
      </x:c>
      <x:c r="AD16" s="48" t="str">
        <x:v>A-SD</x:v>
      </x:c>
      <x:c r="AE16" s="48" t="str">
        <x:v>NO</x:v>
      </x:c>
      <x:c r="AF16" s="48" t="str">
        <x:v>A-SD</x:v>
      </x:c>
      <x:c r="AG16" s="48" t="str">
        <x:v>A-SD</x:v>
      </x:c>
      <x:c r="AH16" s="48" t="str">
        <x:v>NO</x:v>
      </x:c>
      <x:c r="AI16" s="48" t="str">
        <x:v>A-SD</x:v>
      </x:c>
      <x:c r="AJ16" s="48" t="str">
        <x:v>NO</x:v>
      </x:c>
      <x:c r="AK16" s="48" t="str">
        <x:v>NO</x:v>
      </x:c>
      <x:c r="AL16" s="48" t="str">
        <x:v>A-SD</x:v>
      </x:c>
      <x:c r="AM16" s="48" t="str">
        <x:v>A-SD</x:v>
      </x:c>
      <x:c r="AN16" s="48" t="str">
        <x:v>A-SD</x:v>
      </x:c>
      <x:c r="AO16" s="48" t="str">
        <x:v>NO</x:v>
      </x:c>
      <x:c r="AP16" s="48" t="str">
        <x:v>A-SD</x:v>
      </x:c>
      <x:c r="AQ16" s="48" t="str">
        <x:v>A-SD</x:v>
      </x:c>
      <x:c r="AR16" s="48" t="str">
        <x:v>NO</x:v>
      </x:c>
      <x:c r="AS16" s="48" t="str">
        <x:v>A-SD</x:v>
      </x:c>
    </x:row>
    <x:row r="17">
      <x:c r="A17" s="48" t="str">
        <x:v>B_GOVERNANCE_SEGMENTATION</x:v>
      </x:c>
      <x:c r="B17" s="48" t="str">
        <x:v>Tier B v1.1 - N=29 rerun</x:v>
      </x:c>
      <x:c r="C17" s="48" t="str">
        <x:v>2026-07-16</x:v>
      </x:c>
      <x:c r="D17" s="48" t="str">
        <x:v>29_MANAGER_FAMILY_DDQ_CENSUS_LOWER_BOUND</x:v>
      </x:c>
      <x:c r="E17" s="48" t="str">
        <x:v>FALSE</x:v>
      </x:c>
      <x:c r="F17" s="48" t="str">
        <x:v>G16</x:v>
      </x:c>
      <x:c r="G17" s="48" t="str">
        <x:v>GATING_DECISION</x:v>
      </x:c>
      <x:c r="H17" s="48" t="str">
        <x:v>Management presentation before final approval</x:v>
      </x:c>
      <x:c r="I17" s="48" t="str">
        <x:v>Target management normally presents directly to the final decision body before approval.</x:v>
      </x:c>
      <x:c r="J17" s="48" t="str">
        <x:v>8</x:v>
      </x:c>
      <x:c r="K17" s="48" t="str">
        <x:v>4</x:v>
      </x:c>
      <x:c r="L17" s="48" t="str">
        <x:v>0</x:v>
      </x:c>
      <x:c r="M17" s="48" t="str">
        <x:v>20</x:v>
      </x:c>
      <x:c r="N17" s="48" t="str">
        <x:v>0</x:v>
      </x:c>
      <x:c r="O17" s="48" t="str">
        <x:v>1</x:v>
      </x:c>
      <x:c r="P17" s="48" t="str">
        <x:v>8</x:v>
      </x:c>
      <x:c r="Q17" s="48" t="str">
        <x:v>NO</x:v>
      </x:c>
      <x:c r="R17" s="48" t="str">
        <x:v>NO</x:v>
      </x:c>
      <x:c r="S17" s="48" t="str">
        <x:v>NO</x:v>
      </x:c>
      <x:c r="T17" s="48" t="str">
        <x:v>NO</x:v>
      </x:c>
      <x:c r="U17" s="48" t="str">
        <x:v>NO</x:v>
      </x:c>
      <x:c r="V17" s="48" t="str">
        <x:v>NO</x:v>
      </x:c>
      <x:c r="W17" s="48" t="str">
        <x:v>AMB</x:v>
      </x:c>
      <x:c r="X17" s="48" t="str">
        <x:v>NO</x:v>
      </x:c>
      <x:c r="Y17" s="48" t="str">
        <x:v>NO</x:v>
      </x:c>
      <x:c r="Z17" s="48" t="str">
        <x:v>P-SD</x:v>
      </x:c>
      <x:c r="AA17" s="48" t="str">
        <x:v>P-SD</x:v>
      </x:c>
      <x:c r="AB17" s="48" t="str">
        <x:v>NO</x:v>
      </x:c>
      <x:c r="AC17" s="48" t="str">
        <x:v>NO</x:v>
      </x:c>
      <x:c r="AD17" s="48" t="str">
        <x:v>NO</x:v>
      </x:c>
      <x:c r="AE17" s="48" t="str">
        <x:v>NO</x:v>
      </x:c>
      <x:c r="AF17" s="48" t="str">
        <x:v>NO</x:v>
      </x:c>
      <x:c r="AG17" s="48" t="str">
        <x:v>PC-SD</x:v>
      </x:c>
      <x:c r="AH17" s="48" t="str">
        <x:v>PC-SD</x:v>
      </x:c>
      <x:c r="AI17" s="48" t="str">
        <x:v>PC-SD</x:v>
      </x:c>
      <x:c r="AJ17" s="48" t="str">
        <x:v>NO</x:v>
      </x:c>
      <x:c r="AK17" s="48" t="str">
        <x:v>PC-SD</x:v>
      </x:c>
      <x:c r="AL17" s="48" t="str">
        <x:v>NO</x:v>
      </x:c>
      <x:c r="AM17" s="48" t="str">
        <x:v>NO</x:v>
      </x:c>
      <x:c r="AN17" s="48" t="str">
        <x:v>NO</x:v>
      </x:c>
      <x:c r="AO17" s="48" t="str">
        <x:v>NO</x:v>
      </x:c>
      <x:c r="AP17" s="48" t="str">
        <x:v>P-SD</x:v>
      </x:c>
      <x:c r="AQ17" s="48" t="str">
        <x:v>NO</x:v>
      </x:c>
      <x:c r="AR17" s="48" t="str">
        <x:v>NO</x:v>
      </x:c>
      <x:c r="AS17" s="48" t="str">
        <x:v>P-SD</x:v>
      </x:c>
    </x:row>
    <x:row r="18">
      <x:c r="A18" s="48" t="str">
        <x:v>B_GOVERNANCE_SEGMENTATION</x:v>
      </x:c>
      <x:c r="B18" s="48" t="str">
        <x:v>Tier B v1.1 - N=29 rerun</x:v>
      </x:c>
      <x:c r="C18" s="48" t="str">
        <x:v>2026-07-16</x:v>
      </x:c>
      <x:c r="D18" s="48" t="str">
        <x:v>29_MANAGER_FAMILY_DDQ_CENSUS_LOWER_BOUND</x:v>
      </x:c>
      <x:c r="E18" s="48" t="str">
        <x:v>FALSE</x:v>
      </x:c>
      <x:c r="F18" s="48" t="str">
        <x:v>D01</x:v>
      </x:c>
      <x:c r="G18" s="48" t="str">
        <x:v>DILIGENCE_ORGANIZATION</x:v>
      </x:c>
      <x:c r="H18" s="48" t="str">
        <x:v>External third-party advisers used</x:v>
      </x:c>
      <x:c r="I18" s="48" t="str">
        <x:v>The process explicitly uses external financial, commercial, legal, tax, technical or other specialist advisers.</x:v>
      </x:c>
      <x:c r="J18" s="48" t="str">
        <x:v>29</x:v>
      </x:c>
      <x:c r="K18" s="48" t="str">
        <x:v>0</x:v>
      </x:c>
      <x:c r="L18" s="48" t="str">
        <x:v>0</x:v>
      </x:c>
      <x:c r="M18" s="48" t="str">
        <x:v>0</x:v>
      </x:c>
      <x:c r="N18" s="48" t="str">
        <x:v>0</x:v>
      </x:c>
      <x:c r="O18" s="48" t="str">
        <x:v>0</x:v>
      </x:c>
      <x:c r="P18" s="48" t="str">
        <x:v>29</x:v>
      </x:c>
      <x:c r="Q18" s="48" t="str">
        <x:v>P-SD</x:v>
      </x:c>
      <x:c r="R18" s="48" t="str">
        <x:v>P-SD</x:v>
      </x:c>
      <x:c r="S18" s="48" t="str">
        <x:v>P-SD</x:v>
      </x:c>
      <x:c r="T18" s="48" t="str">
        <x:v>P-SD</x:v>
      </x:c>
      <x:c r="U18" s="48" t="str">
        <x:v>P-SD</x:v>
      </x:c>
      <x:c r="V18" s="48" t="str">
        <x:v>P-SD</x:v>
      </x:c>
      <x:c r="W18" s="48" t="str">
        <x:v>P-SD</x:v>
      </x:c>
      <x:c r="X18" s="48" t="str">
        <x:v>P-SD</x:v>
      </x:c>
      <x:c r="Y18" s="48" t="str">
        <x:v>P-SD</x:v>
      </x:c>
      <x:c r="Z18" s="48" t="str">
        <x:v>P-SD</x:v>
      </x:c>
      <x:c r="AA18" s="48" t="str">
        <x:v>P-SD</x:v>
      </x:c>
      <x:c r="AB18" s="48" t="str">
        <x:v>P-SD</x:v>
      </x:c>
      <x:c r="AC18" s="48" t="str">
        <x:v>P-SD</x:v>
      </x:c>
      <x:c r="AD18" s="48" t="str">
        <x:v>P-SD</x:v>
      </x:c>
      <x:c r="AE18" s="48" t="str">
        <x:v>P-SD</x:v>
      </x:c>
      <x:c r="AF18" s="48" t="str">
        <x:v>P-SD</x:v>
      </x:c>
      <x:c r="AG18" s="48" t="str">
        <x:v>P-SD</x:v>
      </x:c>
      <x:c r="AH18" s="48" t="str">
        <x:v>P-SD</x:v>
      </x:c>
      <x:c r="AI18" s="48" t="str">
        <x:v>P-SD</x:v>
      </x:c>
      <x:c r="AJ18" s="48" t="str">
        <x:v>P-SD</x:v>
      </x:c>
      <x:c r="AK18" s="48" t="str">
        <x:v>P-SD</x:v>
      </x:c>
      <x:c r="AL18" s="48" t="str">
        <x:v>P-SD</x:v>
      </x:c>
      <x:c r="AM18" s="48" t="str">
        <x:v>P-SD</x:v>
      </x:c>
      <x:c r="AN18" s="48" t="str">
        <x:v>P-SD</x:v>
      </x:c>
      <x:c r="AO18" s="48" t="str">
        <x:v>P-SD</x:v>
      </x:c>
      <x:c r="AP18" s="48" t="str">
        <x:v>P-SD</x:v>
      </x:c>
      <x:c r="AQ18" s="48" t="str">
        <x:v>P-SD</x:v>
      </x:c>
      <x:c r="AR18" s="48" t="str">
        <x:v>P-SD</x:v>
      </x:c>
      <x:c r="AS18" s="48" t="str">
        <x:v>P-SD</x:v>
      </x:c>
    </x:row>
    <x:row r="19">
      <x:c r="A19" s="48" t="str">
        <x:v>B_GOVERNANCE_SEGMENTATION</x:v>
      </x:c>
      <x:c r="B19" s="48" t="str">
        <x:v>Tier B v1.1 - N=29 rerun</x:v>
      </x:c>
      <x:c r="C19" s="48" t="str">
        <x:v>2026-07-16</x:v>
      </x:c>
      <x:c r="D19" s="48" t="str">
        <x:v>29_MANAGER_FAMILY_DDQ_CENSUS_LOWER_BOUND</x:v>
      </x:c>
      <x:c r="E19" s="48" t="str">
        <x:v>FALSE</x:v>
      </x:c>
      <x:c r="F19" s="48" t="str">
        <x:v>D02</x:v>
      </x:c>
      <x:c r="G19" s="48" t="str">
        <x:v>DILIGENCE_ORGANIZATION</x:v>
      </x:c>
      <x:c r="H19" s="48" t="str">
        <x:v>Adviser or diligence spend formally gated</x:v>
      </x:c>
      <x:c r="I19" s="48" t="str">
        <x:v>External adviser engagements or diligence budgets require explicit approval.</x:v>
      </x:c>
      <x:c r="J19" s="48" t="str">
        <x:v>23</x:v>
      </x:c>
      <x:c r="K19" s="48" t="str">
        <x:v>5</x:v>
      </x:c>
      <x:c r="L19" s="48" t="str">
        <x:v>0</x:v>
      </x:c>
      <x:c r="M19" s="48" t="str">
        <x:v>6</x:v>
      </x:c>
      <x:c r="N19" s="48" t="str">
        <x:v>0</x:v>
      </x:c>
      <x:c r="O19" s="48" t="str">
        <x:v>0</x:v>
      </x:c>
      <x:c r="P19" s="48" t="str">
        <x:v>23</x:v>
      </x:c>
      <x:c r="Q19" s="48" t="str">
        <x:v>P-SD</x:v>
      </x:c>
      <x:c r="R19" s="48" t="str">
        <x:v>P-SD</x:v>
      </x:c>
      <x:c r="S19" s="48" t="str">
        <x:v>P-SD</x:v>
      </x:c>
      <x:c r="T19" s="48" t="str">
        <x:v>P-SD</x:v>
      </x:c>
      <x:c r="U19" s="48" t="str">
        <x:v>P-SD</x:v>
      </x:c>
      <x:c r="V19" s="48" t="str">
        <x:v>P-SD</x:v>
      </x:c>
      <x:c r="W19" s="48" t="str">
        <x:v>NO</x:v>
      </x:c>
      <x:c r="X19" s="48" t="str">
        <x:v>PC-SD</x:v>
      </x:c>
      <x:c r="Y19" s="48" t="str">
        <x:v>P-SD</x:v>
      </x:c>
      <x:c r="Z19" s="48" t="str">
        <x:v>NO</x:v>
      </x:c>
      <x:c r="AA19" s="48" t="str">
        <x:v>PC-SD</x:v>
      </x:c>
      <x:c r="AB19" s="48" t="str">
        <x:v>PC-SD</x:v>
      </x:c>
      <x:c r="AC19" s="48" t="str">
        <x:v>P-SD</x:v>
      </x:c>
      <x:c r="AD19" s="48" t="str">
        <x:v>PC-SD</x:v>
      </x:c>
      <x:c r="AE19" s="48" t="str">
        <x:v>P-SD</x:v>
      </x:c>
      <x:c r="AF19" s="48" t="str">
        <x:v>P-SD</x:v>
      </x:c>
      <x:c r="AG19" s="48" t="str">
        <x:v>P-SD</x:v>
      </x:c>
      <x:c r="AH19" s="48" t="str">
        <x:v>PC-SD</x:v>
      </x:c>
      <x:c r="AI19" s="48" t="str">
        <x:v>P-SD</x:v>
      </x:c>
      <x:c r="AJ19" s="48" t="str">
        <x:v>P-SD</x:v>
      </x:c>
      <x:c r="AK19" s="48" t="str">
        <x:v>P-SD</x:v>
      </x:c>
      <x:c r="AL19" s="48" t="str">
        <x:v>P-SD</x:v>
      </x:c>
      <x:c r="AM19" s="48" t="str">
        <x:v>P-SD</x:v>
      </x:c>
      <x:c r="AN19" s="48" t="str">
        <x:v>NO</x:v>
      </x:c>
      <x:c r="AO19" s="48" t="str">
        <x:v>NO</x:v>
      </x:c>
      <x:c r="AP19" s="48" t="str">
        <x:v>P-SD</x:v>
      </x:c>
      <x:c r="AQ19" s="48" t="str">
        <x:v>NO</x:v>
      </x:c>
      <x:c r="AR19" s="48" t="str">
        <x:v>P-SD</x:v>
      </x:c>
      <x:c r="AS19" s="48" t="str">
        <x:v>NO</x:v>
      </x:c>
    </x:row>
    <x:row r="20">
      <x:c r="A20" s="48" t="str">
        <x:v>B_GOVERNANCE_SEGMENTATION</x:v>
      </x:c>
      <x:c r="B20" s="48" t="str">
        <x:v>Tier B v1.1 - N=29 rerun</x:v>
      </x:c>
      <x:c r="C20" s="48" t="str">
        <x:v>2026-07-16</x:v>
      </x:c>
      <x:c r="D20" s="48" t="str">
        <x:v>29_MANAGER_FAMILY_DDQ_CENSUS_LOWER_BOUND</x:v>
      </x:c>
      <x:c r="E20" s="48" t="str">
        <x:v>FALSE</x:v>
      </x:c>
      <x:c r="F20" s="48" t="str">
        <x:v>D03</x:v>
      </x:c>
      <x:c r="G20" s="48" t="str">
        <x:v>DILIGENCE_ORGANIZATION</x:v>
      </x:c>
      <x:c r="H20" s="48" t="str">
        <x:v>Major external adviser work principally after exclusivity or LOI</x:v>
      </x:c>
      <x:c r="I20" s="48" t="str">
        <x:v>The main external work is intentionally deferred until an accepted offer, LOI or exclusivity.</x:v>
      </x:c>
      <x:c r="J20" s="48" t="str">
        <x:v>9</x:v>
      </x:c>
      <x:c r="K20" s="48" t="str">
        <x:v>3</x:v>
      </x:c>
      <x:c r="L20" s="48" t="str">
        <x:v>0</x:v>
      </x:c>
      <x:c r="M20" s="48" t="str">
        <x:v>20</x:v>
      </x:c>
      <x:c r="N20" s="48" t="str">
        <x:v>0</x:v>
      </x:c>
      <x:c r="O20" s="48" t="str">
        <x:v>0</x:v>
      </x:c>
      <x:c r="P20" s="48" t="str">
        <x:v>9</x:v>
      </x:c>
      <x:c r="Q20" s="48" t="str">
        <x:v>NO</x:v>
      </x:c>
      <x:c r="R20" s="48" t="str">
        <x:v>NO</x:v>
      </x:c>
      <x:c r="S20" s="48" t="str">
        <x:v>NO</x:v>
      </x:c>
      <x:c r="T20" s="48" t="str">
        <x:v>NO</x:v>
      </x:c>
      <x:c r="U20" s="48" t="str">
        <x:v>NO</x:v>
      </x:c>
      <x:c r="V20" s="48" t="str">
        <x:v>NO</x:v>
      </x:c>
      <x:c r="W20" s="48" t="str">
        <x:v>NO</x:v>
      </x:c>
      <x:c r="X20" s="48" t="str">
        <x:v>NO</x:v>
      </x:c>
      <x:c r="Y20" s="48" t="str">
        <x:v>NO</x:v>
      </x:c>
      <x:c r="Z20" s="48" t="str">
        <x:v>NO</x:v>
      </x:c>
      <x:c r="AA20" s="48" t="str">
        <x:v>P-SD</x:v>
      </x:c>
      <x:c r="AB20" s="48" t="str">
        <x:v>NO</x:v>
      </x:c>
      <x:c r="AC20" s="48" t="str">
        <x:v>PC-SD</x:v>
      </x:c>
      <x:c r="AD20" s="48" t="str">
        <x:v>P-SD</x:v>
      </x:c>
      <x:c r="AE20" s="48" t="str">
        <x:v>P-SD</x:v>
      </x:c>
      <x:c r="AF20" s="48" t="str">
        <x:v>P-SD</x:v>
      </x:c>
      <x:c r="AG20" s="48" t="str">
        <x:v>NO</x:v>
      </x:c>
      <x:c r="AH20" s="48" t="str">
        <x:v>NO</x:v>
      </x:c>
      <x:c r="AI20" s="48" t="str">
        <x:v>NO</x:v>
      </x:c>
      <x:c r="AJ20" s="48" t="str">
        <x:v>NO</x:v>
      </x:c>
      <x:c r="AK20" s="48" t="str">
        <x:v>PC-SD</x:v>
      </x:c>
      <x:c r="AL20" s="48" t="str">
        <x:v>PC-SD</x:v>
      </x:c>
      <x:c r="AM20" s="48" t="str">
        <x:v>P-SD</x:v>
      </x:c>
      <x:c r="AN20" s="48" t="str">
        <x:v>NO</x:v>
      </x:c>
      <x:c r="AO20" s="48" t="str">
        <x:v>NO</x:v>
      </x:c>
      <x:c r="AP20" s="48" t="str">
        <x:v>NO</x:v>
      </x:c>
      <x:c r="AQ20" s="48" t="str">
        <x:v>NO</x:v>
      </x:c>
      <x:c r="AR20" s="48" t="str">
        <x:v>NO</x:v>
      </x:c>
      <x:c r="AS20" s="48" t="str">
        <x:v>P-SD</x:v>
      </x:c>
    </x:row>
    <x:row r="21">
      <x:c r="A21" s="48" t="str">
        <x:v>B_GOVERNANCE_SEGMENTATION</x:v>
      </x:c>
      <x:c r="B21" s="48" t="str">
        <x:v>Tier B v1.1 - N=29 rerun</x:v>
      </x:c>
      <x:c r="C21" s="48" t="str">
        <x:v>2026-07-16</x:v>
      </x:c>
      <x:c r="D21" s="48" t="str">
        <x:v>29_MANAGER_FAMILY_DDQ_CENSUS_LOWER_BOUND</x:v>
      </x:c>
      <x:c r="E21" s="48" t="str">
        <x:v>FALSE</x:v>
      </x:c>
      <x:c r="F21" s="48" t="str">
        <x:v>D04</x:v>
      </x:c>
      <x:c r="G21" s="48" t="str">
        <x:v>DILIGENCE_ORGANIZATION</x:v>
      </x:c>
      <x:c r="H21" s="48" t="str">
        <x:v>Dedicated internal operating team or resources</x:v>
      </x:c>
      <x:c r="I21" s="48" t="str">
        <x:v>The manager has a dedicated internal operating, portfolio-resource or value-creation team supporting investments.</x:v>
      </x:c>
      <x:c r="J21" s="48" t="str">
        <x:v>23</x:v>
      </x:c>
      <x:c r="K21" s="48" t="str">
        <x:v>0</x:v>
      </x:c>
      <x:c r="L21" s="48" t="str">
        <x:v>5</x:v>
      </x:c>
      <x:c r="M21" s="48" t="str">
        <x:v>0</x:v>
      </x:c>
      <x:c r="N21" s="48" t="str">
        <x:v>0</x:v>
      </x:c>
      <x:c r="O21" s="48" t="str">
        <x:v>1</x:v>
      </x:c>
      <x:c r="P21" s="48" t="str">
        <x:v>28</x:v>
      </x:c>
      <x:c r="Q21" s="48" t="str">
        <x:v>P-SD</x:v>
      </x:c>
      <x:c r="R21" s="48" t="str">
        <x:v>P-SD</x:v>
      </x:c>
      <x:c r="S21" s="48" t="str">
        <x:v>P-SD</x:v>
      </x:c>
      <x:c r="T21" s="48" t="str">
        <x:v>P-SD</x:v>
      </x:c>
      <x:c r="U21" s="48" t="str">
        <x:v>P-SD</x:v>
      </x:c>
      <x:c r="V21" s="48" t="str">
        <x:v>P-SD</x:v>
      </x:c>
      <x:c r="W21" s="48" t="str">
        <x:v>P-SD</x:v>
      </x:c>
      <x:c r="X21" s="48" t="str">
        <x:v>P-SD</x:v>
      </x:c>
      <x:c r="Y21" s="48" t="str">
        <x:v>P-SD</x:v>
      </x:c>
      <x:c r="Z21" s="48" t="str">
        <x:v>P-SD</x:v>
      </x:c>
      <x:c r="AA21" s="48" t="str">
        <x:v>P-SD</x:v>
      </x:c>
      <x:c r="AB21" s="48" t="str">
        <x:v>P-SD</x:v>
      </x:c>
      <x:c r="AC21" s="48" t="str">
        <x:v>P-SD</x:v>
      </x:c>
      <x:c r="AD21" s="48" t="str">
        <x:v>P-SD</x:v>
      </x:c>
      <x:c r="AE21" s="48" t="str">
        <x:v>P-SD</x:v>
      </x:c>
      <x:c r="AF21" s="48" t="str">
        <x:v>P-SD</x:v>
      </x:c>
      <x:c r="AG21" s="48" t="str">
        <x:v>P-SD</x:v>
      </x:c>
      <x:c r="AH21" s="48" t="str">
        <x:v>P-SD</x:v>
      </x:c>
      <x:c r="AI21" s="48" t="str">
        <x:v>P-SD</x:v>
      </x:c>
      <x:c r="AJ21" s="48" t="str">
        <x:v>P-SD</x:v>
      </x:c>
      <x:c r="AK21" s="48" t="str">
        <x:v>P-SD</x:v>
      </x:c>
      <x:c r="AL21" s="48" t="str">
        <x:v>AMB</x:v>
      </x:c>
      <x:c r="AM21" s="48" t="str">
        <x:v>A-SD</x:v>
      </x:c>
      <x:c r="AN21" s="48" t="str">
        <x:v>A-SD</x:v>
      </x:c>
      <x:c r="AO21" s="48" t="str">
        <x:v>P-SD</x:v>
      </x:c>
      <x:c r="AP21" s="48" t="str">
        <x:v>P-SD</x:v>
      </x:c>
      <x:c r="AQ21" s="48" t="str">
        <x:v>A-SD</x:v>
      </x:c>
      <x:c r="AR21" s="48" t="str">
        <x:v>A-SD</x:v>
      </x:c>
      <x:c r="AS21" s="48" t="str">
        <x:v>A-SD</x:v>
      </x:c>
    </x:row>
    <x:row r="22">
      <x:c r="A22" s="48" t="str">
        <x:v>B_GOVERNANCE_SEGMENTATION</x:v>
      </x:c>
      <x:c r="B22" s="48" t="str">
        <x:v>Tier B v1.1 - N=29 rerun</x:v>
      </x:c>
      <x:c r="C22" s="48" t="str">
        <x:v>2026-07-16</x:v>
      </x:c>
      <x:c r="D22" s="48" t="str">
        <x:v>29_MANAGER_FAMILY_DDQ_CENSUS_LOWER_BOUND</x:v>
      </x:c>
      <x:c r="E22" s="48" t="str">
        <x:v>FALSE</x:v>
      </x:c>
      <x:c r="F22" s="48" t="str">
        <x:v>D05</x:v>
      </x:c>
      <x:c r="G22" s="48" t="str">
        <x:v>DILIGENCE_ORGANIZATION</x:v>
      </x:c>
      <x:c r="H22" s="48" t="str">
        <x:v>Operating team enters at screen or pre-offer stage</x:v>
      </x:c>
      <x:c r="I22" s="48" t="str">
        <x:v>Internal operating resources participate before or during the initial offer stage, not only after conviction.</x:v>
      </x:c>
      <x:c r="J22" s="48" t="str">
        <x:v>22</x:v>
      </x:c>
      <x:c r="K22" s="48" t="str">
        <x:v>7</x:v>
      </x:c>
      <x:c r="L22" s="48" t="str">
        <x:v>5</x:v>
      </x:c>
      <x:c r="M22" s="48" t="str">
        <x:v>2</x:v>
      </x:c>
      <x:c r="N22" s="48" t="str">
        <x:v>0</x:v>
      </x:c>
      <x:c r="O22" s="48" t="str">
        <x:v>0</x:v>
      </x:c>
      <x:c r="P22" s="48" t="str">
        <x:v>27</x:v>
      </x:c>
      <x:c r="Q22" s="48" t="str">
        <x:v>P-SD</x:v>
      </x:c>
      <x:c r="R22" s="48" t="str">
        <x:v>P-SD</x:v>
      </x:c>
      <x:c r="S22" s="48" t="str">
        <x:v>P-SD</x:v>
      </x:c>
      <x:c r="T22" s="48" t="str">
        <x:v>P-SD</x:v>
      </x:c>
      <x:c r="U22" s="48" t="str">
        <x:v>P-SD</x:v>
      </x:c>
      <x:c r="V22" s="48" t="str">
        <x:v>P-SD</x:v>
      </x:c>
      <x:c r="W22" s="48" t="str">
        <x:v>PC-SD</x:v>
      </x:c>
      <x:c r="X22" s="48" t="str">
        <x:v>P-SD</x:v>
      </x:c>
      <x:c r="Y22" s="48" t="str">
        <x:v>P-SD</x:v>
      </x:c>
      <x:c r="Z22" s="48" t="str">
        <x:v>P-SD</x:v>
      </x:c>
      <x:c r="AA22" s="48" t="str">
        <x:v>P-SD</x:v>
      </x:c>
      <x:c r="AB22" s="48" t="str">
        <x:v>PC-SD</x:v>
      </x:c>
      <x:c r="AC22" s="48" t="str">
        <x:v>P-SD</x:v>
      </x:c>
      <x:c r="AD22" s="48" t="str">
        <x:v>NO</x:v>
      </x:c>
      <x:c r="AE22" s="48" t="str">
        <x:v>P-SD</x:v>
      </x:c>
      <x:c r="AF22" s="48" t="str">
        <x:v>PC-SD</x:v>
      </x:c>
      <x:c r="AG22" s="48" t="str">
        <x:v>PC-SD</x:v>
      </x:c>
      <x:c r="AH22" s="48" t="str">
        <x:v>P-SD</x:v>
      </x:c>
      <x:c r="AI22" s="48" t="str">
        <x:v>P-SD</x:v>
      </x:c>
      <x:c r="AJ22" s="48" t="str">
        <x:v>PC-SD</x:v>
      </x:c>
      <x:c r="AK22" s="48" t="str">
        <x:v>P-SD</x:v>
      </x:c>
      <x:c r="AL22" s="48" t="str">
        <x:v>NO</x:v>
      </x:c>
      <x:c r="AM22" s="48" t="str">
        <x:v>A-SD</x:v>
      </x:c>
      <x:c r="AN22" s="48" t="str">
        <x:v>A-SD</x:v>
      </x:c>
      <x:c r="AO22" s="48" t="str">
        <x:v>PC-SD</x:v>
      </x:c>
      <x:c r="AP22" s="48" t="str">
        <x:v>PC-SD</x:v>
      </x:c>
      <x:c r="AQ22" s="48" t="str">
        <x:v>A-SD</x:v>
      </x:c>
      <x:c r="AR22" s="48" t="str">
        <x:v>A-SD</x:v>
      </x:c>
      <x:c r="AS22" s="48" t="str">
        <x:v>A-SD</x:v>
      </x:c>
    </x:row>
    <x:row r="23">
      <x:c r="A23" s="48" t="str">
        <x:v>B_GOVERNANCE_SEGMENTATION</x:v>
      </x:c>
      <x:c r="B23" s="48" t="str">
        <x:v>Tier B v1.1 - N=29 rerun</x:v>
      </x:c>
      <x:c r="C23" s="48" t="str">
        <x:v>2026-07-16</x:v>
      </x:c>
      <x:c r="D23" s="48" t="str">
        <x:v>29_MANAGER_FAMILY_DDQ_CENSUS_LOWER_BOUND</x:v>
      </x:c>
      <x:c r="E23" s="48" t="str">
        <x:v>FALSE</x:v>
      </x:c>
      <x:c r="F23" s="48" t="str">
        <x:v>D06</x:v>
      </x:c>
      <x:c r="G23" s="48" t="str">
        <x:v>DILIGENCE_ORGANIZATION</x:v>
      </x:c>
      <x:c r="H23" s="48" t="str">
        <x:v>Independent risk or challenge function</x:v>
      </x:c>
      <x:c r="I23" s="48" t="str">
        <x:v>A reviewer, team or committee distinct from the core deal team independently challenges risk or assumptions.</x:v>
      </x:c>
      <x:c r="J23" s="48" t="str">
        <x:v>8</x:v>
      </x:c>
      <x:c r="K23" s="48" t="str">
        <x:v>1</x:v>
      </x:c>
      <x:c r="L23" s="48" t="str">
        <x:v>0</x:v>
      </x:c>
      <x:c r="M23" s="48" t="str">
        <x:v>21</x:v>
      </x:c>
      <x:c r="N23" s="48" t="str">
        <x:v>0</x:v>
      </x:c>
      <x:c r="O23" s="48" t="str">
        <x:v>0</x:v>
      </x:c>
      <x:c r="P23" s="48" t="str">
        <x:v>8</x:v>
      </x:c>
      <x:c r="Q23" s="48" t="str">
        <x:v>P-SD</x:v>
      </x:c>
      <x:c r="R23" s="48" t="str">
        <x:v>P-SD</x:v>
      </x:c>
      <x:c r="S23" s="48" t="str">
        <x:v>P-SD</x:v>
      </x:c>
      <x:c r="T23" s="48" t="str">
        <x:v>NO</x:v>
      </x:c>
      <x:c r="U23" s="48" t="str">
        <x:v>NO</x:v>
      </x:c>
      <x:c r="V23" s="48" t="str">
        <x:v>NO</x:v>
      </x:c>
      <x:c r="W23" s="48" t="str">
        <x:v>NO</x:v>
      </x:c>
      <x:c r="X23" s="48" t="str">
        <x:v>NO</x:v>
      </x:c>
      <x:c r="Y23" s="48" t="str">
        <x:v>P-SD</x:v>
      </x:c>
      <x:c r="Z23" s="48" t="str">
        <x:v>P-SD</x:v>
      </x:c>
      <x:c r="AA23" s="48" t="str">
        <x:v>NO</x:v>
      </x:c>
      <x:c r="AB23" s="48" t="str">
        <x:v>NO</x:v>
      </x:c>
      <x:c r="AC23" s="48" t="str">
        <x:v>NO</x:v>
      </x:c>
      <x:c r="AD23" s="48" t="str">
        <x:v>NO</x:v>
      </x:c>
      <x:c r="AE23" s="48" t="str">
        <x:v>NO</x:v>
      </x:c>
      <x:c r="AF23" s="48" t="str">
        <x:v>NO</x:v>
      </x:c>
      <x:c r="AG23" s="48" t="str">
        <x:v>PC-SD</x:v>
      </x:c>
      <x:c r="AH23" s="48" t="str">
        <x:v>NO</x:v>
      </x:c>
      <x:c r="AI23" s="48" t="str">
        <x:v>P-SD</x:v>
      </x:c>
      <x:c r="AJ23" s="48" t="str">
        <x:v>NO</x:v>
      </x:c>
      <x:c r="AK23" s="48" t="str">
        <x:v>NO</x:v>
      </x:c>
      <x:c r="AL23" s="48" t="str">
        <x:v>NO</x:v>
      </x:c>
      <x:c r="AM23" s="48" t="str">
        <x:v>NO</x:v>
      </x:c>
      <x:c r="AN23" s="48" t="str">
        <x:v>NO</x:v>
      </x:c>
      <x:c r="AO23" s="48" t="str">
        <x:v>NO</x:v>
      </x:c>
      <x:c r="AP23" s="48" t="str">
        <x:v>NO</x:v>
      </x:c>
      <x:c r="AQ23" s="48" t="str">
        <x:v>NO</x:v>
      </x:c>
      <x:c r="AR23" s="48" t="str">
        <x:v>P-SD</x:v>
      </x:c>
      <x:c r="AS23" s="48" t="str">
        <x:v>NO</x:v>
      </x:c>
    </x:row>
    <x:row r="24">
      <x:c r="A24" s="48" t="str">
        <x:v>B_GOVERNANCE_SEGMENTATION</x:v>
      </x:c>
      <x:c r="B24" s="48" t="str">
        <x:v>Tier B v1.1 - N=29 rerun</x:v>
      </x:c>
      <x:c r="C24" s="48" t="str">
        <x:v>2026-07-16</x:v>
      </x:c>
      <x:c r="D24" s="48" t="str">
        <x:v>29_MANAGER_FAMILY_DDQ_CENSUS_LOWER_BOUND</x:v>
      </x:c>
      <x:c r="E24" s="48" t="str">
        <x:v>FALSE</x:v>
      </x:c>
      <x:c r="F24" s="48" t="str">
        <x:v>D07</x:v>
      </x:c>
      <x:c r="G24" s="48" t="str">
        <x:v>DILIGENCE_ORGANIZATION</x:v>
      </x:c>
      <x:c r="H24" s="48" t="str">
        <x:v>Customer, expert or reference work explicit</x:v>
      </x:c>
      <x:c r="I24" s="48" t="str">
        <x:v>Customer calls, expert work, management references or equivalent primary research are explicit in the process.</x:v>
      </x:c>
      <x:c r="J24" s="48" t="str">
        <x:v>29</x:v>
      </x:c>
      <x:c r="K24" s="48" t="str">
        <x:v>0</x:v>
      </x:c>
      <x:c r="L24" s="48" t="str">
        <x:v>0</x:v>
      </x:c>
      <x:c r="M24" s="48" t="str">
        <x:v>0</x:v>
      </x:c>
      <x:c r="N24" s="48" t="str">
        <x:v>0</x:v>
      </x:c>
      <x:c r="O24" s="48" t="str">
        <x:v>0</x:v>
      </x:c>
      <x:c r="P24" s="48" t="str">
        <x:v>29</x:v>
      </x:c>
      <x:c r="Q24" s="48" t="str">
        <x:v>P-SD</x:v>
      </x:c>
      <x:c r="R24" s="48" t="str">
        <x:v>P-SD</x:v>
      </x:c>
      <x:c r="S24" s="48" t="str">
        <x:v>P-SD</x:v>
      </x:c>
      <x:c r="T24" s="48" t="str">
        <x:v>P-SD</x:v>
      </x:c>
      <x:c r="U24" s="48" t="str">
        <x:v>P-SD</x:v>
      </x:c>
      <x:c r="V24" s="48" t="str">
        <x:v>P-SD</x:v>
      </x:c>
      <x:c r="W24" s="48" t="str">
        <x:v>P-SD</x:v>
      </x:c>
      <x:c r="X24" s="48" t="str">
        <x:v>P-SD</x:v>
      </x:c>
      <x:c r="Y24" s="48" t="str">
        <x:v>P-SD</x:v>
      </x:c>
      <x:c r="Z24" s="48" t="str">
        <x:v>P-SD</x:v>
      </x:c>
      <x:c r="AA24" s="48" t="str">
        <x:v>P-SD</x:v>
      </x:c>
      <x:c r="AB24" s="48" t="str">
        <x:v>P-SD</x:v>
      </x:c>
      <x:c r="AC24" s="48" t="str">
        <x:v>P-SD</x:v>
      </x:c>
      <x:c r="AD24" s="48" t="str">
        <x:v>P-SD</x:v>
      </x:c>
      <x:c r="AE24" s="48" t="str">
        <x:v>P-SD</x:v>
      </x:c>
      <x:c r="AF24" s="48" t="str">
        <x:v>P-SD</x:v>
      </x:c>
      <x:c r="AG24" s="48" t="str">
        <x:v>P-SD</x:v>
      </x:c>
      <x:c r="AH24" s="48" t="str">
        <x:v>P-SD</x:v>
      </x:c>
      <x:c r="AI24" s="48" t="str">
        <x:v>P-SD</x:v>
      </x:c>
      <x:c r="AJ24" s="48" t="str">
        <x:v>P-SD</x:v>
      </x:c>
      <x:c r="AK24" s="48" t="str">
        <x:v>P-SD</x:v>
      </x:c>
      <x:c r="AL24" s="48" t="str">
        <x:v>P-SD</x:v>
      </x:c>
      <x:c r="AM24" s="48" t="str">
        <x:v>P-SD</x:v>
      </x:c>
      <x:c r="AN24" s="48" t="str">
        <x:v>P-SD</x:v>
      </x:c>
      <x:c r="AO24" s="48" t="str">
        <x:v>P-SD</x:v>
      </x:c>
      <x:c r="AP24" s="48" t="str">
        <x:v>P-SD</x:v>
      </x:c>
      <x:c r="AQ24" s="48" t="str">
        <x:v>P-SD</x:v>
      </x:c>
      <x:c r="AR24" s="48" t="str">
        <x:v>P-SD</x:v>
      </x:c>
      <x:c r="AS24" s="48" t="str">
        <x:v>P-SD</x:v>
      </x:c>
    </x:row>
    <x:row r="25">
      <x:c r="A25" s="48" t="str">
        <x:v>B_GOVERNANCE_SEGMENTATION</x:v>
      </x:c>
      <x:c r="B25" s="48" t="str">
        <x:v>Tier B v1.1 - N=29 rerun</x:v>
      </x:c>
      <x:c r="C25" s="48" t="str">
        <x:v>2026-07-16</x:v>
      </x:c>
      <x:c r="D25" s="48" t="str">
        <x:v>29_MANAGER_FAMILY_DDQ_CENSUS_LOWER_BOUND</x:v>
      </x:c>
      <x:c r="E25" s="48" t="str">
        <x:v>FALSE</x:v>
      </x:c>
      <x:c r="F25" s="48" t="str">
        <x:v>D08</x:v>
      </x:c>
      <x:c r="G25" s="48" t="str">
        <x:v>DILIGENCE_ORGANIZATION</x:v>
      </x:c>
      <x:c r="H25" s="48" t="str">
        <x:v>Formal QoE or financial due diligence typically used</x:v>
      </x:c>
      <x:c r="I25" s="48" t="str">
        <x:v>A formal QoE/FDD/accounting diligence workstream is described as typical or expected where relevant.</x:v>
      </x:c>
      <x:c r="J25" s="48" t="str">
        <x:v>27</x:v>
      </x:c>
      <x:c r="K25" s="48" t="str">
        <x:v>11</x:v>
      </x:c>
      <x:c r="L25" s="48" t="str">
        <x:v>0</x:v>
      </x:c>
      <x:c r="M25" s="48" t="str">
        <x:v>2</x:v>
      </x:c>
      <x:c r="N25" s="48" t="str">
        <x:v>0</x:v>
      </x:c>
      <x:c r="O25" s="48" t="str">
        <x:v>0</x:v>
      </x:c>
      <x:c r="P25" s="48" t="str">
        <x:v>27</x:v>
      </x:c>
      <x:c r="Q25" s="48" t="str">
        <x:v>PC-SD</x:v>
      </x:c>
      <x:c r="R25" s="48" t="str">
        <x:v>P-SD</x:v>
      </x:c>
      <x:c r="S25" s="48" t="str">
        <x:v>P-SD</x:v>
      </x:c>
      <x:c r="T25" s="48" t="str">
        <x:v>PC-SD</x:v>
      </x:c>
      <x:c r="U25" s="48" t="str">
        <x:v>P-SD</x:v>
      </x:c>
      <x:c r="V25" s="48" t="str">
        <x:v>PC-SD</x:v>
      </x:c>
      <x:c r="W25" s="48" t="str">
        <x:v>P-SD</x:v>
      </x:c>
      <x:c r="X25" s="48" t="str">
        <x:v>PC-SD</x:v>
      </x:c>
      <x:c r="Y25" s="48" t="str">
        <x:v>PC-SD</x:v>
      </x:c>
      <x:c r="Z25" s="48" t="str">
        <x:v>P-SD</x:v>
      </x:c>
      <x:c r="AA25" s="48" t="str">
        <x:v>P-SD</x:v>
      </x:c>
      <x:c r="AB25" s="48" t="str">
        <x:v>PC-SD</x:v>
      </x:c>
      <x:c r="AC25" s="48" t="str">
        <x:v>PC-SD</x:v>
      </x:c>
      <x:c r="AD25" s="48" t="str">
        <x:v>P-SD</x:v>
      </x:c>
      <x:c r="AE25" s="48" t="str">
        <x:v>P-SD</x:v>
      </x:c>
      <x:c r="AF25" s="48" t="str">
        <x:v>P-SD</x:v>
      </x:c>
      <x:c r="AG25" s="48" t="str">
        <x:v>P-SD</x:v>
      </x:c>
      <x:c r="AH25" s="48" t="str">
        <x:v>PC-SD</x:v>
      </x:c>
      <x:c r="AI25" s="48" t="str">
        <x:v>PC-SD</x:v>
      </x:c>
      <x:c r="AJ25" s="48" t="str">
        <x:v>P-SD</x:v>
      </x:c>
      <x:c r="AK25" s="48" t="str">
        <x:v>PC-SD</x:v>
      </x:c>
      <x:c r="AL25" s="48" t="str">
        <x:v>PC-SD</x:v>
      </x:c>
      <x:c r="AM25" s="48" t="str">
        <x:v>NO</x:v>
      </x:c>
      <x:c r="AN25" s="48" t="str">
        <x:v>NO</x:v>
      </x:c>
      <x:c r="AO25" s="48" t="str">
        <x:v>P-SD</x:v>
      </x:c>
      <x:c r="AP25" s="48" t="str">
        <x:v>P-SD</x:v>
      </x:c>
      <x:c r="AQ25" s="48" t="str">
        <x:v>P-SD</x:v>
      </x:c>
      <x:c r="AR25" s="48" t="str">
        <x:v>P-SD</x:v>
      </x:c>
      <x:c r="AS25" s="48" t="str">
        <x:v>P-SD</x:v>
      </x:c>
    </x:row>
    <x:row r="26">
      <x:c r="A26" s="48" t="str">
        <x:v>B_GOVERNANCE_SEGMENTATION</x:v>
      </x:c>
      <x:c r="B26" s="48" t="str">
        <x:v>Tier B v1.1 - N=29 rerun</x:v>
      </x:c>
      <x:c r="C26" s="48" t="str">
        <x:v>2026-07-16</x:v>
      </x:c>
      <x:c r="D26" s="48" t="str">
        <x:v>29_MANAGER_FAMILY_DDQ_CENSUS_LOWER_BOUND</x:v>
      </x:c>
      <x:c r="E26" s="48" t="str">
        <x:v>FALSE</x:v>
      </x:c>
      <x:c r="F26" s="48" t="str">
        <x:v>D09</x:v>
      </x:c>
      <x:c r="G26" s="48" t="str">
        <x:v>DILIGENCE_ORGANIZATION</x:v>
      </x:c>
      <x:c r="H26" s="48" t="str">
        <x:v>Financing or capital-markets work integrated before approval</x:v>
      </x:c>
      <x:c r="I26" s="48" t="str">
        <x:v>Debt capacity, financing terms or capital-markets input enters the underwrite before final approval.</x:v>
      </x:c>
      <x:c r="J26" s="48" t="str">
        <x:v>29</x:v>
      </x:c>
      <x:c r="K26" s="48" t="str">
        <x:v>0</x:v>
      </x:c>
      <x:c r="L26" s="48" t="str">
        <x:v>0</x:v>
      </x:c>
      <x:c r="M26" s="48" t="str">
        <x:v>0</x:v>
      </x:c>
      <x:c r="N26" s="48" t="str">
        <x:v>0</x:v>
      </x:c>
      <x:c r="O26" s="48" t="str">
        <x:v>0</x:v>
      </x:c>
      <x:c r="P26" s="48" t="str">
        <x:v>29</x:v>
      </x:c>
      <x:c r="Q26" s="48" t="str">
        <x:v>P-SD</x:v>
      </x:c>
      <x:c r="R26" s="48" t="str">
        <x:v>P-SD</x:v>
      </x:c>
      <x:c r="S26" s="48" t="str">
        <x:v>P-SD</x:v>
      </x:c>
      <x:c r="T26" s="48" t="str">
        <x:v>P-SD</x:v>
      </x:c>
      <x:c r="U26" s="48" t="str">
        <x:v>P-SD</x:v>
      </x:c>
      <x:c r="V26" s="48" t="str">
        <x:v>P-SD</x:v>
      </x:c>
      <x:c r="W26" s="48" t="str">
        <x:v>P-SD</x:v>
      </x:c>
      <x:c r="X26" s="48" t="str">
        <x:v>P-SD</x:v>
      </x:c>
      <x:c r="Y26" s="48" t="str">
        <x:v>P-SD</x:v>
      </x:c>
      <x:c r="Z26" s="48" t="str">
        <x:v>P-SD</x:v>
      </x:c>
      <x:c r="AA26" s="48" t="str">
        <x:v>P-SD</x:v>
      </x:c>
      <x:c r="AB26" s="48" t="str">
        <x:v>P-SD</x:v>
      </x:c>
      <x:c r="AC26" s="48" t="str">
        <x:v>P-SD</x:v>
      </x:c>
      <x:c r="AD26" s="48" t="str">
        <x:v>P-SD</x:v>
      </x:c>
      <x:c r="AE26" s="48" t="str">
        <x:v>P-SD</x:v>
      </x:c>
      <x:c r="AF26" s="48" t="str">
        <x:v>P-SD</x:v>
      </x:c>
      <x:c r="AG26" s="48" t="str">
        <x:v>P-SD</x:v>
      </x:c>
      <x:c r="AH26" s="48" t="str">
        <x:v>P-SD</x:v>
      </x:c>
      <x:c r="AI26" s="48" t="str">
        <x:v>P-SD</x:v>
      </x:c>
      <x:c r="AJ26" s="48" t="str">
        <x:v>P-SD</x:v>
      </x:c>
      <x:c r="AK26" s="48" t="str">
        <x:v>P-SD</x:v>
      </x:c>
      <x:c r="AL26" s="48" t="str">
        <x:v>P-SD</x:v>
      </x:c>
      <x:c r="AM26" s="48" t="str">
        <x:v>P-SD</x:v>
      </x:c>
      <x:c r="AN26" s="48" t="str">
        <x:v>P-SD</x:v>
      </x:c>
      <x:c r="AO26" s="48" t="str">
        <x:v>P-SD</x:v>
      </x:c>
      <x:c r="AP26" s="48" t="str">
        <x:v>P-SD</x:v>
      </x:c>
      <x:c r="AQ26" s="48" t="str">
        <x:v>P-SD</x:v>
      </x:c>
      <x:c r="AR26" s="48" t="str">
        <x:v>P-SD</x:v>
      </x:c>
      <x:c r="AS26" s="48" t="str">
        <x:v>P-SD</x:v>
      </x:c>
    </x:row>
    <x:row r="27">
      <x:c r="A27" s="48" t="str">
        <x:v>B_GOVERNANCE_SEGMENTATION</x:v>
      </x:c>
      <x:c r="B27" s="48" t="str">
        <x:v>Tier B v1.1 - N=29 rerun</x:v>
      </x:c>
      <x:c r="C27" s="48" t="str">
        <x:v>2026-07-16</x:v>
      </x:c>
      <x:c r="D27" s="48" t="str">
        <x:v>29_MANAGER_FAMILY_DDQ_CENSUS_LOWER_BOUND</x:v>
      </x:c>
      <x:c r="E27" s="48" t="str">
        <x:v>FALSE</x:v>
      </x:c>
      <x:c r="F27" s="48" t="str">
        <x:v>D10</x:v>
      </x:c>
      <x:c r="G27" s="48" t="str">
        <x:v>DILIGENCE_ORGANIZATION</x:v>
      </x:c>
      <x:c r="H27" s="48" t="str">
        <x:v>Legal, tax or structuring work integrated before approval</x:v>
      </x:c>
      <x:c r="I27" s="48" t="str">
        <x:v>Legal, tax and transaction-structure work informs the pre-approval investment case.</x:v>
      </x:c>
      <x:c r="J27" s="48" t="str">
        <x:v>29</x:v>
      </x:c>
      <x:c r="K27" s="48" t="str">
        <x:v>0</x:v>
      </x:c>
      <x:c r="L27" s="48" t="str">
        <x:v>0</x:v>
      </x:c>
      <x:c r="M27" s="48" t="str">
        <x:v>0</x:v>
      </x:c>
      <x:c r="N27" s="48" t="str">
        <x:v>0</x:v>
      </x:c>
      <x:c r="O27" s="48" t="str">
        <x:v>0</x:v>
      </x:c>
      <x:c r="P27" s="48" t="str">
        <x:v>29</x:v>
      </x:c>
      <x:c r="Q27" s="48" t="str">
        <x:v>P-SD</x:v>
      </x:c>
      <x:c r="R27" s="48" t="str">
        <x:v>P-SD</x:v>
      </x:c>
      <x:c r="S27" s="48" t="str">
        <x:v>P-SD</x:v>
      </x:c>
      <x:c r="T27" s="48" t="str">
        <x:v>P-SD</x:v>
      </x:c>
      <x:c r="U27" s="48" t="str">
        <x:v>P-SD</x:v>
      </x:c>
      <x:c r="V27" s="48" t="str">
        <x:v>P-SD</x:v>
      </x:c>
      <x:c r="W27" s="48" t="str">
        <x:v>P-SD</x:v>
      </x:c>
      <x:c r="X27" s="48" t="str">
        <x:v>P-SD</x:v>
      </x:c>
      <x:c r="Y27" s="48" t="str">
        <x:v>P-SD</x:v>
      </x:c>
      <x:c r="Z27" s="48" t="str">
        <x:v>P-SD</x:v>
      </x:c>
      <x:c r="AA27" s="48" t="str">
        <x:v>P-SD</x:v>
      </x:c>
      <x:c r="AB27" s="48" t="str">
        <x:v>P-SD</x:v>
      </x:c>
      <x:c r="AC27" s="48" t="str">
        <x:v>P-SD</x:v>
      </x:c>
      <x:c r="AD27" s="48" t="str">
        <x:v>P-SD</x:v>
      </x:c>
      <x:c r="AE27" s="48" t="str">
        <x:v>P-SD</x:v>
      </x:c>
      <x:c r="AF27" s="48" t="str">
        <x:v>P-SD</x:v>
      </x:c>
      <x:c r="AG27" s="48" t="str">
        <x:v>P-SD</x:v>
      </x:c>
      <x:c r="AH27" s="48" t="str">
        <x:v>P-SD</x:v>
      </x:c>
      <x:c r="AI27" s="48" t="str">
        <x:v>P-SD</x:v>
      </x:c>
      <x:c r="AJ27" s="48" t="str">
        <x:v>P-SD</x:v>
      </x:c>
      <x:c r="AK27" s="48" t="str">
        <x:v>P-SD</x:v>
      </x:c>
      <x:c r="AL27" s="48" t="str">
        <x:v>P-SD</x:v>
      </x:c>
      <x:c r="AM27" s="48" t="str">
        <x:v>P-SD</x:v>
      </x:c>
      <x:c r="AN27" s="48" t="str">
        <x:v>P-SD</x:v>
      </x:c>
      <x:c r="AO27" s="48" t="str">
        <x:v>P-SD</x:v>
      </x:c>
      <x:c r="AP27" s="48" t="str">
        <x:v>P-SD</x:v>
      </x:c>
      <x:c r="AQ27" s="48" t="str">
        <x:v>P-SD</x:v>
      </x:c>
      <x:c r="AR27" s="48" t="str">
        <x:v>P-SD</x:v>
      </x:c>
      <x:c r="AS27" s="48" t="str">
        <x:v>P-SD</x:v>
      </x:c>
    </x:row>
    <x:row r="28">
      <x:c r="A28" s="48" t="str">
        <x:v>B_GOVERNANCE_SEGMENTATION</x:v>
      </x:c>
      <x:c r="B28" s="48" t="str">
        <x:v>Tier B v1.1 - N=29 rerun</x:v>
      </x:c>
      <x:c r="C28" s="48" t="str">
        <x:v>2026-07-16</x:v>
      </x:c>
      <x:c r="D28" s="48" t="str">
        <x:v>29_MANAGER_FAMILY_DDQ_CENSUS_LOWER_BOUND</x:v>
      </x:c>
      <x:c r="E28" s="48" t="str">
        <x:v>FALSE</x:v>
      </x:c>
      <x:c r="F28" s="48" t="str">
        <x:v>U01</x:v>
      </x:c>
      <x:c r="G28" s="48" t="str">
        <x:v>UNDERWRITING_DOCUMENTS</x:v>
      </x:c>
      <x:c r="H28" s="48" t="str">
        <x:v>Preliminary model before full diligence</x:v>
      </x:c>
      <x:c r="I28" s="48" t="str">
        <x:v>A simple or preliminary economic model is developed before completion of full diligence.</x:v>
      </x:c>
      <x:c r="J28" s="48" t="str">
        <x:v>27</x:v>
      </x:c>
      <x:c r="K28" s="48" t="str">
        <x:v>1</x:v>
      </x:c>
      <x:c r="L28" s="48" t="str">
        <x:v>0</x:v>
      </x:c>
      <x:c r="M28" s="48" t="str">
        <x:v>2</x:v>
      </x:c>
      <x:c r="N28" s="48" t="str">
        <x:v>0</x:v>
      </x:c>
      <x:c r="O28" s="48" t="str">
        <x:v>0</x:v>
      </x:c>
      <x:c r="P28" s="48" t="str">
        <x:v>27</x:v>
      </x:c>
      <x:c r="Q28" s="48" t="str">
        <x:v>P-SD</x:v>
      </x:c>
      <x:c r="R28" s="48" t="str">
        <x:v>P-SD</x:v>
      </x:c>
      <x:c r="S28" s="48" t="str">
        <x:v>P-SD</x:v>
      </x:c>
      <x:c r="T28" s="48" t="str">
        <x:v>P-SD</x:v>
      </x:c>
      <x:c r="U28" s="48" t="str">
        <x:v>P-SD</x:v>
      </x:c>
      <x:c r="V28" s="48" t="str">
        <x:v>P-SD</x:v>
      </x:c>
      <x:c r="W28" s="48" t="str">
        <x:v>P-SD</x:v>
      </x:c>
      <x:c r="X28" s="48" t="str">
        <x:v>P-SD</x:v>
      </x:c>
      <x:c r="Y28" s="48" t="str">
        <x:v>P-SD</x:v>
      </x:c>
      <x:c r="Z28" s="48" t="str">
        <x:v>P-SD</x:v>
      </x:c>
      <x:c r="AA28" s="48" t="str">
        <x:v>P-SD</x:v>
      </x:c>
      <x:c r="AB28" s="48" t="str">
        <x:v>P-SD</x:v>
      </x:c>
      <x:c r="AC28" s="48" t="str">
        <x:v>P-SD</x:v>
      </x:c>
      <x:c r="AD28" s="48" t="str">
        <x:v>P-SD</x:v>
      </x:c>
      <x:c r="AE28" s="48" t="str">
        <x:v>P-SD</x:v>
      </x:c>
      <x:c r="AF28" s="48" t="str">
        <x:v>P-SD</x:v>
      </x:c>
      <x:c r="AG28" s="48" t="str">
        <x:v>P-SD</x:v>
      </x:c>
      <x:c r="AH28" s="48" t="str">
        <x:v>P-SD</x:v>
      </x:c>
      <x:c r="AI28" s="48" t="str">
        <x:v>P-SD</x:v>
      </x:c>
      <x:c r="AJ28" s="48" t="str">
        <x:v>P-SD</x:v>
      </x:c>
      <x:c r="AK28" s="48" t="str">
        <x:v>P-SD</x:v>
      </x:c>
      <x:c r="AL28" s="48" t="str">
        <x:v>P-SD</x:v>
      </x:c>
      <x:c r="AM28" s="48" t="str">
        <x:v>P-SD</x:v>
      </x:c>
      <x:c r="AN28" s="48" t="str">
        <x:v>P-SD</x:v>
      </x:c>
      <x:c r="AO28" s="48" t="str">
        <x:v>P-SD</x:v>
      </x:c>
      <x:c r="AP28" s="48" t="str">
        <x:v>PC-SD</x:v>
      </x:c>
      <x:c r="AQ28" s="48" t="str">
        <x:v>NO</x:v>
      </x:c>
      <x:c r="AR28" s="48" t="str">
        <x:v>NO</x:v>
      </x:c>
      <x:c r="AS28" s="48" t="str">
        <x:v>P-SD</x:v>
      </x:c>
    </x:row>
    <x:row r="29">
      <x:c r="A29" s="48" t="str">
        <x:v>B_GOVERNANCE_SEGMENTATION</x:v>
      </x:c>
      <x:c r="B29" s="48" t="str">
        <x:v>Tier B v1.1 - N=29 rerun</x:v>
      </x:c>
      <x:c r="C29" s="48" t="str">
        <x:v>2026-07-16</x:v>
      </x:c>
      <x:c r="D29" s="48" t="str">
        <x:v>29_MANAGER_FAMILY_DDQ_CENSUS_LOWER_BOUND</x:v>
      </x:c>
      <x:c r="E29" s="48" t="str">
        <x:v>FALSE</x:v>
      </x:c>
      <x:c r="F29" s="48" t="str">
        <x:v>U02</x:v>
      </x:c>
      <x:c r="G29" s="48" t="str">
        <x:v>UNDERWRITING_DOCUMENTS</x:v>
      </x:c>
      <x:c r="H29" s="48" t="str">
        <x:v>Explicit scenario, sensitivity or downside testing</x:v>
      </x:c>
      <x:c r="I29" s="48" t="str">
        <x:v>The process explicitly tests downside cases, sensitivities or multiple scenarios.</x:v>
      </x:c>
      <x:c r="J29" s="48" t="str">
        <x:v>28</x:v>
      </x:c>
      <x:c r="K29" s="48" t="str">
        <x:v>3</x:v>
      </x:c>
      <x:c r="L29" s="48" t="str">
        <x:v>0</x:v>
      </x:c>
      <x:c r="M29" s="48" t="str">
        <x:v>1</x:v>
      </x:c>
      <x:c r="N29" s="48" t="str">
        <x:v>0</x:v>
      </x:c>
      <x:c r="O29" s="48" t="str">
        <x:v>0</x:v>
      </x:c>
      <x:c r="P29" s="48" t="str">
        <x:v>28</x:v>
      </x:c>
      <x:c r="Q29" s="48" t="str">
        <x:v>P-SD</x:v>
      </x:c>
      <x:c r="R29" s="48" t="str">
        <x:v>P-SD</x:v>
      </x:c>
      <x:c r="S29" s="48" t="str">
        <x:v>P-SD</x:v>
      </x:c>
      <x:c r="T29" s="48" t="str">
        <x:v>P-SD</x:v>
      </x:c>
      <x:c r="U29" s="48" t="str">
        <x:v>P-SD</x:v>
      </x:c>
      <x:c r="V29" s="48" t="str">
        <x:v>P-SD</x:v>
      </x:c>
      <x:c r="W29" s="48" t="str">
        <x:v>P-SD</x:v>
      </x:c>
      <x:c r="X29" s="48" t="str">
        <x:v>P-SD</x:v>
      </x:c>
      <x:c r="Y29" s="48" t="str">
        <x:v>P-SD</x:v>
      </x:c>
      <x:c r="Z29" s="48" t="str">
        <x:v>P-SD</x:v>
      </x:c>
      <x:c r="AA29" s="48" t="str">
        <x:v>P-SD</x:v>
      </x:c>
      <x:c r="AB29" s="48" t="str">
        <x:v>P-SD</x:v>
      </x:c>
      <x:c r="AC29" s="48" t="str">
        <x:v>P-SD</x:v>
      </x:c>
      <x:c r="AD29" s="48" t="str">
        <x:v>P-SD</x:v>
      </x:c>
      <x:c r="AE29" s="48" t="str">
        <x:v>P-SD</x:v>
      </x:c>
      <x:c r="AF29" s="48" t="str">
        <x:v>P-SD</x:v>
      </x:c>
      <x:c r="AG29" s="48" t="str">
        <x:v>P-SD</x:v>
      </x:c>
      <x:c r="AH29" s="48" t="str">
        <x:v>P-SD</x:v>
      </x:c>
      <x:c r="AI29" s="48" t="str">
        <x:v>P-SD</x:v>
      </x:c>
      <x:c r="AJ29" s="48" t="str">
        <x:v>PC-SD</x:v>
      </x:c>
      <x:c r="AK29" s="48" t="str">
        <x:v>P-SD</x:v>
      </x:c>
      <x:c r="AL29" s="48" t="str">
        <x:v>PC-SD</x:v>
      </x:c>
      <x:c r="AM29" s="48" t="str">
        <x:v>P-SD</x:v>
      </x:c>
      <x:c r="AN29" s="48" t="str">
        <x:v>P-SD</x:v>
      </x:c>
      <x:c r="AO29" s="48" t="str">
        <x:v>P-SD</x:v>
      </x:c>
      <x:c r="AP29" s="48" t="str">
        <x:v>P-SD</x:v>
      </x:c>
      <x:c r="AQ29" s="48" t="str">
        <x:v>PC-SD</x:v>
      </x:c>
      <x:c r="AR29" s="48" t="str">
        <x:v>NO</x:v>
      </x:c>
      <x:c r="AS29" s="48" t="str">
        <x:v>P-SD</x:v>
      </x:c>
    </x:row>
    <x:row r="30">
      <x:c r="A30" s="48" t="str">
        <x:v>B_GOVERNANCE_SEGMENTATION</x:v>
      </x:c>
      <x:c r="B30" s="48" t="str">
        <x:v>Tier B v1.1 - N=29 rerun</x:v>
      </x:c>
      <x:c r="C30" s="48" t="str">
        <x:v>2026-07-16</x:v>
      </x:c>
      <x:c r="D30" s="48" t="str">
        <x:v>29_MANAGER_FAMILY_DDQ_CENSUS_LOWER_BOUND</x:v>
      </x:c>
      <x:c r="E30" s="48" t="str">
        <x:v>FALSE</x:v>
      </x:c>
      <x:c r="F30" s="48" t="str">
        <x:v>U03</x:v>
      </x:c>
      <x:c r="G30" s="48" t="str">
        <x:v>UNDERWRITING_DOCUMENTS</x:v>
      </x:c>
      <x:c r="H30" s="48" t="str">
        <x:v>Management case distinguished from sponsor case</x:v>
      </x:c>
      <x:c r="I30" s="48" t="str">
        <x:v>Management projections are distinguished from the sponsor underwrite or independently rebuilt case.</x:v>
      </x:c>
      <x:c r="J30" s="48" t="str">
        <x:v>5</x:v>
      </x:c>
      <x:c r="K30" s="48" t="str">
        <x:v>0</x:v>
      </x:c>
      <x:c r="L30" s="48" t="str">
        <x:v>0</x:v>
      </x:c>
      <x:c r="M30" s="48" t="str">
        <x:v>24</x:v>
      </x:c>
      <x:c r="N30" s="48" t="str">
        <x:v>0</x:v>
      </x:c>
      <x:c r="O30" s="48" t="str">
        <x:v>0</x:v>
      </x:c>
      <x:c r="P30" s="48" t="str">
        <x:v>5</x:v>
      </x:c>
      <x:c r="Q30" s="48" t="str">
        <x:v>NO</x:v>
      </x:c>
      <x:c r="R30" s="48" t="str">
        <x:v>P-SD</x:v>
      </x:c>
      <x:c r="S30" s="48" t="str">
        <x:v>NO</x:v>
      </x:c>
      <x:c r="T30" s="48" t="str">
        <x:v>NO</x:v>
      </x:c>
      <x:c r="U30" s="48" t="str">
        <x:v>NO</x:v>
      </x:c>
      <x:c r="V30" s="48" t="str">
        <x:v>NO</x:v>
      </x:c>
      <x:c r="W30" s="48" t="str">
        <x:v>P-SD</x:v>
      </x:c>
      <x:c r="X30" s="48" t="str">
        <x:v>NO</x:v>
      </x:c>
      <x:c r="Y30" s="48" t="str">
        <x:v>NO</x:v>
      </x:c>
      <x:c r="Z30" s="48" t="str">
        <x:v>NO</x:v>
      </x:c>
      <x:c r="AA30" s="48" t="str">
        <x:v>NO</x:v>
      </x:c>
      <x:c r="AB30" s="48" t="str">
        <x:v>NO</x:v>
      </x:c>
      <x:c r="AC30" s="48" t="str">
        <x:v>NO</x:v>
      </x:c>
      <x:c r="AD30" s="48" t="str">
        <x:v>NO</x:v>
      </x:c>
      <x:c r="AE30" s="48" t="str">
        <x:v>NO</x:v>
      </x:c>
      <x:c r="AF30" s="48" t="str">
        <x:v>P-SD</x:v>
      </x:c>
      <x:c r="AG30" s="48" t="str">
        <x:v>NO</x:v>
      </x:c>
      <x:c r="AH30" s="48" t="str">
        <x:v>NO</x:v>
      </x:c>
      <x:c r="AI30" s="48" t="str">
        <x:v>NO</x:v>
      </x:c>
      <x:c r="AJ30" s="48" t="str">
        <x:v>NO</x:v>
      </x:c>
      <x:c r="AK30" s="48" t="str">
        <x:v>NO</x:v>
      </x:c>
      <x:c r="AL30" s="48" t="str">
        <x:v>NO</x:v>
      </x:c>
      <x:c r="AM30" s="48" t="str">
        <x:v>NO</x:v>
      </x:c>
      <x:c r="AN30" s="48" t="str">
        <x:v>NO</x:v>
      </x:c>
      <x:c r="AO30" s="48" t="str">
        <x:v>P-SD</x:v>
      </x:c>
      <x:c r="AP30" s="48" t="str">
        <x:v>NO</x:v>
      </x:c>
      <x:c r="AQ30" s="48" t="str">
        <x:v>NO</x:v>
      </x:c>
      <x:c r="AR30" s="48" t="str">
        <x:v>NO</x:v>
      </x:c>
      <x:c r="AS30" s="48" t="str">
        <x:v>P-SD</x:v>
      </x:c>
    </x:row>
    <x:row r="31">
      <x:c r="A31" s="48" t="str">
        <x:v>B_GOVERNANCE_SEGMENTATION</x:v>
      </x:c>
      <x:c r="B31" s="48" t="str">
        <x:v>Tier B v1.1 - N=29 rerun</x:v>
      </x:c>
      <x:c r="C31" s="48" t="str">
        <x:v>2026-07-16</x:v>
      </x:c>
      <x:c r="D31" s="48" t="str">
        <x:v>29_MANAGER_FAMILY_DDQ_CENSUS_LOWER_BOUND</x:v>
      </x:c>
      <x:c r="E31" s="48" t="str">
        <x:v>FALSE</x:v>
      </x:c>
      <x:c r="F31" s="48" t="str">
        <x:v>U04</x:v>
      </x:c>
      <x:c r="G31" s="48" t="str">
        <x:v>UNDERWRITING_DOCUMENTS</x:v>
      </x:c>
      <x:c r="H31" s="48" t="str">
        <x:v>Multiple model or memorandum iterations explicit</x:v>
      </x:c>
      <x:c r="I31" s="48" t="str">
        <x:v>The source explicitly describes repeated revisions, updates or multiple presentations before final approval.</x:v>
      </x:c>
      <x:c r="J31" s="48" t="str">
        <x:v>29</x:v>
      </x:c>
      <x:c r="K31" s="48" t="str">
        <x:v>0</x:v>
      </x:c>
      <x:c r="L31" s="48" t="str">
        <x:v>0</x:v>
      </x:c>
      <x:c r="M31" s="48" t="str">
        <x:v>0</x:v>
      </x:c>
      <x:c r="N31" s="48" t="str">
        <x:v>0</x:v>
      </x:c>
      <x:c r="O31" s="48" t="str">
        <x:v>0</x:v>
      </x:c>
      <x:c r="P31" s="48" t="str">
        <x:v>29</x:v>
      </x:c>
      <x:c r="Q31" s="48" t="str">
        <x:v>P-SD</x:v>
      </x:c>
      <x:c r="R31" s="48" t="str">
        <x:v>P-SD</x:v>
      </x:c>
      <x:c r="S31" s="48" t="str">
        <x:v>P-SD</x:v>
      </x:c>
      <x:c r="T31" s="48" t="str">
        <x:v>P-SD</x:v>
      </x:c>
      <x:c r="U31" s="48" t="str">
        <x:v>P-SD</x:v>
      </x:c>
      <x:c r="V31" s="48" t="str">
        <x:v>P-SD</x:v>
      </x:c>
      <x:c r="W31" s="48" t="str">
        <x:v>P-SD</x:v>
      </x:c>
      <x:c r="X31" s="48" t="str">
        <x:v>P-SD</x:v>
      </x:c>
      <x:c r="Y31" s="48" t="str">
        <x:v>P-SD</x:v>
      </x:c>
      <x:c r="Z31" s="48" t="str">
        <x:v>P-SD</x:v>
      </x:c>
      <x:c r="AA31" s="48" t="str">
        <x:v>P-SD</x:v>
      </x:c>
      <x:c r="AB31" s="48" t="str">
        <x:v>P-SD</x:v>
      </x:c>
      <x:c r="AC31" s="48" t="str">
        <x:v>P-SD</x:v>
      </x:c>
      <x:c r="AD31" s="48" t="str">
        <x:v>P-SD</x:v>
      </x:c>
      <x:c r="AE31" s="48" t="str">
        <x:v>P-SD</x:v>
      </x:c>
      <x:c r="AF31" s="48" t="str">
        <x:v>P-SD</x:v>
      </x:c>
      <x:c r="AG31" s="48" t="str">
        <x:v>P-SD</x:v>
      </x:c>
      <x:c r="AH31" s="48" t="str">
        <x:v>P-SD</x:v>
      </x:c>
      <x:c r="AI31" s="48" t="str">
        <x:v>P-SD</x:v>
      </x:c>
      <x:c r="AJ31" s="48" t="str">
        <x:v>P-SD</x:v>
      </x:c>
      <x:c r="AK31" s="48" t="str">
        <x:v>P-SD</x:v>
      </x:c>
      <x:c r="AL31" s="48" t="str">
        <x:v>P-SD</x:v>
      </x:c>
      <x:c r="AM31" s="48" t="str">
        <x:v>P-SD</x:v>
      </x:c>
      <x:c r="AN31" s="48" t="str">
        <x:v>P-SD</x:v>
      </x:c>
      <x:c r="AO31" s="48" t="str">
        <x:v>P-SD</x:v>
      </x:c>
      <x:c r="AP31" s="48" t="str">
        <x:v>P-SD</x:v>
      </x:c>
      <x:c r="AQ31" s="48" t="str">
        <x:v>P-SD</x:v>
      </x:c>
      <x:c r="AR31" s="48" t="str">
        <x:v>P-SD</x:v>
      </x:c>
      <x:c r="AS31" s="48" t="str">
        <x:v>P-SD</x:v>
      </x:c>
    </x:row>
    <x:row r="32">
      <x:c r="A32" s="48" t="str">
        <x:v>B_GOVERNANCE_SEGMENTATION</x:v>
      </x:c>
      <x:c r="B32" s="48" t="str">
        <x:v>Tier B v1.1 - N=29 rerun</x:v>
      </x:c>
      <x:c r="C32" s="48" t="str">
        <x:v>2026-07-16</x:v>
      </x:c>
      <x:c r="D32" s="48" t="str">
        <x:v>29_MANAGER_FAMILY_DDQ_CENSUS_LOWER_BOUND</x:v>
      </x:c>
      <x:c r="E32" s="48" t="str">
        <x:v>FALSE</x:v>
      </x:c>
      <x:c r="F32" s="48" t="str">
        <x:v>U05</x:v>
      </x:c>
      <x:c r="G32" s="48" t="str">
        <x:v>UNDERWRITING_DOCUMENTS</x:v>
      </x:c>
      <x:c r="H32" s="48" t="str">
        <x:v>Progressive memorandum family</x:v>
      </x:c>
      <x:c r="I32" s="48" t="str">
        <x:v>At least two progressively fuller investment documents or formal approval packages are described.</x:v>
      </x:c>
      <x:c r="J32" s="48" t="str">
        <x:v>28</x:v>
      </x:c>
      <x:c r="K32" s="48" t="str">
        <x:v>0</x:v>
      </x:c>
      <x:c r="L32" s="48" t="str">
        <x:v>1</x:v>
      </x:c>
      <x:c r="M32" s="48" t="str">
        <x:v>0</x:v>
      </x:c>
      <x:c r="N32" s="48" t="str">
        <x:v>0</x:v>
      </x:c>
      <x:c r="O32" s="48" t="str">
        <x:v>0</x:v>
      </x:c>
      <x:c r="P32" s="48" t="str">
        <x:v>29</x:v>
      </x:c>
      <x:c r="Q32" s="48" t="str">
        <x:v>P-SD</x:v>
      </x:c>
      <x:c r="R32" s="48" t="str">
        <x:v>P-SD</x:v>
      </x:c>
      <x:c r="S32" s="48" t="str">
        <x:v>P-SD</x:v>
      </x:c>
      <x:c r="T32" s="48" t="str">
        <x:v>P-SD</x:v>
      </x:c>
      <x:c r="U32" s="48" t="str">
        <x:v>P-SD</x:v>
      </x:c>
      <x:c r="V32" s="48" t="str">
        <x:v>P-SD</x:v>
      </x:c>
      <x:c r="W32" s="48" t="str">
        <x:v>P-SD</x:v>
      </x:c>
      <x:c r="X32" s="48" t="str">
        <x:v>P-SD</x:v>
      </x:c>
      <x:c r="Y32" s="48" t="str">
        <x:v>P-SD</x:v>
      </x:c>
      <x:c r="Z32" s="48" t="str">
        <x:v>P-SD</x:v>
      </x:c>
      <x:c r="AA32" s="48" t="str">
        <x:v>P-SD</x:v>
      </x:c>
      <x:c r="AB32" s="48" t="str">
        <x:v>P-SD</x:v>
      </x:c>
      <x:c r="AC32" s="48" t="str">
        <x:v>P-SD</x:v>
      </x:c>
      <x:c r="AD32" s="48" t="str">
        <x:v>P-SD</x:v>
      </x:c>
      <x:c r="AE32" s="48" t="str">
        <x:v>P-SD</x:v>
      </x:c>
      <x:c r="AF32" s="48" t="str">
        <x:v>P-SD</x:v>
      </x:c>
      <x:c r="AG32" s="48" t="str">
        <x:v>P-SD</x:v>
      </x:c>
      <x:c r="AH32" s="48" t="str">
        <x:v>P-SD</x:v>
      </x:c>
      <x:c r="AI32" s="48" t="str">
        <x:v>P-SD</x:v>
      </x:c>
      <x:c r="AJ32" s="48" t="str">
        <x:v>P-SD</x:v>
      </x:c>
      <x:c r="AK32" s="48" t="str">
        <x:v>P-SD</x:v>
      </x:c>
      <x:c r="AL32" s="48" t="str">
        <x:v>P-SD</x:v>
      </x:c>
      <x:c r="AM32" s="48" t="str">
        <x:v>P-SD</x:v>
      </x:c>
      <x:c r="AN32" s="48" t="str">
        <x:v>A-SD</x:v>
      </x:c>
      <x:c r="AO32" s="48" t="str">
        <x:v>P-SD</x:v>
      </x:c>
      <x:c r="AP32" s="48" t="str">
        <x:v>P-SD</x:v>
      </x:c>
      <x:c r="AQ32" s="48" t="str">
        <x:v>P-SD</x:v>
      </x:c>
      <x:c r="AR32" s="48" t="str">
        <x:v>P-SD</x:v>
      </x:c>
      <x:c r="AS32" s="48" t="str">
        <x:v>P-SD</x:v>
      </x:c>
    </x:row>
    <x:row r="33">
      <x:c r="A33" s="48" t="str">
        <x:v>B_GOVERNANCE_SEGMENTATION</x:v>
      </x:c>
      <x:c r="B33" s="48" t="str">
        <x:v>Tier B v1.1 - N=29 rerun</x:v>
      </x:c>
      <x:c r="C33" s="48" t="str">
        <x:v>2026-07-16</x:v>
      </x:c>
      <x:c r="D33" s="48" t="str">
        <x:v>29_MANAGER_FAMILY_DDQ_CENSUS_LOWER_BOUND</x:v>
      </x:c>
      <x:c r="E33" s="48" t="str">
        <x:v>FALSE</x:v>
      </x:c>
      <x:c r="F33" s="48" t="str">
        <x:v>U06</x:v>
      </x:c>
      <x:c r="G33" s="48" t="str">
        <x:v>UNDERWRITING_DOCUMENTS</x:v>
      </x:c>
      <x:c r="H33" s="48" t="str">
        <x:v>Three or more named memorandum stages</x:v>
      </x:c>
      <x:c r="I33" s="48" t="str">
        <x:v>At least three distinct named investment-document stages are described.</x:v>
      </x:c>
      <x:c r="J33" s="48" t="str">
        <x:v>18</x:v>
      </x:c>
      <x:c r="K33" s="48" t="str">
        <x:v>0</x:v>
      </x:c>
      <x:c r="L33" s="48" t="str">
        <x:v>8</x:v>
      </x:c>
      <x:c r="M33" s="48" t="str">
        <x:v>3</x:v>
      </x:c>
      <x:c r="N33" s="48" t="str">
        <x:v>0</x:v>
      </x:c>
      <x:c r="O33" s="48" t="str">
        <x:v>0</x:v>
      </x:c>
      <x:c r="P33" s="48" t="str">
        <x:v>26</x:v>
      </x:c>
      <x:c r="Q33" s="48" t="str">
        <x:v>A-SD</x:v>
      </x:c>
      <x:c r="R33" s="48" t="str">
        <x:v>P-SD</x:v>
      </x:c>
      <x:c r="S33" s="48" t="str">
        <x:v>P-SD</x:v>
      </x:c>
      <x:c r="T33" s="48" t="str">
        <x:v>P-SD</x:v>
      </x:c>
      <x:c r="U33" s="48" t="str">
        <x:v>P-SD</x:v>
      </x:c>
      <x:c r="V33" s="48" t="str">
        <x:v>A-SD</x:v>
      </x:c>
      <x:c r="W33" s="48" t="str">
        <x:v>NO</x:v>
      </x:c>
      <x:c r="X33" s="48" t="str">
        <x:v>A-SD</x:v>
      </x:c>
      <x:c r="Y33" s="48" t="str">
        <x:v>P-SD</x:v>
      </x:c>
      <x:c r="Z33" s="48" t="str">
        <x:v>NO</x:v>
      </x:c>
      <x:c r="AA33" s="48" t="str">
        <x:v>A-SD</x:v>
      </x:c>
      <x:c r="AB33" s="48" t="str">
        <x:v>P-SD</x:v>
      </x:c>
      <x:c r="AC33" s="48" t="str">
        <x:v>P-SD</x:v>
      </x:c>
      <x:c r="AD33" s="48" t="str">
        <x:v>A-SD</x:v>
      </x:c>
      <x:c r="AE33" s="48" t="str">
        <x:v>P-SD</x:v>
      </x:c>
      <x:c r="AF33" s="48" t="str">
        <x:v>P-SD</x:v>
      </x:c>
      <x:c r="AG33" s="48" t="str">
        <x:v>A-SD</x:v>
      </x:c>
      <x:c r="AH33" s="48" t="str">
        <x:v>P-SD</x:v>
      </x:c>
      <x:c r="AI33" s="48" t="str">
        <x:v>P-SD</x:v>
      </x:c>
      <x:c r="AJ33" s="48" t="str">
        <x:v>P-SD</x:v>
      </x:c>
      <x:c r="AK33" s="48" t="str">
        <x:v>P-SD</x:v>
      </x:c>
      <x:c r="AL33" s="48" t="str">
        <x:v>P-SD</x:v>
      </x:c>
      <x:c r="AM33" s="48" t="str">
        <x:v>P-SD</x:v>
      </x:c>
      <x:c r="AN33" s="48" t="str">
        <x:v>A-SD</x:v>
      </x:c>
      <x:c r="AO33" s="48" t="str">
        <x:v>NO</x:v>
      </x:c>
      <x:c r="AP33" s="48" t="str">
        <x:v>P-SD</x:v>
      </x:c>
      <x:c r="AQ33" s="48" t="str">
        <x:v>A-SD</x:v>
      </x:c>
      <x:c r="AR33" s="48" t="str">
        <x:v>P-SD</x:v>
      </x:c>
      <x:c r="AS33" s="48" t="str">
        <x:v>P-SD</x:v>
      </x:c>
    </x:row>
    <x:row r="34">
      <x:c r="A34" s="48" t="str">
        <x:v>B_GOVERNANCE_SEGMENTATION</x:v>
      </x:c>
      <x:c r="B34" s="48" t="str">
        <x:v>Tier B v1.1 - N=29 rerun</x:v>
      </x:c>
      <x:c r="C34" s="48" t="str">
        <x:v>2026-07-16</x:v>
      </x:c>
      <x:c r="D34" s="48" t="str">
        <x:v>29_MANAGER_FAMILY_DDQ_CENSUS_LOWER_BOUND</x:v>
      </x:c>
      <x:c r="E34" s="48" t="str">
        <x:v>FALSE</x:v>
      </x:c>
      <x:c r="F34" s="48" t="str">
        <x:v>U07</x:v>
      </x:c>
      <x:c r="G34" s="48" t="str">
        <x:v>UNDERWRITING_DOCUMENTS</x:v>
      </x:c>
      <x:c r="H34" s="48" t="str">
        <x:v>Pre-close quantified VCP in approval case</x:v>
      </x:c>
      <x:c r="I34" s="48" t="str">
        <x:v>A quantified operating or value-creation plan is incorporated in the pre-close approval case.</x:v>
      </x:c>
      <x:c r="J34" s="48" t="str">
        <x:v>29</x:v>
      </x:c>
      <x:c r="K34" s="48" t="str">
        <x:v>1</x:v>
      </x:c>
      <x:c r="L34" s="48" t="str">
        <x:v>0</x:v>
      </x:c>
      <x:c r="M34" s="48" t="str">
        <x:v>0</x:v>
      </x:c>
      <x:c r="N34" s="48" t="str">
        <x:v>0</x:v>
      </x:c>
      <x:c r="O34" s="48" t="str">
        <x:v>0</x:v>
      </x:c>
      <x:c r="P34" s="48" t="str">
        <x:v>29</x:v>
      </x:c>
      <x:c r="Q34" s="48" t="str">
        <x:v>P-SD</x:v>
      </x:c>
      <x:c r="R34" s="48" t="str">
        <x:v>P-SD</x:v>
      </x:c>
      <x:c r="S34" s="48" t="str">
        <x:v>P-SD</x:v>
      </x:c>
      <x:c r="T34" s="48" t="str">
        <x:v>P-SD</x:v>
      </x:c>
      <x:c r="U34" s="48" t="str">
        <x:v>P-SD</x:v>
      </x:c>
      <x:c r="V34" s="48" t="str">
        <x:v>P-SD</x:v>
      </x:c>
      <x:c r="W34" s="48" t="str">
        <x:v>P-SD</x:v>
      </x:c>
      <x:c r="X34" s="48" t="str">
        <x:v>P-SD</x:v>
      </x:c>
      <x:c r="Y34" s="48" t="str">
        <x:v>P-SD</x:v>
      </x:c>
      <x:c r="Z34" s="48" t="str">
        <x:v>P-SD</x:v>
      </x:c>
      <x:c r="AA34" s="48" t="str">
        <x:v>P-SD</x:v>
      </x:c>
      <x:c r="AB34" s="48" t="str">
        <x:v>P-SD</x:v>
      </x:c>
      <x:c r="AC34" s="48" t="str">
        <x:v>P-SD</x:v>
      </x:c>
      <x:c r="AD34" s="48" t="str">
        <x:v>P-SD</x:v>
      </x:c>
      <x:c r="AE34" s="48" t="str">
        <x:v>P-SD</x:v>
      </x:c>
      <x:c r="AF34" s="48" t="str">
        <x:v>P-SD</x:v>
      </x:c>
      <x:c r="AG34" s="48" t="str">
        <x:v>P-SD</x:v>
      </x:c>
      <x:c r="AH34" s="48" t="str">
        <x:v>P-SD</x:v>
      </x:c>
      <x:c r="AI34" s="48" t="str">
        <x:v>P-SD</x:v>
      </x:c>
      <x:c r="AJ34" s="48" t="str">
        <x:v>P-SD</x:v>
      </x:c>
      <x:c r="AK34" s="48" t="str">
        <x:v>P-SD</x:v>
      </x:c>
      <x:c r="AL34" s="48" t="str">
        <x:v>P-SD</x:v>
      </x:c>
      <x:c r="AM34" s="48" t="str">
        <x:v>P-SD</x:v>
      </x:c>
      <x:c r="AN34" s="48" t="str">
        <x:v>P-SD</x:v>
      </x:c>
      <x:c r="AO34" s="48" t="str">
        <x:v>P-SD</x:v>
      </x:c>
      <x:c r="AP34" s="48" t="str">
        <x:v>P-SD</x:v>
      </x:c>
      <x:c r="AQ34" s="48" t="str">
        <x:v>P-SD</x:v>
      </x:c>
      <x:c r="AR34" s="48" t="str">
        <x:v>P-SD</x:v>
      </x:c>
      <x:c r="AS34" s="48" t="str">
        <x:v>PC-SD</x:v>
      </x:c>
    </x:row>
    <x:row r="35">
      <x:c r="A35" s="48" t="str">
        <x:v>B_GOVERNANCE_SEGMENTATION</x:v>
      </x:c>
      <x:c r="B35" s="48" t="str">
        <x:v>Tier B v1.1 - N=29 rerun</x:v>
      </x:c>
      <x:c r="C35" s="48" t="str">
        <x:v>2026-07-16</x:v>
      </x:c>
      <x:c r="D35" s="48" t="str">
        <x:v>29_MANAGER_FAMILY_DDQ_CENSUS_LOWER_BOUND</x:v>
      </x:c>
      <x:c r="E35" s="48" t="str">
        <x:v>FALSE</x:v>
      </x:c>
      <x:c r="F35" s="48" t="str">
        <x:v>U08</x:v>
      </x:c>
      <x:c r="G35" s="48" t="str">
        <x:v>UNDERWRITING_DOCUMENTS</x:v>
      </x:c>
      <x:c r="H35" s="48" t="str">
        <x:v>Model and VCP linkage explicit</x:v>
      </x:c>
      <x:c r="I35" s="48" t="str">
        <x:v>The source explicitly links value-creation initiatives to the financial model, returns or sensitivities.</x:v>
      </x:c>
      <x:c r="J35" s="48" t="str">
        <x:v>28</x:v>
      </x:c>
      <x:c r="K35" s="48" t="str">
        <x:v>15</x:v>
      </x:c>
      <x:c r="L35" s="48" t="str">
        <x:v>0</x:v>
      </x:c>
      <x:c r="M35" s="48" t="str">
        <x:v>1</x:v>
      </x:c>
      <x:c r="N35" s="48" t="str">
        <x:v>0</x:v>
      </x:c>
      <x:c r="O35" s="48" t="str">
        <x:v>0</x:v>
      </x:c>
      <x:c r="P35" s="48" t="str">
        <x:v>28</x:v>
      </x:c>
      <x:c r="Q35" s="48" t="str">
        <x:v>PC-SD</x:v>
      </x:c>
      <x:c r="R35" s="48" t="str">
        <x:v>P-SD</x:v>
      </x:c>
      <x:c r="S35" s="48" t="str">
        <x:v>P-SD</x:v>
      </x:c>
      <x:c r="T35" s="48" t="str">
        <x:v>PC-SD</x:v>
      </x:c>
      <x:c r="U35" s="48" t="str">
        <x:v>PC-SD</x:v>
      </x:c>
      <x:c r="V35" s="48" t="str">
        <x:v>P-SD</x:v>
      </x:c>
      <x:c r="W35" s="48" t="str">
        <x:v>PC-SD</x:v>
      </x:c>
      <x:c r="X35" s="48" t="str">
        <x:v>P-SD</x:v>
      </x:c>
      <x:c r="Y35" s="48" t="str">
        <x:v>P-SD</x:v>
      </x:c>
      <x:c r="Z35" s="48" t="str">
        <x:v>PC-SD</x:v>
      </x:c>
      <x:c r="AA35" s="48" t="str">
        <x:v>P-SD</x:v>
      </x:c>
      <x:c r="AB35" s="48" t="str">
        <x:v>P-SD</x:v>
      </x:c>
      <x:c r="AC35" s="48" t="str">
        <x:v>PC-SD</x:v>
      </x:c>
      <x:c r="AD35" s="48" t="str">
        <x:v>NO</x:v>
      </x:c>
      <x:c r="AE35" s="48" t="str">
        <x:v>PC-SD</x:v>
      </x:c>
      <x:c r="AF35" s="48" t="str">
        <x:v>PC-SD</x:v>
      </x:c>
      <x:c r="AG35" s="48" t="str">
        <x:v>P-SD</x:v>
      </x:c>
      <x:c r="AH35" s="48" t="str">
        <x:v>P-SD</x:v>
      </x:c>
      <x:c r="AI35" s="48" t="str">
        <x:v>P-SD</x:v>
      </x:c>
      <x:c r="AJ35" s="48" t="str">
        <x:v>P-SD</x:v>
      </x:c>
      <x:c r="AK35" s="48" t="str">
        <x:v>PC-SD</x:v>
      </x:c>
      <x:c r="AL35" s="48" t="str">
        <x:v>PC-SD</x:v>
      </x:c>
      <x:c r="AM35" s="48" t="str">
        <x:v>PC-SD</x:v>
      </x:c>
      <x:c r="AN35" s="48" t="str">
        <x:v>PC-SD</x:v>
      </x:c>
      <x:c r="AO35" s="48" t="str">
        <x:v>P-SD</x:v>
      </x:c>
      <x:c r="AP35" s="48" t="str">
        <x:v>P-SD</x:v>
      </x:c>
      <x:c r="AQ35" s="48" t="str">
        <x:v>PC-SD</x:v>
      </x:c>
      <x:c r="AR35" s="48" t="str">
        <x:v>PC-SD</x:v>
      </x:c>
      <x:c r="AS35" s="48" t="str">
        <x:v>PC-SD</x:v>
      </x:c>
    </x:row>
    <x:row r="36">
      <x:c r="A36" s="48" t="str">
        <x:v>B_GOVERNANCE_SEGMENTATION</x:v>
      </x:c>
      <x:c r="B36" s="48" t="str">
        <x:v>Tier B v1.1 - N=29 rerun</x:v>
      </x:c>
      <x:c r="C36" s="48" t="str">
        <x:v>2026-07-16</x:v>
      </x:c>
      <x:c r="D36" s="48" t="str">
        <x:v>29_MANAGER_FAMILY_DDQ_CENSUS_LOWER_BOUND</x:v>
      </x:c>
      <x:c r="E36" s="48" t="str">
        <x:v>FALSE</x:v>
      </x:c>
      <x:c r="F36" s="48" t="str">
        <x:v>U09</x:v>
      </x:c>
      <x:c r="G36" s="48" t="str">
        <x:v>UNDERWRITING_DOCUMENTS</x:v>
      </x:c>
      <x:c r="H36" s="48" t="str">
        <x:v>100-day or 180-day plan before or immediately after close</x:v>
      </x:c>
      <x:c r="I36" s="48" t="str">
        <x:v>A formal early-ownership implementation plan is prepared before closing or immediately afterward.</x:v>
      </x:c>
      <x:c r="J36" s="48" t="str">
        <x:v>24</x:v>
      </x:c>
      <x:c r="K36" s="48" t="str">
        <x:v>12</x:v>
      </x:c>
      <x:c r="L36" s="48" t="str">
        <x:v>1</x:v>
      </x:c>
      <x:c r="M36" s="48" t="str">
        <x:v>4</x:v>
      </x:c>
      <x:c r="N36" s="48" t="str">
        <x:v>0</x:v>
      </x:c>
      <x:c r="O36" s="48" t="str">
        <x:v>0</x:v>
      </x:c>
      <x:c r="P36" s="48" t="str">
        <x:v>25</x:v>
      </x:c>
      <x:c r="Q36" s="48" t="str">
        <x:v>NO</x:v>
      </x:c>
      <x:c r="R36" s="48" t="str">
        <x:v>PC-SD</x:v>
      </x:c>
      <x:c r="S36" s="48" t="str">
        <x:v>P-SD</x:v>
      </x:c>
      <x:c r="T36" s="48" t="str">
        <x:v>P-SD</x:v>
      </x:c>
      <x:c r="U36" s="48" t="str">
        <x:v>PC-SD</x:v>
      </x:c>
      <x:c r="V36" s="48" t="str">
        <x:v>PC-SD</x:v>
      </x:c>
      <x:c r="W36" s="48" t="str">
        <x:v>P-SD</x:v>
      </x:c>
      <x:c r="X36" s="48" t="str">
        <x:v>P-SD</x:v>
      </x:c>
      <x:c r="Y36" s="48" t="str">
        <x:v>PC-SD</x:v>
      </x:c>
      <x:c r="Z36" s="48" t="str">
        <x:v>PC-SD</x:v>
      </x:c>
      <x:c r="AA36" s="48" t="str">
        <x:v>PC-SD</x:v>
      </x:c>
      <x:c r="AB36" s="48" t="str">
        <x:v>P-SD</x:v>
      </x:c>
      <x:c r="AC36" s="48" t="str">
        <x:v>PC-SD</x:v>
      </x:c>
      <x:c r="AD36" s="48" t="str">
        <x:v>PC-SD</x:v>
      </x:c>
      <x:c r="AE36" s="48" t="str">
        <x:v>P-SD</x:v>
      </x:c>
      <x:c r="AF36" s="48" t="str">
        <x:v>PC-SD</x:v>
      </x:c>
      <x:c r="AG36" s="48" t="str">
        <x:v>P-SD</x:v>
      </x:c>
      <x:c r="AH36" s="48" t="str">
        <x:v>P-SD</x:v>
      </x:c>
      <x:c r="AI36" s="48" t="str">
        <x:v>PC-SD</x:v>
      </x:c>
      <x:c r="AJ36" s="48" t="str">
        <x:v>PC-SD</x:v>
      </x:c>
      <x:c r="AK36" s="48" t="str">
        <x:v>P-SD</x:v>
      </x:c>
      <x:c r="AL36" s="48" t="str">
        <x:v>PC-SD</x:v>
      </x:c>
      <x:c r="AM36" s="48" t="str">
        <x:v>P-SD</x:v>
      </x:c>
      <x:c r="AN36" s="48" t="str">
        <x:v>A-SD</x:v>
      </x:c>
      <x:c r="AO36" s="48" t="str">
        <x:v>NO</x:v>
      </x:c>
      <x:c r="AP36" s="48" t="str">
        <x:v>P-SD</x:v>
      </x:c>
      <x:c r="AQ36" s="48" t="str">
        <x:v>P-SD</x:v>
      </x:c>
      <x:c r="AR36" s="48" t="str">
        <x:v>NO</x:v>
      </x:c>
      <x:c r="AS36" s="48" t="str">
        <x:v>NO</x:v>
      </x:c>
    </x:row>
    <x:row r="37">
      <x:c r="A37" s="48" t="str">
        <x:v>B_GOVERNANCE_SEGMENTATION</x:v>
      </x:c>
      <x:c r="B37" s="48" t="str">
        <x:v>Tier B v1.1 - N=29 rerun</x:v>
      </x:c>
      <x:c r="C37" s="48" t="str">
        <x:v>2026-07-16</x:v>
      </x:c>
      <x:c r="D37" s="48" t="str">
        <x:v>29_MANAGER_FAMILY_DDQ_CENSUS_LOWER_BOUND</x:v>
      </x:c>
      <x:c r="E37" s="48" t="str">
        <x:v>FALSE</x:v>
      </x:c>
      <x:c r="F37" s="48" t="str">
        <x:v>O01</x:v>
      </x:c>
      <x:c r="G37" s="48" t="str">
        <x:v>OWNERSHIP_MONITORING</x:v>
      </x:c>
      <x:c r="H37" s="48" t="str">
        <x:v>Same deal team remains involved through ownership or exit</x:v>
      </x:c>
      <x:c r="I37" s="48" t="str">
        <x:v>Deal professionals retain material responsibility after closing rather than fully handing off the investment.</x:v>
      </x:c>
      <x:c r="J37" s="48" t="str">
        <x:v>13</x:v>
      </x:c>
      <x:c r="K37" s="48" t="str">
        <x:v>0</x:v>
      </x:c>
      <x:c r="L37" s="48" t="str">
        <x:v>0</x:v>
      </x:c>
      <x:c r="M37" s="48" t="str">
        <x:v>16</x:v>
      </x:c>
      <x:c r="N37" s="48" t="str">
        <x:v>0</x:v>
      </x:c>
      <x:c r="O37" s="48" t="str">
        <x:v>0</x:v>
      </x:c>
      <x:c r="P37" s="48" t="str">
        <x:v>13</x:v>
      </x:c>
      <x:c r="Q37" s="48" t="str">
        <x:v>NO</x:v>
      </x:c>
      <x:c r="R37" s="48" t="str">
        <x:v>NO</x:v>
      </x:c>
      <x:c r="S37" s="48" t="str">
        <x:v>NO</x:v>
      </x:c>
      <x:c r="T37" s="48" t="str">
        <x:v>NO</x:v>
      </x:c>
      <x:c r="U37" s="48" t="str">
        <x:v>NO</x:v>
      </x:c>
      <x:c r="V37" s="48" t="str">
        <x:v>NO</x:v>
      </x:c>
      <x:c r="W37" s="48" t="str">
        <x:v>P-SD</x:v>
      </x:c>
      <x:c r="X37" s="48" t="str">
        <x:v>NO</x:v>
      </x:c>
      <x:c r="Y37" s="48" t="str">
        <x:v>NO</x:v>
      </x:c>
      <x:c r="Z37" s="48" t="str">
        <x:v>P-SD</x:v>
      </x:c>
      <x:c r="AA37" s="48" t="str">
        <x:v>NO</x:v>
      </x:c>
      <x:c r="AB37" s="48" t="str">
        <x:v>P-SD</x:v>
      </x:c>
      <x:c r="AC37" s="48" t="str">
        <x:v>NO</x:v>
      </x:c>
      <x:c r="AD37" s="48" t="str">
        <x:v>NO</x:v>
      </x:c>
      <x:c r="AE37" s="48" t="str">
        <x:v>P-SD</x:v>
      </x:c>
      <x:c r="AF37" s="48" t="str">
        <x:v>NO</x:v>
      </x:c>
      <x:c r="AG37" s="48" t="str">
        <x:v>P-SD</x:v>
      </x:c>
      <x:c r="AH37" s="48" t="str">
        <x:v>NO</x:v>
      </x:c>
      <x:c r="AI37" s="48" t="str">
        <x:v>P-SD</x:v>
      </x:c>
      <x:c r="AJ37" s="48" t="str">
        <x:v>NO</x:v>
      </x:c>
      <x:c r="AK37" s="48" t="str">
        <x:v>NO</x:v>
      </x:c>
      <x:c r="AL37" s="48" t="str">
        <x:v>P-SD</x:v>
      </x:c>
      <x:c r="AM37" s="48" t="str">
        <x:v>P-SD</x:v>
      </x:c>
      <x:c r="AN37" s="48" t="str">
        <x:v>P-SD</x:v>
      </x:c>
      <x:c r="AO37" s="48" t="str">
        <x:v>P-SD</x:v>
      </x:c>
      <x:c r="AP37" s="48" t="str">
        <x:v>P-SD</x:v>
      </x:c>
      <x:c r="AQ37" s="48" t="str">
        <x:v>P-SD</x:v>
      </x:c>
      <x:c r="AR37" s="48" t="str">
        <x:v>NO</x:v>
      </x:c>
      <x:c r="AS37" s="48" t="str">
        <x:v>P-SD</x:v>
      </x:c>
    </x:row>
    <x:row r="38">
      <x:c r="A38" s="48" t="str">
        <x:v>B_GOVERNANCE_SEGMENTATION</x:v>
      </x:c>
      <x:c r="B38" s="48" t="str">
        <x:v>Tier B v1.1 - N=29 rerun</x:v>
      </x:c>
      <x:c r="C38" s="48" t="str">
        <x:v>2026-07-16</x:v>
      </x:c>
      <x:c r="D38" s="48" t="str">
        <x:v>29_MANAGER_FAMILY_DDQ_CENSUS_LOWER_BOUND</x:v>
      </x:c>
      <x:c r="E38" s="48" t="str">
        <x:v>FALSE</x:v>
      </x:c>
      <x:c r="F38" s="48" t="str">
        <x:v>O02</x:v>
      </x:c>
      <x:c r="G38" s="48" t="str">
        <x:v>OWNERSHIP_MONITORING</x:v>
      </x:c>
      <x:c r="H38" s="48" t="str">
        <x:v>Formal post-close KPI or re-underwriting system</x:v>
      </x:c>
      <x:c r="I38" s="48" t="str">
        <x:v>The manager uses formal KPI, portfolio-review or re-underwriting processes after closing.</x:v>
      </x:c>
      <x:c r="J38" s="48" t="str">
        <x:v>29</x:v>
      </x:c>
      <x:c r="K38" s="48" t="str">
        <x:v>0</x:v>
      </x:c>
      <x:c r="L38" s="48" t="str">
        <x:v>0</x:v>
      </x:c>
      <x:c r="M38" s="48" t="str">
        <x:v>0</x:v>
      </x:c>
      <x:c r="N38" s="48" t="str">
        <x:v>0</x:v>
      </x:c>
      <x:c r="O38" s="48" t="str">
        <x:v>0</x:v>
      </x:c>
      <x:c r="P38" s="48" t="str">
        <x:v>29</x:v>
      </x:c>
      <x:c r="Q38" s="48" t="str">
        <x:v>P-SD</x:v>
      </x:c>
      <x:c r="R38" s="48" t="str">
        <x:v>P-SD</x:v>
      </x:c>
      <x:c r="S38" s="48" t="str">
        <x:v>P-SD</x:v>
      </x:c>
      <x:c r="T38" s="48" t="str">
        <x:v>P-SD</x:v>
      </x:c>
      <x:c r="U38" s="48" t="str">
        <x:v>P-SD</x:v>
      </x:c>
      <x:c r="V38" s="48" t="str">
        <x:v>P-SD</x:v>
      </x:c>
      <x:c r="W38" s="48" t="str">
        <x:v>P-SD</x:v>
      </x:c>
      <x:c r="X38" s="48" t="str">
        <x:v>P-SD</x:v>
      </x:c>
      <x:c r="Y38" s="48" t="str">
        <x:v>P-SD</x:v>
      </x:c>
      <x:c r="Z38" s="48" t="str">
        <x:v>P-SD</x:v>
      </x:c>
      <x:c r="AA38" s="48" t="str">
        <x:v>P-SD</x:v>
      </x:c>
      <x:c r="AB38" s="48" t="str">
        <x:v>P-SD</x:v>
      </x:c>
      <x:c r="AC38" s="48" t="str">
        <x:v>P-SD</x:v>
      </x:c>
      <x:c r="AD38" s="48" t="str">
        <x:v>P-SD</x:v>
      </x:c>
      <x:c r="AE38" s="48" t="str">
        <x:v>P-SD</x:v>
      </x:c>
      <x:c r="AF38" s="48" t="str">
        <x:v>P-SD</x:v>
      </x:c>
      <x:c r="AG38" s="48" t="str">
        <x:v>P-SD</x:v>
      </x:c>
      <x:c r="AH38" s="48" t="str">
        <x:v>P-SD</x:v>
      </x:c>
      <x:c r="AI38" s="48" t="str">
        <x:v>P-SD</x:v>
      </x:c>
      <x:c r="AJ38" s="48" t="str">
        <x:v>P-SD</x:v>
      </x:c>
      <x:c r="AK38" s="48" t="str">
        <x:v>P-SD</x:v>
      </x:c>
      <x:c r="AL38" s="48" t="str">
        <x:v>P-SD</x:v>
      </x:c>
      <x:c r="AM38" s="48" t="str">
        <x:v>P-SD</x:v>
      </x:c>
      <x:c r="AN38" s="48" t="str">
        <x:v>P-SD</x:v>
      </x:c>
      <x:c r="AO38" s="48" t="str">
        <x:v>P-SD</x:v>
      </x:c>
      <x:c r="AP38" s="48" t="str">
        <x:v>P-SD</x:v>
      </x:c>
      <x:c r="AQ38" s="48" t="str">
        <x:v>P-SD</x:v>
      </x:c>
      <x:c r="AR38" s="48" t="str">
        <x:v>P-SD</x:v>
      </x:c>
      <x:c r="AS38" s="48" t="str">
        <x:v>P-SD</x:v>
      </x:c>
    </x:row>
    <x:row r="39">
      <x:c r="A39" s="48" t="str">
        <x:v>B_GOVERNANCE_SEGMENTATION</x:v>
      </x:c>
      <x:c r="B39" s="48" t="str">
        <x:v>Tier B v1.1 - N=29 rerun</x:v>
      </x:c>
      <x:c r="C39" s="48" t="str">
        <x:v>2026-07-16</x:v>
      </x:c>
      <x:c r="D39" s="48" t="str">
        <x:v>29_MANAGER_FAMILY_DDQ_CENSUS_LOWER_BOUND</x:v>
      </x:c>
      <x:c r="E39" s="48" t="str">
        <x:v>FALSE</x:v>
      </x:c>
      <x:c r="F39" s="48" t="str">
        <x:v>O03</x:v>
      </x:c>
      <x:c r="G39" s="48" t="str">
        <x:v>OWNERSHIP_MONITORING</x:v>
      </x:c>
      <x:c r="H39" s="48" t="str">
        <x:v>Separate portfolio committee from investment committee</x:v>
      </x:c>
      <x:c r="I39" s="48" t="str">
        <x:v>A separate portfolio-review or portfolio-management committee exists.</x:v>
      </x:c>
      <x:c r="J39" s="48" t="str">
        <x:v>4</x:v>
      </x:c>
      <x:c r="K39" s="48" t="str">
        <x:v>0</x:v>
      </x:c>
      <x:c r="L39" s="48" t="str">
        <x:v>0</x:v>
      </x:c>
      <x:c r="M39" s="48" t="str">
        <x:v>25</x:v>
      </x:c>
      <x:c r="N39" s="48" t="str">
        <x:v>0</x:v>
      </x:c>
      <x:c r="O39" s="48" t="str">
        <x:v>0</x:v>
      </x:c>
      <x:c r="P39" s="48" t="str">
        <x:v>4</x:v>
      </x:c>
      <x:c r="Q39" s="48" t="str">
        <x:v>NO</x:v>
      </x:c>
      <x:c r="R39" s="48" t="str">
        <x:v>NO</x:v>
      </x:c>
      <x:c r="S39" s="48" t="str">
        <x:v>P-SD</x:v>
      </x:c>
      <x:c r="T39" s="48" t="str">
        <x:v>NO</x:v>
      </x:c>
      <x:c r="U39" s="48" t="str">
        <x:v>NO</x:v>
      </x:c>
      <x:c r="V39" s="48" t="str">
        <x:v>NO</x:v>
      </x:c>
      <x:c r="W39" s="48" t="str">
        <x:v>P-SD</x:v>
      </x:c>
      <x:c r="X39" s="48" t="str">
        <x:v>NO</x:v>
      </x:c>
      <x:c r="Y39" s="48" t="str">
        <x:v>NO</x:v>
      </x:c>
      <x:c r="Z39" s="48" t="str">
        <x:v>P-SD</x:v>
      </x:c>
      <x:c r="AA39" s="48" t="str">
        <x:v>NO</x:v>
      </x:c>
      <x:c r="AB39" s="48" t="str">
        <x:v>NO</x:v>
      </x:c>
      <x:c r="AC39" s="48" t="str">
        <x:v>NO</x:v>
      </x:c>
      <x:c r="AD39" s="48" t="str">
        <x:v>NO</x:v>
      </x:c>
      <x:c r="AE39" s="48" t="str">
        <x:v>NO</x:v>
      </x:c>
      <x:c r="AF39" s="48" t="str">
        <x:v>NO</x:v>
      </x:c>
      <x:c r="AG39" s="48" t="str">
        <x:v>NO</x:v>
      </x:c>
      <x:c r="AH39" s="48" t="str">
        <x:v>NO</x:v>
      </x:c>
      <x:c r="AI39" s="48" t="str">
        <x:v>NO</x:v>
      </x:c>
      <x:c r="AJ39" s="48" t="str">
        <x:v>NO</x:v>
      </x:c>
      <x:c r="AK39" s="48" t="str">
        <x:v>NO</x:v>
      </x:c>
      <x:c r="AL39" s="48" t="str">
        <x:v>NO</x:v>
      </x:c>
      <x:c r="AM39" s="48" t="str">
        <x:v>NO</x:v>
      </x:c>
      <x:c r="AN39" s="48" t="str">
        <x:v>NO</x:v>
      </x:c>
      <x:c r="AO39" s="48" t="str">
        <x:v>NO</x:v>
      </x:c>
      <x:c r="AP39" s="48" t="str">
        <x:v>NO</x:v>
      </x:c>
      <x:c r="AQ39" s="48" t="str">
        <x:v>NO</x:v>
      </x:c>
      <x:c r="AR39" s="48" t="str">
        <x:v>P-SD</x:v>
      </x:c>
      <x:c r="AS39" s="48" t="str">
        <x:v>NO</x:v>
      </x:c>
    </x:row>
    <x:row r="40">
      <x:c r="A40" s="48" t="str">
        <x:v>B_GOVERNANCE_SEGMENTATION</x:v>
      </x:c>
      <x:c r="B40" s="48" t="str">
        <x:v>Tier B v1.1 - N=29 rerun</x:v>
      </x:c>
      <x:c r="C40" s="48" t="str">
        <x:v>2026-07-16</x:v>
      </x:c>
      <x:c r="D40" s="48" t="str">
        <x:v>29_MANAGER_FAMILY_DDQ_CENSUS_LOWER_BOUND</x:v>
      </x:c>
      <x:c r="E40" s="48" t="str">
        <x:v>FALSE</x:v>
      </x:c>
      <x:c r="F40" s="48" t="str">
        <x:v>O04</x:v>
      </x:c>
      <x:c r="G40" s="48" t="str">
        <x:v>OWNERSHIP_MONITORING</x:v>
      </x:c>
      <x:c r="H40" s="48" t="str">
        <x:v>Exit planning begins during underwriting or ownership</x:v>
      </x:c>
      <x:c r="I40" s="48" t="str">
        <x:v>Exit routes or readiness are considered before the final sale process begins.</x:v>
      </x:c>
      <x:c r="J40" s="48" t="str">
        <x:v>25</x:v>
      </x:c>
      <x:c r="K40" s="48" t="str">
        <x:v>21</x:v>
      </x:c>
      <x:c r="L40" s="48" t="str">
        <x:v>0</x:v>
      </x:c>
      <x:c r="M40" s="48" t="str">
        <x:v>4</x:v>
      </x:c>
      <x:c r="N40" s="48" t="str">
        <x:v>0</x:v>
      </x:c>
      <x:c r="O40" s="48" t="str">
        <x:v>0</x:v>
      </x:c>
      <x:c r="P40" s="48" t="str">
        <x:v>25</x:v>
      </x:c>
      <x:c r="Q40" s="48" t="str">
        <x:v>PC-SD</x:v>
      </x:c>
      <x:c r="R40" s="48" t="str">
        <x:v>PC-SD</x:v>
      </x:c>
      <x:c r="S40" s="48" t="str">
        <x:v>PC-SD</x:v>
      </x:c>
      <x:c r="T40" s="48" t="str">
        <x:v>PC-SD</x:v>
      </x:c>
      <x:c r="U40" s="48" t="str">
        <x:v>PC-SD</x:v>
      </x:c>
      <x:c r="V40" s="48" t="str">
        <x:v>PC-SD</x:v>
      </x:c>
      <x:c r="W40" s="48" t="str">
        <x:v>PC-SD</x:v>
      </x:c>
      <x:c r="X40" s="48" t="str">
        <x:v>NO</x:v>
      </x:c>
      <x:c r="Y40" s="48" t="str">
        <x:v>PC-SD</x:v>
      </x:c>
      <x:c r="Z40" s="48" t="str">
        <x:v>PC-SD</x:v>
      </x:c>
      <x:c r="AA40" s="48" t="str">
        <x:v>PC-SD</x:v>
      </x:c>
      <x:c r="AB40" s="48" t="str">
        <x:v>PC-SD</x:v>
      </x:c>
      <x:c r="AC40" s="48" t="str">
        <x:v>PC-SD</x:v>
      </x:c>
      <x:c r="AD40" s="48" t="str">
        <x:v>PC-SD</x:v>
      </x:c>
      <x:c r="AE40" s="48" t="str">
        <x:v>PC-SD</x:v>
      </x:c>
      <x:c r="AF40" s="48" t="str">
        <x:v>PC-SD</x:v>
      </x:c>
      <x:c r="AG40" s="48" t="str">
        <x:v>PC-SD</x:v>
      </x:c>
      <x:c r="AH40" s="48" t="str">
        <x:v>PC-SD</x:v>
      </x:c>
      <x:c r="AI40" s="48" t="str">
        <x:v>NO</x:v>
      </x:c>
      <x:c r="AJ40" s="48" t="str">
        <x:v>PC-SD</x:v>
      </x:c>
      <x:c r="AK40" s="48" t="str">
        <x:v>PC-SD</x:v>
      </x:c>
      <x:c r="AL40" s="48" t="str">
        <x:v>PC-SD</x:v>
      </x:c>
      <x:c r="AM40" s="48" t="str">
        <x:v>PC-SD</x:v>
      </x:c>
      <x:c r="AN40" s="48" t="str">
        <x:v>NO</x:v>
      </x:c>
      <x:c r="AO40" s="48" t="str">
        <x:v>P-SD</x:v>
      </x:c>
      <x:c r="AP40" s="48" t="str">
        <x:v>P-SD</x:v>
      </x:c>
      <x:c r="AQ40" s="48" t="str">
        <x:v>P-SD</x:v>
      </x:c>
      <x:c r="AR40" s="48" t="str">
        <x:v>NO</x:v>
      </x:c>
      <x:c r="AS40" s="48" t="str">
        <x:v>P-SD</x:v>
      </x:c>
    </x:row>
    <x:row r="41">
      <x:c r="A41" s="48" t="str">
        <x:v>B_GOVERNANCE_SEGMENTATION</x:v>
      </x:c>
      <x:c r="B41" s="48" t="str">
        <x:v>Tier B v1.1 - N=29 rerun</x:v>
      </x:c>
      <x:c r="C41" s="48" t="str">
        <x:v>2026-07-16</x:v>
      </x:c>
      <x:c r="D41" s="48" t="str">
        <x:v>29_MANAGER_FAMILY_DDQ_CENSUS_LOWER_BOUND</x:v>
      </x:c>
      <x:c r="E41" s="48" t="str">
        <x:v>FALSE</x:v>
      </x:c>
      <x:c r="F41" s="48" t="str">
        <x:v>O05</x:v>
      </x:c>
      <x:c r="G41" s="48" t="str">
        <x:v>OWNERSHIP_MONITORING</x:v>
      </x:c>
      <x:c r="H41" s="48" t="str">
        <x:v>Follow-on or add-on requires formal approval</x:v>
      </x:c>
      <x:c r="I41" s="48" t="str">
        <x:v>Follow-on capital or add-on investments require an IC or equivalent formal decision.</x:v>
      </x:c>
      <x:c r="J41" s="48" t="str">
        <x:v>16</x:v>
      </x:c>
      <x:c r="K41" s="48" t="str">
        <x:v>3</x:v>
      </x:c>
      <x:c r="L41" s="48" t="str">
        <x:v>0</x:v>
      </x:c>
      <x:c r="M41" s="48" t="str">
        <x:v>13</x:v>
      </x:c>
      <x:c r="N41" s="48" t="str">
        <x:v>0</x:v>
      </x:c>
      <x:c r="O41" s="48" t="str">
        <x:v>0</x:v>
      </x:c>
      <x:c r="P41" s="48" t="str">
        <x:v>16</x:v>
      </x:c>
      <x:c r="Q41" s="48" t="str">
        <x:v>PC-SD</x:v>
      </x:c>
      <x:c r="R41" s="48" t="str">
        <x:v>PC-SD</x:v>
      </x:c>
      <x:c r="S41" s="48" t="str">
        <x:v>P-SD</x:v>
      </x:c>
      <x:c r="T41" s="48" t="str">
        <x:v>P-SD</x:v>
      </x:c>
      <x:c r="U41" s="48" t="str">
        <x:v>P-SD</x:v>
      </x:c>
      <x:c r="V41" s="48" t="str">
        <x:v>P-SD</x:v>
      </x:c>
      <x:c r="W41" s="48" t="str">
        <x:v>P-SD</x:v>
      </x:c>
      <x:c r="X41" s="48" t="str">
        <x:v>PC-SD</x:v>
      </x:c>
      <x:c r="Y41" s="48" t="str">
        <x:v>P-SD</x:v>
      </x:c>
      <x:c r="Z41" s="48" t="str">
        <x:v>P-SD</x:v>
      </x:c>
      <x:c r="AA41" s="48" t="str">
        <x:v>NO</x:v>
      </x:c>
      <x:c r="AB41" s="48" t="str">
        <x:v>NO</x:v>
      </x:c>
      <x:c r="AC41" s="48" t="str">
        <x:v>NO</x:v>
      </x:c>
      <x:c r="AD41" s="48" t="str">
        <x:v>P-SD</x:v>
      </x:c>
      <x:c r="AE41" s="48" t="str">
        <x:v>NO</x:v>
      </x:c>
      <x:c r="AF41" s="48" t="str">
        <x:v>NO</x:v>
      </x:c>
      <x:c r="AG41" s="48" t="str">
        <x:v>NO</x:v>
      </x:c>
      <x:c r="AH41" s="48" t="str">
        <x:v>NO</x:v>
      </x:c>
      <x:c r="AI41" s="48" t="str">
        <x:v>NO</x:v>
      </x:c>
      <x:c r="AJ41" s="48" t="str">
        <x:v>P-SD</x:v>
      </x:c>
      <x:c r="AK41" s="48" t="str">
        <x:v>NO</x:v>
      </x:c>
      <x:c r="AL41" s="48" t="str">
        <x:v>NO</x:v>
      </x:c>
      <x:c r="AM41" s="48" t="str">
        <x:v>NO</x:v>
      </x:c>
      <x:c r="AN41" s="48" t="str">
        <x:v>NO</x:v>
      </x:c>
      <x:c r="AO41" s="48" t="str">
        <x:v>P-SD</x:v>
      </x:c>
      <x:c r="AP41" s="48" t="str">
        <x:v>P-SD</x:v>
      </x:c>
      <x:c r="AQ41" s="48" t="str">
        <x:v>NO</x:v>
      </x:c>
      <x:c r="AR41" s="48" t="str">
        <x:v>P-SD</x:v>
      </x:c>
      <x:c r="AS41" s="48" t="str">
        <x:v>P-SD</x:v>
      </x:c>
    </x:row>
    <x:row r="42">
      <x:c r="A42" s="48" t="str">
        <x:v>B_GOVERNANCE_SEGMENTATION</x:v>
      </x:c>
      <x:c r="B42" s="48" t="str">
        <x:v>Tier B v1.1 - N=29 rerun</x:v>
      </x:c>
      <x:c r="C42" s="48" t="str">
        <x:v>2026-07-16</x:v>
      </x:c>
      <x:c r="D42" s="48" t="str">
        <x:v>29_MANAGER_FAMILY_DDQ_CENSUS_LOWER_BOUND</x:v>
      </x:c>
      <x:c r="E42" s="48" t="str">
        <x:v>FALSE</x:v>
      </x:c>
      <x:c r="F42" s="48" t="str">
        <x:v>S01</x:v>
      </x:c>
      <x:c r="G42" s="48" t="str">
        <x:v>SOURCING_STRATEGY</x:v>
      </x:c>
      <x:c r="H42" s="48" t="str">
        <x:v>Thematic work can precede a live opportunity</x:v>
      </x:c>
      <x:c r="I42" s="48" t="str">
        <x:v>Sector or thematic research is developed before a specific transaction is active.</x:v>
      </x:c>
      <x:c r="J42" s="48" t="str">
        <x:v>28</x:v>
      </x:c>
      <x:c r="K42" s="48" t="str">
        <x:v>0</x:v>
      </x:c>
      <x:c r="L42" s="48" t="str">
        <x:v>0</x:v>
      </x:c>
      <x:c r="M42" s="48" t="str">
        <x:v>1</x:v>
      </x:c>
      <x:c r="N42" s="48" t="str">
        <x:v>0</x:v>
      </x:c>
      <x:c r="O42" s="48" t="str">
        <x:v>0</x:v>
      </x:c>
      <x:c r="P42" s="48" t="str">
        <x:v>28</x:v>
      </x:c>
      <x:c r="Q42" s="48" t="str">
        <x:v>P-SD</x:v>
      </x:c>
      <x:c r="R42" s="48" t="str">
        <x:v>P-SD</x:v>
      </x:c>
      <x:c r="S42" s="48" t="str">
        <x:v>P-SD</x:v>
      </x:c>
      <x:c r="T42" s="48" t="str">
        <x:v>P-SD</x:v>
      </x:c>
      <x:c r="U42" s="48" t="str">
        <x:v>P-SD</x:v>
      </x:c>
      <x:c r="V42" s="48" t="str">
        <x:v>P-SD</x:v>
      </x:c>
      <x:c r="W42" s="48" t="str">
        <x:v>P-SD</x:v>
      </x:c>
      <x:c r="X42" s="48" t="str">
        <x:v>P-SD</x:v>
      </x:c>
      <x:c r="Y42" s="48" t="str">
        <x:v>P-SD</x:v>
      </x:c>
      <x:c r="Z42" s="48" t="str">
        <x:v>P-SD</x:v>
      </x:c>
      <x:c r="AA42" s="48" t="str">
        <x:v>P-SD</x:v>
      </x:c>
      <x:c r="AB42" s="48" t="str">
        <x:v>P-SD</x:v>
      </x:c>
      <x:c r="AC42" s="48" t="str">
        <x:v>P-SD</x:v>
      </x:c>
      <x:c r="AD42" s="48" t="str">
        <x:v>P-SD</x:v>
      </x:c>
      <x:c r="AE42" s="48" t="str">
        <x:v>P-SD</x:v>
      </x:c>
      <x:c r="AF42" s="48" t="str">
        <x:v>P-SD</x:v>
      </x:c>
      <x:c r="AG42" s="48" t="str">
        <x:v>P-SD</x:v>
      </x:c>
      <x:c r="AH42" s="48" t="str">
        <x:v>P-SD</x:v>
      </x:c>
      <x:c r="AI42" s="48" t="str">
        <x:v>P-SD</x:v>
      </x:c>
      <x:c r="AJ42" s="48" t="str">
        <x:v>P-SD</x:v>
      </x:c>
      <x:c r="AK42" s="48" t="str">
        <x:v>P-SD</x:v>
      </x:c>
      <x:c r="AL42" s="48" t="str">
        <x:v>P-SD</x:v>
      </x:c>
      <x:c r="AM42" s="48" t="str">
        <x:v>NO</x:v>
      </x:c>
      <x:c r="AN42" s="48" t="str">
        <x:v>P-SD</x:v>
      </x:c>
      <x:c r="AO42" s="48" t="str">
        <x:v>P-SD</x:v>
      </x:c>
      <x:c r="AP42" s="48" t="str">
        <x:v>P-SD</x:v>
      </x:c>
      <x:c r="AQ42" s="48" t="str">
        <x:v>P-SD</x:v>
      </x:c>
      <x:c r="AR42" s="48" t="str">
        <x:v>P-SD</x:v>
      </x:c>
      <x:c r="AS42" s="48" t="str">
        <x:v>P-SD</x:v>
      </x:c>
    </x:row>
    <x:row r="43">
      <x:c r="A43" s="48" t="str">
        <x:v>B_GOVERNANCE_SEGMENTATION</x:v>
      </x:c>
      <x:c r="B43" s="48" t="str">
        <x:v>Tier B v1.1 - N=29 rerun</x:v>
      </x:c>
      <x:c r="C43" s="48" t="str">
        <x:v>2026-07-16</x:v>
      </x:c>
      <x:c r="D43" s="48" t="str">
        <x:v>29_MANAGER_FAMILY_DDQ_CENSUS_LOWER_BOUND</x:v>
      </x:c>
      <x:c r="E43" s="48" t="str">
        <x:v>FALSE</x:v>
      </x:c>
      <x:c r="F43" s="48" t="str">
        <x:v>S02</x:v>
      </x:c>
      <x:c r="G43" s="48" t="str">
        <x:v>SOURCING_STRATEGY</x:v>
      </x:c>
      <x:c r="H43" s="48" t="str">
        <x:v>Management relationship development before a sale process</x:v>
      </x:c>
      <x:c r="I43" s="48" t="str">
        <x:v>The manager explicitly develops management or owner relationships before a formal process.</x:v>
      </x:c>
      <x:c r="J43" s="48" t="str">
        <x:v>20</x:v>
      </x:c>
      <x:c r="K43" s="48" t="str">
        <x:v>0</x:v>
      </x:c>
      <x:c r="L43" s="48" t="str">
        <x:v>0</x:v>
      </x:c>
      <x:c r="M43" s="48" t="str">
        <x:v>9</x:v>
      </x:c>
      <x:c r="N43" s="48" t="str">
        <x:v>0</x:v>
      </x:c>
      <x:c r="O43" s="48" t="str">
        <x:v>0</x:v>
      </x:c>
      <x:c r="P43" s="48" t="str">
        <x:v>20</x:v>
      </x:c>
      <x:c r="Q43" s="48" t="str">
        <x:v>NO</x:v>
      </x:c>
      <x:c r="R43" s="48" t="str">
        <x:v>P-SD</x:v>
      </x:c>
      <x:c r="S43" s="48" t="str">
        <x:v>P-SD</x:v>
      </x:c>
      <x:c r="T43" s="48" t="str">
        <x:v>P-SD</x:v>
      </x:c>
      <x:c r="U43" s="48" t="str">
        <x:v>P-SD</x:v>
      </x:c>
      <x:c r="V43" s="48" t="str">
        <x:v>NO</x:v>
      </x:c>
      <x:c r="W43" s="48" t="str">
        <x:v>P-SD</x:v>
      </x:c>
      <x:c r="X43" s="48" t="str">
        <x:v>P-SD</x:v>
      </x:c>
      <x:c r="Y43" s="48" t="str">
        <x:v>P-SD</x:v>
      </x:c>
      <x:c r="Z43" s="48" t="str">
        <x:v>P-SD</x:v>
      </x:c>
      <x:c r="AA43" s="48" t="str">
        <x:v>NO</x:v>
      </x:c>
      <x:c r="AB43" s="48" t="str">
        <x:v>P-SD</x:v>
      </x:c>
      <x:c r="AC43" s="48" t="str">
        <x:v>NO</x:v>
      </x:c>
      <x:c r="AD43" s="48" t="str">
        <x:v>P-SD</x:v>
      </x:c>
      <x:c r="AE43" s="48" t="str">
        <x:v>NO</x:v>
      </x:c>
      <x:c r="AF43" s="48" t="str">
        <x:v>P-SD</x:v>
      </x:c>
      <x:c r="AG43" s="48" t="str">
        <x:v>NO</x:v>
      </x:c>
      <x:c r="AH43" s="48" t="str">
        <x:v>P-SD</x:v>
      </x:c>
      <x:c r="AI43" s="48" t="str">
        <x:v>P-SD</x:v>
      </x:c>
      <x:c r="AJ43" s="48" t="str">
        <x:v>P-SD</x:v>
      </x:c>
      <x:c r="AK43" s="48" t="str">
        <x:v>NO</x:v>
      </x:c>
      <x:c r="AL43" s="48" t="str">
        <x:v>P-SD</x:v>
      </x:c>
      <x:c r="AM43" s="48" t="str">
        <x:v>NO</x:v>
      </x:c>
      <x:c r="AN43" s="48" t="str">
        <x:v>P-SD</x:v>
      </x:c>
      <x:c r="AO43" s="48" t="str">
        <x:v>P-SD</x:v>
      </x:c>
      <x:c r="AP43" s="48" t="str">
        <x:v>P-SD</x:v>
      </x:c>
      <x:c r="AQ43" s="48" t="str">
        <x:v>P-SD</x:v>
      </x:c>
      <x:c r="AR43" s="48" t="str">
        <x:v>NO</x:v>
      </x:c>
      <x:c r="AS43" s="48" t="str">
        <x:v>P-SD</x:v>
      </x:c>
    </x:row>
    <x:row r="44">
      <x:c r="A44" s="48" t="str">
        <x:v>B_GOVERNANCE_SEGMENTATION</x:v>
      </x:c>
      <x:c r="B44" s="48" t="str">
        <x:v>Tier B v1.1 - N=29 rerun</x:v>
      </x:c>
      <x:c r="C44" s="48" t="str">
        <x:v>2026-07-16</x:v>
      </x:c>
      <x:c r="D44" s="48" t="str">
        <x:v>29_MANAGER_FAMILY_DDQ_CENSUS_LOWER_BOUND</x:v>
      </x:c>
      <x:c r="E44" s="48" t="str">
        <x:v>FALSE</x:v>
      </x:c>
      <x:c r="F44" s="48" t="str">
        <x:v>S03</x:v>
      </x:c>
      <x:c r="G44" s="48" t="str">
        <x:v>SOURCING_STRATEGY</x:v>
      </x:c>
      <x:c r="H44" s="48" t="str">
        <x:v>Site visits or operational fieldwork explicit</x:v>
      </x:c>
      <x:c r="I44" s="48" t="str">
        <x:v>Site, facility, branch, operational or equivalent fieldwork is explicitly part of diligence.</x:v>
      </x:c>
      <x:c r="J44" s="48" t="str">
        <x:v>18</x:v>
      </x:c>
      <x:c r="K44" s="48" t="str">
        <x:v>0</x:v>
      </x:c>
      <x:c r="L44" s="48" t="str">
        <x:v>0</x:v>
      </x:c>
      <x:c r="M44" s="48" t="str">
        <x:v>11</x:v>
      </x:c>
      <x:c r="N44" s="48" t="str">
        <x:v>0</x:v>
      </x:c>
      <x:c r="O44" s="48" t="str">
        <x:v>0</x:v>
      </x:c>
      <x:c r="P44" s="48" t="str">
        <x:v>18</x:v>
      </x:c>
      <x:c r="Q44" s="48" t="str">
        <x:v>P-SD</x:v>
      </x:c>
      <x:c r="R44" s="48" t="str">
        <x:v>P-SD</x:v>
      </x:c>
      <x:c r="S44" s="48" t="str">
        <x:v>P-SD</x:v>
      </x:c>
      <x:c r="T44" s="48" t="str">
        <x:v>P-SD</x:v>
      </x:c>
      <x:c r="U44" s="48" t="str">
        <x:v>P-SD</x:v>
      </x:c>
      <x:c r="V44" s="48" t="str">
        <x:v>P-SD</x:v>
      </x:c>
      <x:c r="W44" s="48" t="str">
        <x:v>P-SD</x:v>
      </x:c>
      <x:c r="X44" s="48" t="str">
        <x:v>NO</x:v>
      </x:c>
      <x:c r="Y44" s="48" t="str">
        <x:v>P-SD</x:v>
      </x:c>
      <x:c r="Z44" s="48" t="str">
        <x:v>P-SD</x:v>
      </x:c>
      <x:c r="AA44" s="48" t="str">
        <x:v>P-SD</x:v>
      </x:c>
      <x:c r="AB44" s="48" t="str">
        <x:v>NO</x:v>
      </x:c>
      <x:c r="AC44" s="48" t="str">
        <x:v>P-SD</x:v>
      </x:c>
      <x:c r="AD44" s="48" t="str">
        <x:v>P-SD</x:v>
      </x:c>
      <x:c r="AE44" s="48" t="str">
        <x:v>P-SD</x:v>
      </x:c>
      <x:c r="AF44" s="48" t="str">
        <x:v>NO</x:v>
      </x:c>
      <x:c r="AG44" s="48" t="str">
        <x:v>P-SD</x:v>
      </x:c>
      <x:c r="AH44" s="48" t="str">
        <x:v>NO</x:v>
      </x:c>
      <x:c r="AI44" s="48" t="str">
        <x:v>P-SD</x:v>
      </x:c>
      <x:c r="AJ44" s="48" t="str">
        <x:v>NO</x:v>
      </x:c>
      <x:c r="AK44" s="48" t="str">
        <x:v>P-SD</x:v>
      </x:c>
      <x:c r="AL44" s="48" t="str">
        <x:v>NO</x:v>
      </x:c>
      <x:c r="AM44" s="48" t="str">
        <x:v>NO</x:v>
      </x:c>
      <x:c r="AN44" s="48" t="str">
        <x:v>NO</x:v>
      </x:c>
      <x:c r="AO44" s="48" t="str">
        <x:v>P-SD</x:v>
      </x:c>
      <x:c r="AP44" s="48" t="str">
        <x:v>NO</x:v>
      </x:c>
      <x:c r="AQ44" s="48" t="str">
        <x:v>NO</x:v>
      </x:c>
      <x:c r="AR44" s="48" t="str">
        <x:v>P-SD</x:v>
      </x:c>
      <x:c r="AS44" s="48" t="str">
        <x:v>NO</x:v>
      </x:c>
    </x:row>
    <x:row r="45">
      <x:c r="A45" s="48" t="str">
        <x:v>B_GOVERNANCE_SEGMENTATION</x:v>
      </x:c>
      <x:c r="B45" s="48" t="str">
        <x:v>Tier B v1.1 - N=29 rerun</x:v>
      </x:c>
      <x:c r="C45" s="48" t="str">
        <x:v>2026-07-16</x:v>
      </x:c>
      <x:c r="D45" s="48" t="str">
        <x:v>29_MANAGER_FAMILY_DDQ_CENSUS_LOWER_BOUND</x:v>
      </x:c>
      <x:c r="E45" s="48" t="str">
        <x:v>FALSE</x:v>
      </x:c>
      <x:c r="F45" s="48" t="str">
        <x:v>S04</x:v>
      </x:c>
      <x:c r="G45" s="48" t="str">
        <x:v>SOURCING_STRATEGY</x:v>
      </x:c>
      <x:c r="H45" s="48" t="str">
        <x:v>CRM or formal process-tracking system explicit</x:v>
      </x:c>
      <x:c r="I45" s="48" t="str">
        <x:v>A CRM, workflow platform, survey system or equivalent tool explicitly tracks opportunities and decisions.</x:v>
      </x:c>
      <x:c r="J45" s="48" t="str">
        <x:v>6</x:v>
      </x:c>
      <x:c r="K45" s="48" t="str">
        <x:v>2</x:v>
      </x:c>
      <x:c r="L45" s="48" t="str">
        <x:v>0</x:v>
      </x:c>
      <x:c r="M45" s="48" t="str">
        <x:v>23</x:v>
      </x:c>
      <x:c r="N45" s="48" t="str">
        <x:v>0</x:v>
      </x:c>
      <x:c r="O45" s="48" t="str">
        <x:v>0</x:v>
      </x:c>
      <x:c r="P45" s="48" t="str">
        <x:v>6</x:v>
      </x:c>
      <x:c r="Q45" s="48" t="str">
        <x:v>NO</x:v>
      </x:c>
      <x:c r="R45" s="48" t="str">
        <x:v>NO</x:v>
      </x:c>
      <x:c r="S45" s="48" t="str">
        <x:v>NO</x:v>
      </x:c>
      <x:c r="T45" s="48" t="str">
        <x:v>NO</x:v>
      </x:c>
      <x:c r="U45" s="48" t="str">
        <x:v>NO</x:v>
      </x:c>
      <x:c r="V45" s="48" t="str">
        <x:v>NO</x:v>
      </x:c>
      <x:c r="W45" s="48" t="str">
        <x:v>NO</x:v>
      </x:c>
      <x:c r="X45" s="48" t="str">
        <x:v>PC-SD</x:v>
      </x:c>
      <x:c r="Y45" s="48" t="str">
        <x:v>PC-SD</x:v>
      </x:c>
      <x:c r="Z45" s="48" t="str">
        <x:v>NO</x:v>
      </x:c>
      <x:c r="AA45" s="48" t="str">
        <x:v>NO</x:v>
      </x:c>
      <x:c r="AB45" s="48" t="str">
        <x:v>NO</x:v>
      </x:c>
      <x:c r="AC45" s="48" t="str">
        <x:v>NO</x:v>
      </x:c>
      <x:c r="AD45" s="48" t="str">
        <x:v>NO</x:v>
      </x:c>
      <x:c r="AE45" s="48" t="str">
        <x:v>NO</x:v>
      </x:c>
      <x:c r="AF45" s="48" t="str">
        <x:v>NO</x:v>
      </x:c>
      <x:c r="AG45" s="48" t="str">
        <x:v>NO</x:v>
      </x:c>
      <x:c r="AH45" s="48" t="str">
        <x:v>NO</x:v>
      </x:c>
      <x:c r="AI45" s="48" t="str">
        <x:v>NO</x:v>
      </x:c>
      <x:c r="AJ45" s="48" t="str">
        <x:v>NO</x:v>
      </x:c>
      <x:c r="AK45" s="48" t="str">
        <x:v>NO</x:v>
      </x:c>
      <x:c r="AL45" s="48" t="str">
        <x:v>NO</x:v>
      </x:c>
      <x:c r="AM45" s="48" t="str">
        <x:v>P-SD</x:v>
      </x:c>
      <x:c r="AN45" s="48" t="str">
        <x:v>NO</x:v>
      </x:c>
      <x:c r="AO45" s="48" t="str">
        <x:v>NO</x:v>
      </x:c>
      <x:c r="AP45" s="48" t="str">
        <x:v>NO</x:v>
      </x:c>
      <x:c r="AQ45" s="48" t="str">
        <x:v>P-SD</x:v>
      </x:c>
      <x:c r="AR45" s="48" t="str">
        <x:v>P-SD</x:v>
      </x:c>
      <x:c r="AS45" s="48" t="str">
        <x:v>P-SD</x:v>
      </x:c>
    </x:row>
  </x:sheetData>
  <x:pageMargins left="0.7" right="0.7" top="0.75" bottom="0.75" header="0.3" footer="0.3"/>
  <x:tableParts count="1">
    <x:tablePart xmlns:r="http://schemas.openxmlformats.org/officeDocument/2006/relationships" r:id="Re49db44324ab4a88"/>
  </x:tableParts>
</x:worksheet>
</file>

<file path=xl/worksheets/sheet7.xml><?xml version="1.0" encoding="utf-8"?>
<x:worksheet xmlns:x="http://schemas.openxmlformats.org/spreadsheetml/2006/main">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s>
  <x:sheetData>
    <x:row r="1">
      <x:c r="A1" s="42" t="str">
        <x:v>tier</x:v>
      </x:c>
      <x:c r="B1" s="42" t="str">
        <x:v>version</x:v>
      </x:c>
      <x:c r="C1" s="42" t="str">
        <x:v>as_of_date</x:v>
      </x:c>
      <x:c r="D1" s="42" t="str">
        <x:v>feature_id</x:v>
      </x:c>
      <x:c r="E1" s="42" t="str">
        <x:v>feature_category</x:v>
      </x:c>
      <x:c r="F1" s="42" t="str">
        <x:v>process_feature</x:v>
      </x:c>
      <x:c r="G1" s="42" t="str">
        <x:v>driver</x:v>
      </x:c>
      <x:c r="H1" s="42" t="str">
        <x:v>driver_category</x:v>
      </x:c>
      <x:c r="I1" s="42" t="str">
        <x:v>manager_family_n</x:v>
      </x:c>
      <x:c r="J1" s="42" t="str">
        <x:v>present_n</x:v>
      </x:c>
      <x:c r="K1" s="42" t="str">
        <x:v>conditional_present_n</x:v>
      </x:c>
      <x:c r="L1" s="42" t="str">
        <x:v>explicit_absent_n</x:v>
      </x:c>
      <x:c r="M1" s="42" t="str">
        <x:v>observable_n</x:v>
      </x:c>
      <x:c r="N1" s="42" t="str">
        <x:v>not_observable_n</x:v>
      </x:c>
      <x:c r="O1" s="42" t="str">
        <x:v>ambiguous_n</x:v>
      </x:c>
      <x:c r="P1" s="42" t="str">
        <x:v>not_applicable_n</x:v>
      </x:c>
      <x:c r="Q1" s="42" t="str">
        <x:v>prevalence_among_observable</x:v>
      </x:c>
      <x:c r="R1" s="42" t="str">
        <x:v>driver_verdict</x:v>
      </x:c>
      <x:c r="S1" s="42" t="str">
        <x:v>driver_effect_size_max_minus_min</x:v>
      </x:c>
      <x:c r="T1" s="42" t="str">
        <x:v>comparison_groups_used</x:v>
      </x:c>
      <x:c r="U1" s="42" t="str">
        <x:v>verdict_reason</x:v>
      </x:c>
      <x:c r="V1" s="42" t="str">
        <x:v>minimum_n_rule</x:v>
      </x:c>
      <x:c r="W1" s="42" t="str">
        <x:v>separation_rule</x:v>
      </x:c>
      <x:c r="X1" s="42" t="str">
        <x:v>evidence_scope</x:v>
      </x:c>
    </x:row>
    <x:row r="2">
      <x:c r="A2" s="48" t="str">
        <x:v>B_GOVERNANCE_SEGMENTATION</x:v>
      </x:c>
      <x:c r="B2" s="48" t="str">
        <x:v>Tier B v1.1 - N=29 rerun</x:v>
      </x:c>
      <x:c r="C2" s="48" t="str">
        <x:v>2026-07-16</x:v>
      </x:c>
      <x:c r="D2" s="48" t="str">
        <x:v>G01</x:v>
      </x:c>
      <x:c r="E2" s="48" t="str">
        <x:v>GATING_DECISION</x:v>
      </x:c>
      <x:c r="F2" s="48" t="str">
        <x:v>Formal preliminary screen before full diligence</x:v>
      </x:c>
      <x:c r="G2" s="48" t="str">
        <x:v>fund_size_archetype</x:v>
      </x:c>
      <x:c r="H2" s="48" t="str">
        <x:v>LARGE_2_TO_LT_5B</x:v>
      </x:c>
      <x:c r="I2" s="48" t="str">
        <x:v>9</x:v>
      </x:c>
      <x:c r="J2" s="48" t="str">
        <x:v>9</x:v>
      </x:c>
      <x:c r="K2" s="48" t="str">
        <x:v>0</x:v>
      </x:c>
      <x:c r="L2" s="48" t="str">
        <x:v>0</x:v>
      </x:c>
      <x:c r="M2" s="48" t="str">
        <x:v>9</x:v>
      </x:c>
      <x:c r="N2" s="48" t="str">
        <x:v>0</x:v>
      </x:c>
      <x:c r="O2" s="48" t="str">
        <x:v>0</x:v>
      </x:c>
      <x:c r="P2" s="48" t="str">
        <x:v>0</x:v>
      </x:c>
      <x:c r="Q2" s="48" t="str">
        <x:v>1.000</x:v>
      </x:c>
      <x:c r="R2" s="48" t="str">
        <x:v>DRIVER DOES NOT SEPARATE</x:v>
      </x:c>
      <x:c r="S2" s="48" t="str">
        <x:v>0.000</x:v>
      </x:c>
      <x:c r="T2" s="48" t="str">
        <x:v>LARGE_2_TO_LT_5B:N=9,p=1.000; LOWER_MID_LT_2B:N=8,p=1.000; MEGA_GE_5B:N=11,p=1.000</x:v>
      </x:c>
      <x:c r="U2" s="48" t="str">
        <x:v>Maximum-minus-minimum prevalence among adequately observed groups is no more than 0.15.</x:v>
      </x:c>
      <x:c r="V2" s="48" t="str">
        <x:v>At least 5 observable manager families in at least 2 driver groups</x:v>
      </x:c>
      <x:c r="W2" s="48" t="str">
        <x:v>&gt;=0.35 separates; &lt;=0.15 does not separate; intermediate is inconclusive/confounded; direct driver-definition tests are CIRCULAR</x:v>
      </x:c>
      <x:c r="X2" s="48" t="str">
        <x:v>MANAGER_SELF_DESCRIPTION; NOT BEHAVIOURAL FREQUENCY</x:v>
      </x:c>
    </x:row>
    <x:row r="3">
      <x:c r="A3" s="48" t="str">
        <x:v>B_GOVERNANCE_SEGMENTATION</x:v>
      </x:c>
      <x:c r="B3" s="48" t="str">
        <x:v>Tier B v1.1 - N=29 rerun</x:v>
      </x:c>
      <x:c r="C3" s="48" t="str">
        <x:v>2026-07-16</x:v>
      </x:c>
      <x:c r="D3" s="48" t="str">
        <x:v>G01</x:v>
      </x:c>
      <x:c r="E3" s="48" t="str">
        <x:v>GATING_DECISION</x:v>
      </x:c>
      <x:c r="F3" s="48" t="str">
        <x:v>Formal preliminary screen before full diligence</x:v>
      </x:c>
      <x:c r="G3" s="48" t="str">
        <x:v>fund_size_archetype</x:v>
      </x:c>
      <x:c r="H3" s="48" t="str">
        <x:v>LOWER_MID_LT_2B</x:v>
      </x:c>
      <x:c r="I3" s="48" t="str">
        <x:v>8</x:v>
      </x:c>
      <x:c r="J3" s="48" t="str">
        <x:v>8</x:v>
      </x:c>
      <x:c r="K3" s="48" t="str">
        <x:v>0</x:v>
      </x:c>
      <x:c r="L3" s="48" t="str">
        <x:v>0</x:v>
      </x:c>
      <x:c r="M3" s="48" t="str">
        <x:v>8</x:v>
      </x:c>
      <x:c r="N3" s="48" t="str">
        <x:v>0</x:v>
      </x:c>
      <x:c r="O3" s="48" t="str">
        <x:v>0</x:v>
      </x:c>
      <x:c r="P3" s="48" t="str">
        <x:v>0</x:v>
      </x:c>
      <x:c r="Q3" s="48" t="str">
        <x:v>1.000</x:v>
      </x:c>
      <x:c r="R3" s="48" t="str">
        <x:v>DRIVER DOES NOT SEPARATE</x:v>
      </x:c>
      <x:c r="S3" s="48" t="str">
        <x:v>0.000</x:v>
      </x:c>
      <x:c r="T3" s="48" t="str">
        <x:v>LARGE_2_TO_LT_5B:N=9,p=1.000; LOWER_MID_LT_2B:N=8,p=1.000; MEGA_GE_5B:N=11,p=1.000</x:v>
      </x:c>
      <x:c r="U3" s="48" t="str">
        <x:v>Maximum-minus-minimum prevalence among adequately observed groups is no more than 0.15.</x:v>
      </x:c>
      <x:c r="V3" s="48" t="str">
        <x:v>At least 5 observable manager families in at least 2 driver groups</x:v>
      </x:c>
      <x:c r="W3" s="48" t="str">
        <x:v>&gt;=0.35 separates; &lt;=0.15 does not separate; intermediate is inconclusive/confounded; direct driver-definition tests are CIRCULAR</x:v>
      </x:c>
      <x:c r="X3" s="48" t="str">
        <x:v>MANAGER_SELF_DESCRIPTION; NOT BEHAVIOURAL FREQUENCY</x:v>
      </x:c>
    </x:row>
    <x:row r="4">
      <x:c r="A4" s="48" t="str">
        <x:v>B_GOVERNANCE_SEGMENTATION</x:v>
      </x:c>
      <x:c r="B4" s="48" t="str">
        <x:v>Tier B v1.1 - N=29 rerun</x:v>
      </x:c>
      <x:c r="C4" s="48" t="str">
        <x:v>2026-07-16</x:v>
      </x:c>
      <x:c r="D4" s="48" t="str">
        <x:v>G01</x:v>
      </x:c>
      <x:c r="E4" s="48" t="str">
        <x:v>GATING_DECISION</x:v>
      </x:c>
      <x:c r="F4" s="48" t="str">
        <x:v>Formal preliminary screen before full diligence</x:v>
      </x:c>
      <x:c r="G4" s="48" t="str">
        <x:v>fund_size_archetype</x:v>
      </x:c>
      <x:c r="H4" s="48" t="str">
        <x:v>MEGA_GE_5B</x:v>
      </x:c>
      <x:c r="I4" s="48" t="str">
        <x:v>11</x:v>
      </x:c>
      <x:c r="J4" s="48" t="str">
        <x:v>11</x:v>
      </x:c>
      <x:c r="K4" s="48" t="str">
        <x:v>0</x:v>
      </x:c>
      <x:c r="L4" s="48" t="str">
        <x:v>0</x:v>
      </x:c>
      <x:c r="M4" s="48" t="str">
        <x:v>11</x:v>
      </x:c>
      <x:c r="N4" s="48" t="str">
        <x:v>0</x:v>
      </x:c>
      <x:c r="O4" s="48" t="str">
        <x:v>0</x:v>
      </x:c>
      <x:c r="P4" s="48" t="str">
        <x:v>0</x:v>
      </x:c>
      <x:c r="Q4" s="48" t="str">
        <x:v>1.000</x:v>
      </x:c>
      <x:c r="R4" s="48" t="str">
        <x:v>DRIVER DOES NOT SEPARATE</x:v>
      </x:c>
      <x:c r="S4" s="48" t="str">
        <x:v>0.000</x:v>
      </x:c>
      <x:c r="T4" s="48" t="str">
        <x:v>LARGE_2_TO_LT_5B:N=9,p=1.000; LOWER_MID_LT_2B:N=8,p=1.000; MEGA_GE_5B:N=11,p=1.000</x:v>
      </x:c>
      <x:c r="U4" s="48" t="str">
        <x:v>Maximum-minus-minimum prevalence among adequately observed groups is no more than 0.15.</x:v>
      </x:c>
      <x:c r="V4" s="48" t="str">
        <x:v>At least 5 observable manager families in at least 2 driver groups</x:v>
      </x:c>
      <x:c r="W4" s="48" t="str">
        <x:v>&gt;=0.35 separates; &lt;=0.15 does not separate; intermediate is inconclusive/confounded; direct driver-definition tests are CIRCULAR</x:v>
      </x:c>
      <x:c r="X4" s="48" t="str">
        <x:v>MANAGER_SELF_DESCRIPTION; NOT BEHAVIOURAL FREQUENCY</x:v>
      </x:c>
    </x:row>
    <x:row r="5">
      <x:c r="A5" s="48" t="str">
        <x:v>B_GOVERNANCE_SEGMENTATION</x:v>
      </x:c>
      <x:c r="B5" s="48" t="str">
        <x:v>Tier B v1.1 - N=29 rerun</x:v>
      </x:c>
      <x:c r="C5" s="48" t="str">
        <x:v>2026-07-16</x:v>
      </x:c>
      <x:c r="D5" s="48" t="str">
        <x:v>G01</x:v>
      </x:c>
      <x:c r="E5" s="48" t="str">
        <x:v>GATING_DECISION</x:v>
      </x:c>
      <x:c r="F5" s="48" t="str">
        <x:v>Formal preliminary screen before full diligence</x:v>
      </x:c>
      <x:c r="G5" s="48" t="str">
        <x:v>fund_size_archetype</x:v>
      </x:c>
      <x:c r="H5" s="48" t="str">
        <x:v>NOT_APPLICABLE</x:v>
      </x:c>
      <x:c r="I5" s="48" t="str">
        <x:v>1</x:v>
      </x:c>
      <x:c r="J5" s="48" t="str">
        <x:v>1</x:v>
      </x:c>
      <x:c r="K5" s="48" t="str">
        <x:v>0</x:v>
      </x:c>
      <x:c r="L5" s="48" t="str">
        <x:v>0</x:v>
      </x:c>
      <x:c r="M5" s="48" t="str">
        <x:v>1</x:v>
      </x:c>
      <x:c r="N5" s="48" t="str">
        <x:v>0</x:v>
      </x:c>
      <x:c r="O5" s="48" t="str">
        <x:v>0</x:v>
      </x:c>
      <x:c r="P5" s="48" t="str">
        <x:v>0</x:v>
      </x:c>
      <x:c r="Q5" s="48" t="str">
        <x:v>1.000</x:v>
      </x:c>
      <x:c r="R5" s="48" t="str">
        <x:v>DRIVER DOES NOT SEPARATE</x:v>
      </x:c>
      <x:c r="S5" s="48" t="str">
        <x:v>0.000</x:v>
      </x:c>
      <x:c r="T5" s="48" t="str">
        <x:v>LARGE_2_TO_LT_5B:N=9,p=1.000; LOWER_MID_LT_2B:N=8,p=1.000; MEGA_GE_5B:N=11,p=1.000</x:v>
      </x:c>
      <x:c r="U5" s="48" t="str">
        <x:v>Maximum-minus-minimum prevalence among adequately observed groups is no more than 0.15.</x:v>
      </x:c>
      <x:c r="V5" s="48" t="str">
        <x:v>At least 5 observable manager families in at least 2 driver groups</x:v>
      </x:c>
      <x:c r="W5" s="48" t="str">
        <x:v>&gt;=0.35 separates; &lt;=0.15 does not separate; intermediate is inconclusive/confounded; direct driver-definition tests are CIRCULAR</x:v>
      </x:c>
      <x:c r="X5" s="48" t="str">
        <x:v>MANAGER_SELF_DESCRIPTION; NOT BEHAVIOURAL FREQUENCY</x:v>
      </x:c>
    </x:row>
    <x:row r="6">
      <x:c r="A6" s="48" t="str">
        <x:v>B_GOVERNANCE_SEGMENTATION</x:v>
      </x:c>
      <x:c r="B6" s="48" t="str">
        <x:v>Tier B v1.1 - N=29 rerun</x:v>
      </x:c>
      <x:c r="C6" s="48" t="str">
        <x:v>2026-07-16</x:v>
      </x:c>
      <x:c r="D6" s="48" t="str">
        <x:v>G01</x:v>
      </x:c>
      <x:c r="E6" s="48" t="str">
        <x:v>GATING_DECISION</x:v>
      </x:c>
      <x:c r="F6" s="48" t="str">
        <x:v>Formal preliminary screen before full diligence</x:v>
      </x:c>
      <x:c r="G6" s="48" t="str">
        <x:v>strategy</x:v>
      </x:c>
      <x:c r="H6" s="48" t="str">
        <x:v>CONTROL_BUYOUT</x:v>
      </x:c>
      <x:c r="I6" s="48" t="str">
        <x:v>22</x:v>
      </x:c>
      <x:c r="J6" s="48" t="str">
        <x:v>22</x:v>
      </x:c>
      <x:c r="K6" s="48" t="str">
        <x:v>0</x:v>
      </x:c>
      <x:c r="L6" s="48" t="str">
        <x:v>0</x:v>
      </x:c>
      <x:c r="M6" s="48" t="str">
        <x:v>22</x:v>
      </x:c>
      <x:c r="N6" s="48" t="str">
        <x:v>0</x:v>
      </x:c>
      <x:c r="O6" s="48" t="str">
        <x:v>0</x:v>
      </x:c>
      <x:c r="P6" s="48" t="str">
        <x:v>0</x:v>
      </x:c>
      <x:c r="Q6" s="48" t="str">
        <x:v>1.000</x:v>
      </x:c>
      <x:c r="R6" s="48" t="str">
        <x:v>DRIVER DOES NOT SEPARATE</x:v>
      </x:c>
      <x:c r="S6" s="48" t="str">
        <x:v>0.000</x:v>
      </x:c>
      <x:c r="T6" s="48" t="str">
        <x:v>CONTROL_BUYOUT:N=22,p=1.000; GROWTH_CONTROL_HYBRID:N=6,p=1.000</x:v>
      </x:c>
      <x:c r="U6" s="48" t="str">
        <x:v>Maximum-minus-minimum prevalence among adequately observed groups is no more than 0.15.</x:v>
      </x:c>
      <x:c r="V6" s="48" t="str">
        <x:v>At least 5 observable manager families in at least 2 driver groups</x:v>
      </x:c>
      <x:c r="W6" s="48" t="str">
        <x:v>&gt;=0.35 separates; &lt;=0.15 does not separate; intermediate is inconclusive/confounded; direct driver-definition tests are CIRCULAR</x:v>
      </x:c>
      <x:c r="X6" s="48" t="str">
        <x:v>MANAGER_SELF_DESCRIPTION; NOT BEHAVIOURAL FREQUENCY</x:v>
      </x:c>
    </x:row>
    <x:row r="7">
      <x:c r="A7" s="48" t="str">
        <x:v>B_GOVERNANCE_SEGMENTATION</x:v>
      </x:c>
      <x:c r="B7" s="48" t="str">
        <x:v>Tier B v1.1 - N=29 rerun</x:v>
      </x:c>
      <x:c r="C7" s="48" t="str">
        <x:v>2026-07-16</x:v>
      </x:c>
      <x:c r="D7" s="48" t="str">
        <x:v>G01</x:v>
      </x:c>
      <x:c r="E7" s="48" t="str">
        <x:v>GATING_DECISION</x:v>
      </x:c>
      <x:c r="F7" s="48" t="str">
        <x:v>Formal preliminary screen before full diligence</x:v>
      </x:c>
      <x:c r="G7" s="48" t="str">
        <x:v>strategy</x:v>
      </x:c>
      <x:c r="H7" s="48" t="str">
        <x:v>GROWTH_CONTROL_HYBRID</x:v>
      </x:c>
      <x:c r="I7" s="48" t="str">
        <x:v>6</x:v>
      </x:c>
      <x:c r="J7" s="48" t="str">
        <x:v>6</x:v>
      </x:c>
      <x:c r="K7" s="48" t="str">
        <x:v>0</x:v>
      </x:c>
      <x:c r="L7" s="48" t="str">
        <x:v>0</x:v>
      </x:c>
      <x:c r="M7" s="48" t="str">
        <x:v>6</x:v>
      </x:c>
      <x:c r="N7" s="48" t="str">
        <x:v>0</x:v>
      </x:c>
      <x:c r="O7" s="48" t="str">
        <x:v>0</x:v>
      </x:c>
      <x:c r="P7" s="48" t="str">
        <x:v>0</x:v>
      </x:c>
      <x:c r="Q7" s="48" t="str">
        <x:v>1.000</x:v>
      </x:c>
      <x:c r="R7" s="48" t="str">
        <x:v>DRIVER DOES NOT SEPARATE</x:v>
      </x:c>
      <x:c r="S7" s="48" t="str">
        <x:v>0.000</x:v>
      </x:c>
      <x:c r="T7" s="48" t="str">
        <x:v>CONTROL_BUYOUT:N=22,p=1.000; GROWTH_CONTROL_HYBRID:N=6,p=1.000</x:v>
      </x:c>
      <x:c r="U7" s="48" t="str">
        <x:v>Maximum-minus-minimum prevalence among adequately observed groups is no more than 0.15.</x:v>
      </x:c>
      <x:c r="V7" s="48" t="str">
        <x:v>At least 5 observable manager families in at least 2 driver groups</x:v>
      </x:c>
      <x:c r="W7" s="48" t="str">
        <x:v>&gt;=0.35 separates; &lt;=0.15 does not separate; intermediate is inconclusive/confounded; direct driver-definition tests are CIRCULAR</x:v>
      </x:c>
      <x:c r="X7" s="48" t="str">
        <x:v>MANAGER_SELF_DESCRIPTION; NOT BEHAVIOURAL FREQUENCY</x:v>
      </x:c>
    </x:row>
    <x:row r="8">
      <x:c r="A8" s="48" t="str">
        <x:v>B_GOVERNANCE_SEGMENTATION</x:v>
      </x:c>
      <x:c r="B8" s="48" t="str">
        <x:v>Tier B v1.1 - N=29 rerun</x:v>
      </x:c>
      <x:c r="C8" s="48" t="str">
        <x:v>2026-07-16</x:v>
      </x:c>
      <x:c r="D8" s="48" t="str">
        <x:v>G01</x:v>
      </x:c>
      <x:c r="E8" s="48" t="str">
        <x:v>GATING_DECISION</x:v>
      </x:c>
      <x:c r="F8" s="48" t="str">
        <x:v>Formal preliminary screen before full diligence</x:v>
      </x:c>
      <x:c r="G8" s="48" t="str">
        <x:v>strategy</x:v>
      </x:c>
      <x:c r="H8" s="48" t="str">
        <x:v>OPPORTUNISTIC_CONTROL</x:v>
      </x:c>
      <x:c r="I8" s="48" t="str">
        <x:v>1</x:v>
      </x:c>
      <x:c r="J8" s="48" t="str">
        <x:v>1</x:v>
      </x:c>
      <x:c r="K8" s="48" t="str">
        <x:v>0</x:v>
      </x:c>
      <x:c r="L8" s="48" t="str">
        <x:v>0</x:v>
      </x:c>
      <x:c r="M8" s="48" t="str">
        <x:v>1</x:v>
      </x:c>
      <x:c r="N8" s="48" t="str">
        <x:v>0</x:v>
      </x:c>
      <x:c r="O8" s="48" t="str">
        <x:v>0</x:v>
      </x:c>
      <x:c r="P8" s="48" t="str">
        <x:v>0</x:v>
      </x:c>
      <x:c r="Q8" s="48" t="str">
        <x:v>1.000</x:v>
      </x:c>
      <x:c r="R8" s="48" t="str">
        <x:v>DRIVER DOES NOT SEPARATE</x:v>
      </x:c>
      <x:c r="S8" s="48" t="str">
        <x:v>0.000</x:v>
      </x:c>
      <x:c r="T8" s="48" t="str">
        <x:v>CONTROL_BUYOUT:N=22,p=1.000; GROWTH_CONTROL_HYBRID:N=6,p=1.000</x:v>
      </x:c>
      <x:c r="U8" s="48" t="str">
        <x:v>Maximum-minus-minimum prevalence among adequately observed groups is no more than 0.15.</x:v>
      </x:c>
      <x:c r="V8" s="48" t="str">
        <x:v>At least 5 observable manager families in at least 2 driver groups</x:v>
      </x:c>
      <x:c r="W8" s="48" t="str">
        <x:v>&gt;=0.35 separates; &lt;=0.15 does not separate; intermediate is inconclusive/confounded; direct driver-definition tests are CIRCULAR</x:v>
      </x:c>
      <x:c r="X8" s="48" t="str">
        <x:v>MANAGER_SELF_DESCRIPTION; NOT BEHAVIOURAL FREQUENCY</x:v>
      </x:c>
    </x:row>
    <x:row r="9">
      <x:c r="A9" s="48" t="str">
        <x:v>B_GOVERNANCE_SEGMENTATION</x:v>
      </x:c>
      <x:c r="B9" s="48" t="str">
        <x:v>Tier B v1.1 - N=29 rerun</x:v>
      </x:c>
      <x:c r="C9" s="48" t="str">
        <x:v>2026-07-16</x:v>
      </x:c>
      <x:c r="D9" s="48" t="str">
        <x:v>G01</x:v>
      </x:c>
      <x:c r="E9" s="48" t="str">
        <x:v>GATING_DECISION</x:v>
      </x:c>
      <x:c r="F9" s="48" t="str">
        <x:v>Formal preliminary screen before full diligence</x:v>
      </x:c>
      <x:c r="G9" s="48" t="str">
        <x:v>geography</x:v>
      </x:c>
      <x:c r="H9" s="48" t="str">
        <x:v>ASIA_PACIFIC</x:v>
      </x:c>
      <x:c r="I9" s="48" t="str">
        <x:v>4</x:v>
      </x:c>
      <x:c r="J9" s="48" t="str">
        <x:v>4</x:v>
      </x:c>
      <x:c r="K9" s="48" t="str">
        <x:v>0</x:v>
      </x:c>
      <x:c r="L9" s="48" t="str">
        <x:v>0</x:v>
      </x:c>
      <x:c r="M9" s="48" t="str">
        <x:v>4</x:v>
      </x:c>
      <x:c r="N9" s="48" t="str">
        <x:v>0</x:v>
      </x:c>
      <x:c r="O9" s="48" t="str">
        <x:v>0</x:v>
      </x:c>
      <x:c r="P9" s="48" t="str">
        <x:v>0</x:v>
      </x:c>
      <x:c r="Q9" s="48" t="str">
        <x:v>1.000</x:v>
      </x:c>
      <x:c r="R9" s="48" t="str">
        <x:v>DRIVER DOES NOT SEPARATE</x:v>
      </x:c>
      <x:c r="S9" s="48" t="str">
        <x:v>0.000</x:v>
      </x:c>
      <x:c r="T9" s="48" t="str">
        <x:v>GLOBAL_TRANSATLANTIC:N=10,p=1.000; NORTH_AMERICA:N=13,p=1.000</x:v>
      </x:c>
      <x:c r="U9" s="48" t="str">
        <x:v>Maximum-minus-minimum prevalence among adequately observed groups is no more than 0.15.</x:v>
      </x:c>
      <x:c r="V9" s="48" t="str">
        <x:v>At least 5 observable manager families in at least 2 driver groups</x:v>
      </x:c>
      <x:c r="W9" s="48" t="str">
        <x:v>&gt;=0.35 separates; &lt;=0.15 does not separate; intermediate is inconclusive/confounded; direct driver-definition tests are CIRCULAR</x:v>
      </x:c>
      <x:c r="X9" s="48" t="str">
        <x:v>MANAGER_SELF_DESCRIPTION; NOT BEHAVIOURAL FREQUENCY</x:v>
      </x:c>
    </x:row>
    <x:row r="10">
      <x:c r="A10" s="48" t="str">
        <x:v>B_GOVERNANCE_SEGMENTATION</x:v>
      </x:c>
      <x:c r="B10" s="48" t="str">
        <x:v>Tier B v1.1 - N=29 rerun</x:v>
      </x:c>
      <x:c r="C10" s="48" t="str">
        <x:v>2026-07-16</x:v>
      </x:c>
      <x:c r="D10" s="48" t="str">
        <x:v>G01</x:v>
      </x:c>
      <x:c r="E10" s="48" t="str">
        <x:v>GATING_DECISION</x:v>
      </x:c>
      <x:c r="F10" s="48" t="str">
        <x:v>Formal preliminary screen before full diligence</x:v>
      </x:c>
      <x:c r="G10" s="48" t="str">
        <x:v>geography</x:v>
      </x:c>
      <x:c r="H10" s="48" t="str">
        <x:v>EUROPE</x:v>
      </x:c>
      <x:c r="I10" s="48" t="str">
        <x:v>2</x:v>
      </x:c>
      <x:c r="J10" s="48" t="str">
        <x:v>2</x:v>
      </x:c>
      <x:c r="K10" s="48" t="str">
        <x:v>0</x:v>
      </x:c>
      <x:c r="L10" s="48" t="str">
        <x:v>0</x:v>
      </x:c>
      <x:c r="M10" s="48" t="str">
        <x:v>2</x:v>
      </x:c>
      <x:c r="N10" s="48" t="str">
        <x:v>0</x:v>
      </x:c>
      <x:c r="O10" s="48" t="str">
        <x:v>0</x:v>
      </x:c>
      <x:c r="P10" s="48" t="str">
        <x:v>0</x:v>
      </x:c>
      <x:c r="Q10" s="48" t="str">
        <x:v>1.000</x:v>
      </x:c>
      <x:c r="R10" s="48" t="str">
        <x:v>DRIVER DOES NOT SEPARATE</x:v>
      </x:c>
      <x:c r="S10" s="48" t="str">
        <x:v>0.000</x:v>
      </x:c>
      <x:c r="T10" s="48" t="str">
        <x:v>GLOBAL_TRANSATLANTIC:N=10,p=1.000; NORTH_AMERICA:N=13,p=1.000</x:v>
      </x:c>
      <x:c r="U10" s="48" t="str">
        <x:v>Maximum-minus-minimum prevalence among adequately observed groups is no more than 0.15.</x:v>
      </x:c>
      <x:c r="V10" s="48" t="str">
        <x:v>At least 5 observable manager families in at least 2 driver groups</x:v>
      </x:c>
      <x:c r="W10" s="48" t="str">
        <x:v>&gt;=0.35 separates; &lt;=0.15 does not separate; intermediate is inconclusive/confounded; direct driver-definition tests are CIRCULAR</x:v>
      </x:c>
      <x:c r="X10" s="48" t="str">
        <x:v>MANAGER_SELF_DESCRIPTION; NOT BEHAVIOURAL FREQUENCY</x:v>
      </x:c>
    </x:row>
    <x:row r="11">
      <x:c r="A11" s="48" t="str">
        <x:v>B_GOVERNANCE_SEGMENTATION</x:v>
      </x:c>
      <x:c r="B11" s="48" t="str">
        <x:v>Tier B v1.1 - N=29 rerun</x:v>
      </x:c>
      <x:c r="C11" s="48" t="str">
        <x:v>2026-07-16</x:v>
      </x:c>
      <x:c r="D11" s="48" t="str">
        <x:v>G01</x:v>
      </x:c>
      <x:c r="E11" s="48" t="str">
        <x:v>GATING_DECISION</x:v>
      </x:c>
      <x:c r="F11" s="48" t="str">
        <x:v>Formal preliminary screen before full diligence</x:v>
      </x:c>
      <x:c r="G11" s="48" t="str">
        <x:v>geography</x:v>
      </x:c>
      <x:c r="H11" s="48" t="str">
        <x:v>GLOBAL_TRANSATLANTIC</x:v>
      </x:c>
      <x:c r="I11" s="48" t="str">
        <x:v>10</x:v>
      </x:c>
      <x:c r="J11" s="48" t="str">
        <x:v>10</x:v>
      </x:c>
      <x:c r="K11" s="48" t="str">
        <x:v>0</x:v>
      </x:c>
      <x:c r="L11" s="48" t="str">
        <x:v>0</x:v>
      </x:c>
      <x:c r="M11" s="48" t="str">
        <x:v>10</x:v>
      </x:c>
      <x:c r="N11" s="48" t="str">
        <x:v>0</x:v>
      </x:c>
      <x:c r="O11" s="48" t="str">
        <x:v>0</x:v>
      </x:c>
      <x:c r="P11" s="48" t="str">
        <x:v>0</x:v>
      </x:c>
      <x:c r="Q11" s="48" t="str">
        <x:v>1.000</x:v>
      </x:c>
      <x:c r="R11" s="48" t="str">
        <x:v>DRIVER DOES NOT SEPARATE</x:v>
      </x:c>
      <x:c r="S11" s="48" t="str">
        <x:v>0.000</x:v>
      </x:c>
      <x:c r="T11" s="48" t="str">
        <x:v>GLOBAL_TRANSATLANTIC:N=10,p=1.000; NORTH_AMERICA:N=13,p=1.000</x:v>
      </x:c>
      <x:c r="U11" s="48" t="str">
        <x:v>Maximum-minus-minimum prevalence among adequately observed groups is no more than 0.15.</x:v>
      </x:c>
      <x:c r="V11" s="48" t="str">
        <x:v>At least 5 observable manager families in at least 2 driver groups</x:v>
      </x:c>
      <x:c r="W11" s="48" t="str">
        <x:v>&gt;=0.35 separates; &lt;=0.15 does not separate; intermediate is inconclusive/confounded; direct driver-definition tests are CIRCULAR</x:v>
      </x:c>
      <x:c r="X11" s="48" t="str">
        <x:v>MANAGER_SELF_DESCRIPTION; NOT BEHAVIOURAL FREQUENCY</x:v>
      </x:c>
    </x:row>
    <x:row r="12">
      <x:c r="A12" s="48" t="str">
        <x:v>B_GOVERNANCE_SEGMENTATION</x:v>
      </x:c>
      <x:c r="B12" s="48" t="str">
        <x:v>Tier B v1.1 - N=29 rerun</x:v>
      </x:c>
      <x:c r="C12" s="48" t="str">
        <x:v>2026-07-16</x:v>
      </x:c>
      <x:c r="D12" s="48" t="str">
        <x:v>G01</x:v>
      </x:c>
      <x:c r="E12" s="48" t="str">
        <x:v>GATING_DECISION</x:v>
      </x:c>
      <x:c r="F12" s="48" t="str">
        <x:v>Formal preliminary screen before full diligence</x:v>
      </x:c>
      <x:c r="G12" s="48" t="str">
        <x:v>geography</x:v>
      </x:c>
      <x:c r="H12" s="48" t="str">
        <x:v>NORTH_AMERICA</x:v>
      </x:c>
      <x:c r="I12" s="48" t="str">
        <x:v>13</x:v>
      </x:c>
      <x:c r="J12" s="48" t="str">
        <x:v>13</x:v>
      </x:c>
      <x:c r="K12" s="48" t="str">
        <x:v>0</x:v>
      </x:c>
      <x:c r="L12" s="48" t="str">
        <x:v>0</x:v>
      </x:c>
      <x:c r="M12" s="48" t="str">
        <x:v>13</x:v>
      </x:c>
      <x:c r="N12" s="48" t="str">
        <x:v>0</x:v>
      </x:c>
      <x:c r="O12" s="48" t="str">
        <x:v>0</x:v>
      </x:c>
      <x:c r="P12" s="48" t="str">
        <x:v>0</x:v>
      </x:c>
      <x:c r="Q12" s="48" t="str">
        <x:v>1.000</x:v>
      </x:c>
      <x:c r="R12" s="48" t="str">
        <x:v>DRIVER DOES NOT SEPARATE</x:v>
      </x:c>
      <x:c r="S12" s="48" t="str">
        <x:v>0.000</x:v>
      </x:c>
      <x:c r="T12" s="48" t="str">
        <x:v>GLOBAL_TRANSATLANTIC:N=10,p=1.000; NORTH_AMERICA:N=13,p=1.000</x:v>
      </x:c>
      <x:c r="U12" s="48" t="str">
        <x:v>Maximum-minus-minimum prevalence among adequately observed groups is no more than 0.15.</x:v>
      </x:c>
      <x:c r="V12" s="48" t="str">
        <x:v>At least 5 observable manager families in at least 2 driver groups</x:v>
      </x:c>
      <x:c r="W12" s="48" t="str">
        <x:v>&gt;=0.35 separates; &lt;=0.15 does not separate; intermediate is inconclusive/confounded; direct driver-definition tests are CIRCULAR</x:v>
      </x:c>
      <x:c r="X12" s="48" t="str">
        <x:v>MANAGER_SELF_DESCRIPTION; NOT BEHAVIOURAL FREQUENCY</x:v>
      </x:c>
    </x:row>
    <x:row r="13">
      <x:c r="A13" s="48" t="str">
        <x:v>B_GOVERNANCE_SEGMENTATION</x:v>
      </x:c>
      <x:c r="B13" s="48" t="str">
        <x:v>Tier B v1.1 - N=29 rerun</x:v>
      </x:c>
      <x:c r="C13" s="48" t="str">
        <x:v>2026-07-16</x:v>
      </x:c>
      <x:c r="D13" s="48" t="str">
        <x:v>G01</x:v>
      </x:c>
      <x:c r="E13" s="48" t="str">
        <x:v>GATING_DECISION</x:v>
      </x:c>
      <x:c r="F13" s="48" t="str">
        <x:v>Formal preliminary screen before full diligence</x:v>
      </x:c>
      <x:c r="G13" s="48" t="str">
        <x:v>source_vintage_bin</x:v>
      </x:c>
      <x:c r="H13" s="48" t="str">
        <x:v>2018_2020</x:v>
      </x:c>
      <x:c r="I13" s="48" t="str">
        <x:v>6</x:v>
      </x:c>
      <x:c r="J13" s="48" t="str">
        <x:v>6</x:v>
      </x:c>
      <x:c r="K13" s="48" t="str">
        <x:v>0</x:v>
      </x:c>
      <x:c r="L13" s="48" t="str">
        <x:v>0</x:v>
      </x:c>
      <x:c r="M13" s="48" t="str">
        <x:v>6</x:v>
      </x:c>
      <x:c r="N13" s="48" t="str">
        <x:v>0</x:v>
      </x:c>
      <x:c r="O13" s="48" t="str">
        <x:v>0</x:v>
      </x:c>
      <x:c r="P13" s="48" t="str">
        <x:v>0</x:v>
      </x:c>
      <x:c r="Q13" s="48" t="str">
        <x:v>1.000</x:v>
      </x:c>
      <x:c r="R13" s="48" t="str">
        <x:v>DRIVER DOES NOT SEPARATE</x:v>
      </x:c>
      <x:c r="S13" s="48" t="str">
        <x:v>0.000</x:v>
      </x:c>
      <x:c r="T13" s="48" t="str">
        <x:v>2018_2020:N=6,p=1.000; 2021_2023:N=11,p=1.000; 2024_2026:N=12,p=1.000</x:v>
      </x:c>
      <x:c r="U13" s="48" t="str">
        <x:v>Maximum-minus-minimum prevalence among adequately observed groups is no more than 0.15.</x:v>
      </x:c>
      <x:c r="V13" s="48" t="str">
        <x:v>At least 5 observable manager families in at least 2 driver groups</x:v>
      </x:c>
      <x:c r="W13" s="48" t="str">
        <x:v>&gt;=0.35 separates; &lt;=0.15 does not separate; intermediate is inconclusive/confounded; direct driver-definition tests are CIRCULAR</x:v>
      </x:c>
      <x:c r="X13" s="48" t="str">
        <x:v>MANAGER_SELF_DESCRIPTION; NOT BEHAVIOURAL FREQUENCY</x:v>
      </x:c>
    </x:row>
    <x:row r="14">
      <x:c r="A14" s="48" t="str">
        <x:v>B_GOVERNANCE_SEGMENTATION</x:v>
      </x:c>
      <x:c r="B14" s="48" t="str">
        <x:v>Tier B v1.1 - N=29 rerun</x:v>
      </x:c>
      <x:c r="C14" s="48" t="str">
        <x:v>2026-07-16</x:v>
      </x:c>
      <x:c r="D14" s="48" t="str">
        <x:v>G01</x:v>
      </x:c>
      <x:c r="E14" s="48" t="str">
        <x:v>GATING_DECISION</x:v>
      </x:c>
      <x:c r="F14" s="48" t="str">
        <x:v>Formal preliminary screen before full diligence</x:v>
      </x:c>
      <x:c r="G14" s="48" t="str">
        <x:v>source_vintage_bin</x:v>
      </x:c>
      <x:c r="H14" s="48" t="str">
        <x:v>2021_2023</x:v>
      </x:c>
      <x:c r="I14" s="48" t="str">
        <x:v>11</x:v>
      </x:c>
      <x:c r="J14" s="48" t="str">
        <x:v>11</x:v>
      </x:c>
      <x:c r="K14" s="48" t="str">
        <x:v>0</x:v>
      </x:c>
      <x:c r="L14" s="48" t="str">
        <x:v>0</x:v>
      </x:c>
      <x:c r="M14" s="48" t="str">
        <x:v>11</x:v>
      </x:c>
      <x:c r="N14" s="48" t="str">
        <x:v>0</x:v>
      </x:c>
      <x:c r="O14" s="48" t="str">
        <x:v>0</x:v>
      </x:c>
      <x:c r="P14" s="48" t="str">
        <x:v>0</x:v>
      </x:c>
      <x:c r="Q14" s="48" t="str">
        <x:v>1.000</x:v>
      </x:c>
      <x:c r="R14" s="48" t="str">
        <x:v>DRIVER DOES NOT SEPARATE</x:v>
      </x:c>
      <x:c r="S14" s="48" t="str">
        <x:v>0.000</x:v>
      </x:c>
      <x:c r="T14" s="48" t="str">
        <x:v>2018_2020:N=6,p=1.000; 2021_2023:N=11,p=1.000; 2024_2026:N=12,p=1.000</x:v>
      </x:c>
      <x:c r="U14" s="48" t="str">
        <x:v>Maximum-minus-minimum prevalence among adequately observed groups is no more than 0.15.</x:v>
      </x:c>
      <x:c r="V14" s="48" t="str">
        <x:v>At least 5 observable manager families in at least 2 driver groups</x:v>
      </x:c>
      <x:c r="W14" s="48" t="str">
        <x:v>&gt;=0.35 separates; &lt;=0.15 does not separate; intermediate is inconclusive/confounded; direct driver-definition tests are CIRCULAR</x:v>
      </x:c>
      <x:c r="X14" s="48" t="str">
        <x:v>MANAGER_SELF_DESCRIPTION; NOT BEHAVIOURAL FREQUENCY</x:v>
      </x:c>
    </x:row>
    <x:row r="15">
      <x:c r="A15" s="48" t="str">
        <x:v>B_GOVERNANCE_SEGMENTATION</x:v>
      </x:c>
      <x:c r="B15" s="48" t="str">
        <x:v>Tier B v1.1 - N=29 rerun</x:v>
      </x:c>
      <x:c r="C15" s="48" t="str">
        <x:v>2026-07-16</x:v>
      </x:c>
      <x:c r="D15" s="48" t="str">
        <x:v>G01</x:v>
      </x:c>
      <x:c r="E15" s="48" t="str">
        <x:v>GATING_DECISION</x:v>
      </x:c>
      <x:c r="F15" s="48" t="str">
        <x:v>Formal preliminary screen before full diligence</x:v>
      </x:c>
      <x:c r="G15" s="48" t="str">
        <x:v>source_vintage_bin</x:v>
      </x:c>
      <x:c r="H15" s="48" t="str">
        <x:v>2024_2026</x:v>
      </x:c>
      <x:c r="I15" s="48" t="str">
        <x:v>12</x:v>
      </x:c>
      <x:c r="J15" s="48" t="str">
        <x:v>12</x:v>
      </x:c>
      <x:c r="K15" s="48" t="str">
        <x:v>0</x:v>
      </x:c>
      <x:c r="L15" s="48" t="str">
        <x:v>0</x:v>
      </x:c>
      <x:c r="M15" s="48" t="str">
        <x:v>12</x:v>
      </x:c>
      <x:c r="N15" s="48" t="str">
        <x:v>0</x:v>
      </x:c>
      <x:c r="O15" s="48" t="str">
        <x:v>0</x:v>
      </x:c>
      <x:c r="P15" s="48" t="str">
        <x:v>0</x:v>
      </x:c>
      <x:c r="Q15" s="48" t="str">
        <x:v>1.000</x:v>
      </x:c>
      <x:c r="R15" s="48" t="str">
        <x:v>DRIVER DOES NOT SEPARATE</x:v>
      </x:c>
      <x:c r="S15" s="48" t="str">
        <x:v>0.000</x:v>
      </x:c>
      <x:c r="T15" s="48" t="str">
        <x:v>2018_2020:N=6,p=1.000; 2021_2023:N=11,p=1.000; 2024_2026:N=12,p=1.000</x:v>
      </x:c>
      <x:c r="U15" s="48" t="str">
        <x:v>Maximum-minus-minimum prevalence among adequately observed groups is no more than 0.15.</x:v>
      </x:c>
      <x:c r="V15" s="48" t="str">
        <x:v>At least 5 observable manager families in at least 2 driver groups</x:v>
      </x:c>
      <x:c r="W15" s="48" t="str">
        <x:v>&gt;=0.35 separates; &lt;=0.15 does not separate; intermediate is inconclusive/confounded; direct driver-definition tests are CIRCULAR</x:v>
      </x:c>
      <x:c r="X15" s="48" t="str">
        <x:v>MANAGER_SELF_DESCRIPTION; NOT BEHAVIOURAL FREQUENCY</x:v>
      </x:c>
    </x:row>
    <x:row r="16">
      <x:c r="A16" s="48" t="str">
        <x:v>B_GOVERNANCE_SEGMENTATION</x:v>
      </x:c>
      <x:c r="B16" s="48" t="str">
        <x:v>Tier B v1.1 - N=29 rerun</x:v>
      </x:c>
      <x:c r="C16" s="48" t="str">
        <x:v>2026-07-16</x:v>
      </x:c>
      <x:c r="D16" s="48" t="str">
        <x:v>G01</x:v>
      </x:c>
      <x:c r="E16" s="48" t="str">
        <x:v>GATING_DECISION</x:v>
      </x:c>
      <x:c r="F16" s="48" t="str">
        <x:v>Formal preliminary screen before full diligence</x:v>
      </x:c>
      <x:c r="G16" s="48" t="str">
        <x:v>governance_architecture</x:v>
      </x:c>
      <x:c r="H16" s="48" t="str">
        <x:v>IC_FINAL_OR_DE_FACTO</x:v>
      </x:c>
      <x:c r="I16" s="48" t="str">
        <x:v>26</x:v>
      </x:c>
      <x:c r="J16" s="48" t="str">
        <x:v>26</x:v>
      </x:c>
      <x:c r="K16" s="48" t="str">
        <x:v>0</x:v>
      </x:c>
      <x:c r="L16" s="48" t="str">
        <x:v>0</x:v>
      </x:c>
      <x:c r="M16" s="48" t="str">
        <x:v>26</x:v>
      </x:c>
      <x:c r="N16" s="48" t="str">
        <x:v>0</x:v>
      </x:c>
      <x:c r="O16" s="48" t="str">
        <x:v>0</x:v>
      </x:c>
      <x:c r="P16" s="48" t="str">
        <x:v>0</x:v>
      </x:c>
      <x:c r="Q16" s="48" t="str">
        <x:v>1.000</x:v>
      </x:c>
      <x:c r="R16" s="48" t="str">
        <x:v>N TOO SMALL</x:v>
      </x:c>
      <x:c r="S16" s="48" t="str"/>
      <x:c r="T16" s="48" t="str">
        <x:v>IC_FINAL_OR_DE_FACTO:N=26,p=1.000</x:v>
      </x:c>
      <x:c r="U16" s="48" t="str">
        <x:v>Fewer than two driver groups have at least 5 observable manager families.</x:v>
      </x:c>
      <x:c r="V16" s="48" t="str">
        <x:v>At least 5 observable manager families in at least 2 driver groups</x:v>
      </x:c>
      <x:c r="W16" s="48" t="str">
        <x:v>&gt;=0.35 separates; &lt;=0.15 does not separate; intermediate is inconclusive/confounded; direct driver-definition tests are CIRCULAR</x:v>
      </x:c>
      <x:c r="X16" s="48" t="str">
        <x:v>MANAGER_SELF_DESCRIPTION; NOT BEHAVIOURAL FREQUENCY</x:v>
      </x:c>
    </x:row>
    <x:row r="17">
      <x:c r="A17" s="48" t="str">
        <x:v>B_GOVERNANCE_SEGMENTATION</x:v>
      </x:c>
      <x:c r="B17" s="48" t="str">
        <x:v>Tier B v1.1 - N=29 rerun</x:v>
      </x:c>
      <x:c r="C17" s="48" t="str">
        <x:v>2026-07-16</x:v>
      </x:c>
      <x:c r="D17" s="48" t="str">
        <x:v>G01</x:v>
      </x:c>
      <x:c r="E17" s="48" t="str">
        <x:v>GATING_DECISION</x:v>
      </x:c>
      <x:c r="F17" s="48" t="str">
        <x:v>Formal preliminary screen before full diligence</x:v>
      </x:c>
      <x:c r="G17" s="48" t="str">
        <x:v>governance_architecture</x:v>
      </x:c>
      <x:c r="H17" s="48" t="str">
        <x:v>IC_RECOMMENDS_SEPARATE_FINAL_AUTHORITY</x:v>
      </x:c>
      <x:c r="I17" s="48" t="str">
        <x:v>3</x:v>
      </x:c>
      <x:c r="J17" s="48" t="str">
        <x:v>3</x:v>
      </x:c>
      <x:c r="K17" s="48" t="str">
        <x:v>0</x:v>
      </x:c>
      <x:c r="L17" s="48" t="str">
        <x:v>0</x:v>
      </x:c>
      <x:c r="M17" s="48" t="str">
        <x:v>3</x:v>
      </x:c>
      <x:c r="N17" s="48" t="str">
        <x:v>0</x:v>
      </x:c>
      <x:c r="O17" s="48" t="str">
        <x:v>0</x:v>
      </x:c>
      <x:c r="P17" s="48" t="str">
        <x:v>0</x:v>
      </x:c>
      <x:c r="Q17" s="48" t="str">
        <x:v>1.000</x:v>
      </x:c>
      <x:c r="R17" s="48" t="str">
        <x:v>N TOO SMALL</x:v>
      </x:c>
      <x:c r="S17" s="48" t="str"/>
      <x:c r="T17" s="48" t="str">
        <x:v>IC_FINAL_OR_DE_FACTO:N=26,p=1.000</x:v>
      </x:c>
      <x:c r="U17" s="48" t="str">
        <x:v>Fewer than two driver groups have at least 5 observable manager families.</x:v>
      </x:c>
      <x:c r="V17" s="48" t="str">
        <x:v>At least 5 observable manager families in at least 2 driver groups</x:v>
      </x:c>
      <x:c r="W17" s="48" t="str">
        <x:v>&gt;=0.35 separates; &lt;=0.15 does not separate; intermediate is inconclusive/confounded; direct driver-definition tests are CIRCULAR</x:v>
      </x:c>
      <x:c r="X17" s="48" t="str">
        <x:v>MANAGER_SELF_DESCRIPTION; NOT BEHAVIOURAL FREQUENCY</x:v>
      </x:c>
    </x:row>
    <x:row r="18">
      <x:c r="A18" s="48" t="str">
        <x:v>B_GOVERNANCE_SEGMENTATION</x:v>
      </x:c>
      <x:c r="B18" s="48" t="str">
        <x:v>Tier B v1.1 - N=29 rerun</x:v>
      </x:c>
      <x:c r="C18" s="48" t="str">
        <x:v>2026-07-16</x:v>
      </x:c>
      <x:c r="D18" s="48" t="str">
        <x:v>G01</x:v>
      </x:c>
      <x:c r="E18" s="48" t="str">
        <x:v>GATING_DECISION</x:v>
      </x:c>
      <x:c r="F18" s="48" t="str">
        <x:v>Formal preliminary screen before full diligence</x:v>
      </x:c>
      <x:c r="G18" s="48" t="str">
        <x:v>dedicated_operating_team</x:v>
      </x:c>
      <x:c r="H18" s="48" t="str">
        <x:v>NO_OR_LIMITED</x:v>
      </x:c>
      <x:c r="I18" s="48" t="str">
        <x:v>6</x:v>
      </x:c>
      <x:c r="J18" s="48" t="str">
        <x:v>6</x:v>
      </x:c>
      <x:c r="K18" s="48" t="str">
        <x:v>0</x:v>
      </x:c>
      <x:c r="L18" s="48" t="str">
        <x:v>0</x:v>
      </x:c>
      <x:c r="M18" s="48" t="str">
        <x:v>6</x:v>
      </x:c>
      <x:c r="N18" s="48" t="str">
        <x:v>0</x:v>
      </x:c>
      <x:c r="O18" s="48" t="str">
        <x:v>0</x:v>
      </x:c>
      <x:c r="P18" s="48" t="str">
        <x:v>0</x:v>
      </x:c>
      <x:c r="Q18" s="48" t="str">
        <x:v>1.000</x:v>
      </x:c>
      <x:c r="R18" s="48" t="str">
        <x:v>DRIVER DOES NOT SEPARATE</x:v>
      </x:c>
      <x:c r="S18" s="48" t="str">
        <x:v>0.000</x:v>
      </x:c>
      <x:c r="T18" s="48" t="str">
        <x:v>NO_OR_LIMITED:N=6,p=1.000; YES_DEDICATED:N=23,p=1.000</x:v>
      </x:c>
      <x:c r="U18" s="48" t="str">
        <x:v>Maximum-minus-minimum prevalence among adequately observed groups is no more than 0.15.</x:v>
      </x:c>
      <x:c r="V18" s="48" t="str">
        <x:v>At least 5 observable manager families in at least 2 driver groups</x:v>
      </x:c>
      <x:c r="W18" s="48" t="str">
        <x:v>&gt;=0.35 separates; &lt;=0.15 does not separate; intermediate is inconclusive/confounded; direct driver-definition tests are CIRCULAR</x:v>
      </x:c>
      <x:c r="X18" s="48" t="str">
        <x:v>MANAGER_SELF_DESCRIPTION; NOT BEHAVIOURAL FREQUENCY</x:v>
      </x:c>
    </x:row>
    <x:row r="19">
      <x:c r="A19" s="48" t="str">
        <x:v>B_GOVERNANCE_SEGMENTATION</x:v>
      </x:c>
      <x:c r="B19" s="48" t="str">
        <x:v>Tier B v1.1 - N=29 rerun</x:v>
      </x:c>
      <x:c r="C19" s="48" t="str">
        <x:v>2026-07-16</x:v>
      </x:c>
      <x:c r="D19" s="48" t="str">
        <x:v>G01</x:v>
      </x:c>
      <x:c r="E19" s="48" t="str">
        <x:v>GATING_DECISION</x:v>
      </x:c>
      <x:c r="F19" s="48" t="str">
        <x:v>Formal preliminary screen before full diligence</x:v>
      </x:c>
      <x:c r="G19" s="48" t="str">
        <x:v>dedicated_operating_team</x:v>
      </x:c>
      <x:c r="H19" s="48" t="str">
        <x:v>YES_DEDICATED</x:v>
      </x:c>
      <x:c r="I19" s="48" t="str">
        <x:v>23</x:v>
      </x:c>
      <x:c r="J19" s="48" t="str">
        <x:v>23</x:v>
      </x:c>
      <x:c r="K19" s="48" t="str">
        <x:v>0</x:v>
      </x:c>
      <x:c r="L19" s="48" t="str">
        <x:v>0</x:v>
      </x:c>
      <x:c r="M19" s="48" t="str">
        <x:v>23</x:v>
      </x:c>
      <x:c r="N19" s="48" t="str">
        <x:v>0</x:v>
      </x:c>
      <x:c r="O19" s="48" t="str">
        <x:v>0</x:v>
      </x:c>
      <x:c r="P19" s="48" t="str">
        <x:v>0</x:v>
      </x:c>
      <x:c r="Q19" s="48" t="str">
        <x:v>1.000</x:v>
      </x:c>
      <x:c r="R19" s="48" t="str">
        <x:v>DRIVER DOES NOT SEPARATE</x:v>
      </x:c>
      <x:c r="S19" s="48" t="str">
        <x:v>0.000</x:v>
      </x:c>
      <x:c r="T19" s="48" t="str">
        <x:v>NO_OR_LIMITED:N=6,p=1.000; YES_DEDICATED:N=23,p=1.000</x:v>
      </x:c>
      <x:c r="U19" s="48" t="str">
        <x:v>Maximum-minus-minimum prevalence among adequately observed groups is no more than 0.15.</x:v>
      </x:c>
      <x:c r="V19" s="48" t="str">
        <x:v>At least 5 observable manager families in at least 2 driver groups</x:v>
      </x:c>
      <x:c r="W19" s="48" t="str">
        <x:v>&gt;=0.35 separates; &lt;=0.15 does not separate; intermediate is inconclusive/confounded; direct driver-definition tests are CIRCULAR</x:v>
      </x:c>
      <x:c r="X19" s="48" t="str">
        <x:v>MANAGER_SELF_DESCRIPTION; NOT BEHAVIOURAL FREQUENCY</x:v>
      </x:c>
    </x:row>
    <x:row r="20">
      <x:c r="A20" s="48" t="str">
        <x:v>B_GOVERNANCE_SEGMENTATION</x:v>
      </x:c>
      <x:c r="B20" s="48" t="str">
        <x:v>Tier B v1.1 - N=29 rerun</x:v>
      </x:c>
      <x:c r="C20" s="48" t="str">
        <x:v>2026-07-16</x:v>
      </x:c>
      <x:c r="D20" s="48" t="str">
        <x:v>G02</x:v>
      </x:c>
      <x:c r="E20" s="48" t="str">
        <x:v>GATING_DECISION</x:v>
      </x:c>
      <x:c r="F20" s="48" t="str">
        <x:v>Explicit permission-to-spend or resource gate</x:v>
      </x:c>
      <x:c r="G20" s="48" t="str">
        <x:v>fund_size_archetype</x:v>
      </x:c>
      <x:c r="H20" s="48" t="str">
        <x:v>LARGE_2_TO_LT_5B</x:v>
      </x:c>
      <x:c r="I20" s="48" t="str">
        <x:v>9</x:v>
      </x:c>
      <x:c r="J20" s="48" t="str">
        <x:v>9</x:v>
      </x:c>
      <x:c r="K20" s="48" t="str">
        <x:v>3</x:v>
      </x:c>
      <x:c r="L20" s="48" t="str">
        <x:v>0</x:v>
      </x:c>
      <x:c r="M20" s="48" t="str">
        <x:v>9</x:v>
      </x:c>
      <x:c r="N20" s="48" t="str">
        <x:v>0</x:v>
      </x:c>
      <x:c r="O20" s="48" t="str">
        <x:v>0</x:v>
      </x:c>
      <x:c r="P20" s="48" t="str">
        <x:v>0</x:v>
      </x:c>
      <x:c r="Q20" s="48" t="str">
        <x:v>1.000</x:v>
      </x:c>
      <x:c r="R20" s="48" t="str">
        <x:v>DRIVER DOES NOT SEPARATE</x:v>
      </x:c>
      <x:c r="S20" s="48" t="str">
        <x:v>0.000</x:v>
      </x:c>
      <x:c r="T20" s="48" t="str">
        <x:v>LARGE_2_TO_LT_5B:N=9,p=1.000; LOWER_MID_LT_2B:N=6,p=1.000; MEGA_GE_5B:N=8,p=1.000</x:v>
      </x:c>
      <x:c r="U20" s="48" t="str">
        <x:v>Maximum-minus-minimum prevalence among adequately observed groups is no more than 0.15.</x:v>
      </x:c>
      <x:c r="V20" s="48" t="str">
        <x:v>At least 5 observable manager families in at least 2 driver groups</x:v>
      </x:c>
      <x:c r="W20" s="48" t="str">
        <x:v>&gt;=0.35 separates; &lt;=0.15 does not separate; intermediate is inconclusive/confounded; direct driver-definition tests are CIRCULAR</x:v>
      </x:c>
      <x:c r="X20" s="48" t="str">
        <x:v>MANAGER_SELF_DESCRIPTION; NOT BEHAVIOURAL FREQUENCY</x:v>
      </x:c>
    </x:row>
    <x:row r="21">
      <x:c r="A21" s="48" t="str">
        <x:v>B_GOVERNANCE_SEGMENTATION</x:v>
      </x:c>
      <x:c r="B21" s="48" t="str">
        <x:v>Tier B v1.1 - N=29 rerun</x:v>
      </x:c>
      <x:c r="C21" s="48" t="str">
        <x:v>2026-07-16</x:v>
      </x:c>
      <x:c r="D21" s="48" t="str">
        <x:v>G02</x:v>
      </x:c>
      <x:c r="E21" s="48" t="str">
        <x:v>GATING_DECISION</x:v>
      </x:c>
      <x:c r="F21" s="48" t="str">
        <x:v>Explicit permission-to-spend or resource gate</x:v>
      </x:c>
      <x:c r="G21" s="48" t="str">
        <x:v>fund_size_archetype</x:v>
      </x:c>
      <x:c r="H21" s="48" t="str">
        <x:v>LOWER_MID_LT_2B</x:v>
      </x:c>
      <x:c r="I21" s="48" t="str">
        <x:v>8</x:v>
      </x:c>
      <x:c r="J21" s="48" t="str">
        <x:v>6</x:v>
      </x:c>
      <x:c r="K21" s="48" t="str">
        <x:v>2</x:v>
      </x:c>
      <x:c r="L21" s="48" t="str">
        <x:v>0</x:v>
      </x:c>
      <x:c r="M21" s="48" t="str">
        <x:v>6</x:v>
      </x:c>
      <x:c r="N21" s="48" t="str">
        <x:v>2</x:v>
      </x:c>
      <x:c r="O21" s="48" t="str">
        <x:v>0</x:v>
      </x:c>
      <x:c r="P21" s="48" t="str">
        <x:v>0</x:v>
      </x:c>
      <x:c r="Q21" s="48" t="str">
        <x:v>1.000</x:v>
      </x:c>
      <x:c r="R21" s="48" t="str">
        <x:v>DRIVER DOES NOT SEPARATE</x:v>
      </x:c>
      <x:c r="S21" s="48" t="str">
        <x:v>0.000</x:v>
      </x:c>
      <x:c r="T21" s="48" t="str">
        <x:v>LARGE_2_TO_LT_5B:N=9,p=1.000; LOWER_MID_LT_2B:N=6,p=1.000; MEGA_GE_5B:N=8,p=1.000</x:v>
      </x:c>
      <x:c r="U21" s="48" t="str">
        <x:v>Maximum-minus-minimum prevalence among adequately observed groups is no more than 0.15.</x:v>
      </x:c>
      <x:c r="V21" s="48" t="str">
        <x:v>At least 5 observable manager families in at least 2 driver groups</x:v>
      </x:c>
      <x:c r="W21" s="48" t="str">
        <x:v>&gt;=0.35 separates; &lt;=0.15 does not separate; intermediate is inconclusive/confounded; direct driver-definition tests are CIRCULAR</x:v>
      </x:c>
      <x:c r="X21" s="48" t="str">
        <x:v>MANAGER_SELF_DESCRIPTION; NOT BEHAVIOURAL FREQUENCY</x:v>
      </x:c>
    </x:row>
    <x:row r="22">
      <x:c r="A22" s="48" t="str">
        <x:v>B_GOVERNANCE_SEGMENTATION</x:v>
      </x:c>
      <x:c r="B22" s="48" t="str">
        <x:v>Tier B v1.1 - N=29 rerun</x:v>
      </x:c>
      <x:c r="C22" s="48" t="str">
        <x:v>2026-07-16</x:v>
      </x:c>
      <x:c r="D22" s="48" t="str">
        <x:v>G02</x:v>
      </x:c>
      <x:c r="E22" s="48" t="str">
        <x:v>GATING_DECISION</x:v>
      </x:c>
      <x:c r="F22" s="48" t="str">
        <x:v>Explicit permission-to-spend or resource gate</x:v>
      </x:c>
      <x:c r="G22" s="48" t="str">
        <x:v>fund_size_archetype</x:v>
      </x:c>
      <x:c r="H22" s="48" t="str">
        <x:v>MEGA_GE_5B</x:v>
      </x:c>
      <x:c r="I22" s="48" t="str">
        <x:v>11</x:v>
      </x:c>
      <x:c r="J22" s="48" t="str">
        <x:v>8</x:v>
      </x:c>
      <x:c r="K22" s="48" t="str">
        <x:v>1</x:v>
      </x:c>
      <x:c r="L22" s="48" t="str">
        <x:v>0</x:v>
      </x:c>
      <x:c r="M22" s="48" t="str">
        <x:v>8</x:v>
      </x:c>
      <x:c r="N22" s="48" t="str">
        <x:v>3</x:v>
      </x:c>
      <x:c r="O22" s="48" t="str">
        <x:v>0</x:v>
      </x:c>
      <x:c r="P22" s="48" t="str">
        <x:v>0</x:v>
      </x:c>
      <x:c r="Q22" s="48" t="str">
        <x:v>1.000</x:v>
      </x:c>
      <x:c r="R22" s="48" t="str">
        <x:v>DRIVER DOES NOT SEPARATE</x:v>
      </x:c>
      <x:c r="S22" s="48" t="str">
        <x:v>0.000</x:v>
      </x:c>
      <x:c r="T22" s="48" t="str">
        <x:v>LARGE_2_TO_LT_5B:N=9,p=1.000; LOWER_MID_LT_2B:N=6,p=1.000; MEGA_GE_5B:N=8,p=1.000</x:v>
      </x:c>
      <x:c r="U22" s="48" t="str">
        <x:v>Maximum-minus-minimum prevalence among adequately observed groups is no more than 0.15.</x:v>
      </x:c>
      <x:c r="V22" s="48" t="str">
        <x:v>At least 5 observable manager families in at least 2 driver groups</x:v>
      </x:c>
      <x:c r="W22" s="48" t="str">
        <x:v>&gt;=0.35 separates; &lt;=0.15 does not separate; intermediate is inconclusive/confounded; direct driver-definition tests are CIRCULAR</x:v>
      </x:c>
      <x:c r="X22" s="48" t="str">
        <x:v>MANAGER_SELF_DESCRIPTION; NOT BEHAVIOURAL FREQUENCY</x:v>
      </x:c>
    </x:row>
    <x:row r="23">
      <x:c r="A23" s="48" t="str">
        <x:v>B_GOVERNANCE_SEGMENTATION</x:v>
      </x:c>
      <x:c r="B23" s="48" t="str">
        <x:v>Tier B v1.1 - N=29 rerun</x:v>
      </x:c>
      <x:c r="C23" s="48" t="str">
        <x:v>2026-07-16</x:v>
      </x:c>
      <x:c r="D23" s="48" t="str">
        <x:v>G02</x:v>
      </x:c>
      <x:c r="E23" s="48" t="str">
        <x:v>GATING_DECISION</x:v>
      </x:c>
      <x:c r="F23" s="48" t="str">
        <x:v>Explicit permission-to-spend or resource gate</x:v>
      </x:c>
      <x:c r="G23" s="48" t="str">
        <x:v>fund_size_archetype</x:v>
      </x:c>
      <x:c r="H23" s="48" t="str">
        <x:v>NOT_APPLICABLE</x:v>
      </x:c>
      <x:c r="I23" s="48" t="str">
        <x:v>1</x:v>
      </x:c>
      <x:c r="J23" s="48" t="str">
        <x:v>1</x:v>
      </x:c>
      <x:c r="K23" s="48" t="str">
        <x:v>0</x:v>
      </x:c>
      <x:c r="L23" s="48" t="str">
        <x:v>0</x:v>
      </x:c>
      <x:c r="M23" s="48" t="str">
        <x:v>1</x:v>
      </x:c>
      <x:c r="N23" s="48" t="str">
        <x:v>0</x:v>
      </x:c>
      <x:c r="O23" s="48" t="str">
        <x:v>0</x:v>
      </x:c>
      <x:c r="P23" s="48" t="str">
        <x:v>0</x:v>
      </x:c>
      <x:c r="Q23" s="48" t="str">
        <x:v>1.000</x:v>
      </x:c>
      <x:c r="R23" s="48" t="str">
        <x:v>DRIVER DOES NOT SEPARATE</x:v>
      </x:c>
      <x:c r="S23" s="48" t="str">
        <x:v>0.000</x:v>
      </x:c>
      <x:c r="T23" s="48" t="str">
        <x:v>LARGE_2_TO_LT_5B:N=9,p=1.000; LOWER_MID_LT_2B:N=6,p=1.000; MEGA_GE_5B:N=8,p=1.000</x:v>
      </x:c>
      <x:c r="U23" s="48" t="str">
        <x:v>Maximum-minus-minimum prevalence among adequately observed groups is no more than 0.15.</x:v>
      </x:c>
      <x:c r="V23" s="48" t="str">
        <x:v>At least 5 observable manager families in at least 2 driver groups</x:v>
      </x:c>
      <x:c r="W23" s="48" t="str">
        <x:v>&gt;=0.35 separates; &lt;=0.15 does not separate; intermediate is inconclusive/confounded; direct driver-definition tests are CIRCULAR</x:v>
      </x:c>
      <x:c r="X23" s="48" t="str">
        <x:v>MANAGER_SELF_DESCRIPTION; NOT BEHAVIOURAL FREQUENCY</x:v>
      </x:c>
    </x:row>
    <x:row r="24">
      <x:c r="A24" s="48" t="str">
        <x:v>B_GOVERNANCE_SEGMENTATION</x:v>
      </x:c>
      <x:c r="B24" s="48" t="str">
        <x:v>Tier B v1.1 - N=29 rerun</x:v>
      </x:c>
      <x:c r="C24" s="48" t="str">
        <x:v>2026-07-16</x:v>
      </x:c>
      <x:c r="D24" s="48" t="str">
        <x:v>G02</x:v>
      </x:c>
      <x:c r="E24" s="48" t="str">
        <x:v>GATING_DECISION</x:v>
      </x:c>
      <x:c r="F24" s="48" t="str">
        <x:v>Explicit permission-to-spend or resource gate</x:v>
      </x:c>
      <x:c r="G24" s="48" t="str">
        <x:v>strategy</x:v>
      </x:c>
      <x:c r="H24" s="48" t="str">
        <x:v>CONTROL_BUYOUT</x:v>
      </x:c>
      <x:c r="I24" s="48" t="str">
        <x:v>22</x:v>
      </x:c>
      <x:c r="J24" s="48" t="str">
        <x:v>19</x:v>
      </x:c>
      <x:c r="K24" s="48" t="str">
        <x:v>5</x:v>
      </x:c>
      <x:c r="L24" s="48" t="str">
        <x:v>0</x:v>
      </x:c>
      <x:c r="M24" s="48" t="str">
        <x:v>19</x:v>
      </x:c>
      <x:c r="N24" s="48" t="str">
        <x:v>3</x:v>
      </x:c>
      <x:c r="O24" s="48" t="str">
        <x:v>0</x:v>
      </x:c>
      <x:c r="P24" s="48" t="str">
        <x:v>0</x:v>
      </x:c>
      <x:c r="Q24" s="48" t="str">
        <x:v>1.000</x:v>
      </x:c>
      <x:c r="R24" s="48" t="str">
        <x:v>N TOO SMALL</x:v>
      </x:c>
      <x:c r="S24" s="48" t="str"/>
      <x:c r="T24" s="48" t="str">
        <x:v>CONTROL_BUYOUT:N=19,p=1.000</x:v>
      </x:c>
      <x:c r="U24" s="48" t="str">
        <x:v>Fewer than two driver groups have at least 5 observable manager families.</x:v>
      </x:c>
      <x:c r="V24" s="48" t="str">
        <x:v>At least 5 observable manager families in at least 2 driver groups</x:v>
      </x:c>
      <x:c r="W24" s="48" t="str">
        <x:v>&gt;=0.35 separates; &lt;=0.15 does not separate; intermediate is inconclusive/confounded; direct driver-definition tests are CIRCULAR</x:v>
      </x:c>
      <x:c r="X24" s="48" t="str">
        <x:v>MANAGER_SELF_DESCRIPTION; NOT BEHAVIOURAL FREQUENCY</x:v>
      </x:c>
    </x:row>
    <x:row r="25">
      <x:c r="A25" s="48" t="str">
        <x:v>B_GOVERNANCE_SEGMENTATION</x:v>
      </x:c>
      <x:c r="B25" s="48" t="str">
        <x:v>Tier B v1.1 - N=29 rerun</x:v>
      </x:c>
      <x:c r="C25" s="48" t="str">
        <x:v>2026-07-16</x:v>
      </x:c>
      <x:c r="D25" s="48" t="str">
        <x:v>G02</x:v>
      </x:c>
      <x:c r="E25" s="48" t="str">
        <x:v>GATING_DECISION</x:v>
      </x:c>
      <x:c r="F25" s="48" t="str">
        <x:v>Explicit permission-to-spend or resource gate</x:v>
      </x:c>
      <x:c r="G25" s="48" t="str">
        <x:v>strategy</x:v>
      </x:c>
      <x:c r="H25" s="48" t="str">
        <x:v>GROWTH_CONTROL_HYBRID</x:v>
      </x:c>
      <x:c r="I25" s="48" t="str">
        <x:v>6</x:v>
      </x:c>
      <x:c r="J25" s="48" t="str">
        <x:v>4</x:v>
      </x:c>
      <x:c r="K25" s="48" t="str">
        <x:v>1</x:v>
      </x:c>
      <x:c r="L25" s="48" t="str">
        <x:v>0</x:v>
      </x:c>
      <x:c r="M25" s="48" t="str">
        <x:v>4</x:v>
      </x:c>
      <x:c r="N25" s="48" t="str">
        <x:v>2</x:v>
      </x:c>
      <x:c r="O25" s="48" t="str">
        <x:v>0</x:v>
      </x:c>
      <x:c r="P25" s="48" t="str">
        <x:v>0</x:v>
      </x:c>
      <x:c r="Q25" s="48" t="str">
        <x:v>1.000</x:v>
      </x:c>
      <x:c r="R25" s="48" t="str">
        <x:v>N TOO SMALL</x:v>
      </x:c>
      <x:c r="S25" s="48" t="str"/>
      <x:c r="T25" s="48" t="str">
        <x:v>CONTROL_BUYOUT:N=19,p=1.000</x:v>
      </x:c>
      <x:c r="U25" s="48" t="str">
        <x:v>Fewer than two driver groups have at least 5 observable manager families.</x:v>
      </x:c>
      <x:c r="V25" s="48" t="str">
        <x:v>At least 5 observable manager families in at least 2 driver groups</x:v>
      </x:c>
      <x:c r="W25" s="48" t="str">
        <x:v>&gt;=0.35 separates; &lt;=0.15 does not separate; intermediate is inconclusive/confounded; direct driver-definition tests are CIRCULAR</x:v>
      </x:c>
      <x:c r="X25" s="48" t="str">
        <x:v>MANAGER_SELF_DESCRIPTION; NOT BEHAVIOURAL FREQUENCY</x:v>
      </x:c>
    </x:row>
    <x:row r="26">
      <x:c r="A26" s="48" t="str">
        <x:v>B_GOVERNANCE_SEGMENTATION</x:v>
      </x:c>
      <x:c r="B26" s="48" t="str">
        <x:v>Tier B v1.1 - N=29 rerun</x:v>
      </x:c>
      <x:c r="C26" s="48" t="str">
        <x:v>2026-07-16</x:v>
      </x:c>
      <x:c r="D26" s="48" t="str">
        <x:v>G02</x:v>
      </x:c>
      <x:c r="E26" s="48" t="str">
        <x:v>GATING_DECISION</x:v>
      </x:c>
      <x:c r="F26" s="48" t="str">
        <x:v>Explicit permission-to-spend or resource gate</x:v>
      </x:c>
      <x:c r="G26" s="48" t="str">
        <x:v>strategy</x:v>
      </x:c>
      <x:c r="H26" s="48" t="str">
        <x:v>OPPORTUNISTIC_CONTROL</x:v>
      </x:c>
      <x:c r="I26" s="48" t="str">
        <x:v>1</x:v>
      </x:c>
      <x:c r="J26" s="48" t="str">
        <x:v>1</x:v>
      </x:c>
      <x:c r="K26" s="48" t="str">
        <x:v>0</x:v>
      </x:c>
      <x:c r="L26" s="48" t="str">
        <x:v>0</x:v>
      </x:c>
      <x:c r="M26" s="48" t="str">
        <x:v>1</x:v>
      </x:c>
      <x:c r="N26" s="48" t="str">
        <x:v>0</x:v>
      </x:c>
      <x:c r="O26" s="48" t="str">
        <x:v>0</x:v>
      </x:c>
      <x:c r="P26" s="48" t="str">
        <x:v>0</x:v>
      </x:c>
      <x:c r="Q26" s="48" t="str">
        <x:v>1.000</x:v>
      </x:c>
      <x:c r="R26" s="48" t="str">
        <x:v>N TOO SMALL</x:v>
      </x:c>
      <x:c r="S26" s="48" t="str"/>
      <x:c r="T26" s="48" t="str">
        <x:v>CONTROL_BUYOUT:N=19,p=1.000</x:v>
      </x:c>
      <x:c r="U26" s="48" t="str">
        <x:v>Fewer than two driver groups have at least 5 observable manager families.</x:v>
      </x:c>
      <x:c r="V26" s="48" t="str">
        <x:v>At least 5 observable manager families in at least 2 driver groups</x:v>
      </x:c>
      <x:c r="W26" s="48" t="str">
        <x:v>&gt;=0.35 separates; &lt;=0.15 does not separate; intermediate is inconclusive/confounded; direct driver-definition tests are CIRCULAR</x:v>
      </x:c>
      <x:c r="X26" s="48" t="str">
        <x:v>MANAGER_SELF_DESCRIPTION; NOT BEHAVIOURAL FREQUENCY</x:v>
      </x:c>
    </x:row>
    <x:row r="27">
      <x:c r="A27" s="48" t="str">
        <x:v>B_GOVERNANCE_SEGMENTATION</x:v>
      </x:c>
      <x:c r="B27" s="48" t="str">
        <x:v>Tier B v1.1 - N=29 rerun</x:v>
      </x:c>
      <x:c r="C27" s="48" t="str">
        <x:v>2026-07-16</x:v>
      </x:c>
      <x:c r="D27" s="48" t="str">
        <x:v>G02</x:v>
      </x:c>
      <x:c r="E27" s="48" t="str">
        <x:v>GATING_DECISION</x:v>
      </x:c>
      <x:c r="F27" s="48" t="str">
        <x:v>Explicit permission-to-spend or resource gate</x:v>
      </x:c>
      <x:c r="G27" s="48" t="str">
        <x:v>geography</x:v>
      </x:c>
      <x:c r="H27" s="48" t="str">
        <x:v>ASIA_PACIFIC</x:v>
      </x:c>
      <x:c r="I27" s="48" t="str">
        <x:v>4</x:v>
      </x:c>
      <x:c r="J27" s="48" t="str">
        <x:v>4</x:v>
      </x:c>
      <x:c r="K27" s="48" t="str">
        <x:v>0</x:v>
      </x:c>
      <x:c r="L27" s="48" t="str">
        <x:v>0</x:v>
      </x:c>
      <x:c r="M27" s="48" t="str">
        <x:v>4</x:v>
      </x:c>
      <x:c r="N27" s="48" t="str">
        <x:v>0</x:v>
      </x:c>
      <x:c r="O27" s="48" t="str">
        <x:v>0</x:v>
      </x:c>
      <x:c r="P27" s="48" t="str">
        <x:v>0</x:v>
      </x:c>
      <x:c r="Q27" s="48" t="str">
        <x:v>1.000</x:v>
      </x:c>
      <x:c r="R27" s="48" t="str">
        <x:v>DRIVER DOES NOT SEPARATE</x:v>
      </x:c>
      <x:c r="S27" s="48" t="str">
        <x:v>0.000</x:v>
      </x:c>
      <x:c r="T27" s="48" t="str">
        <x:v>GLOBAL_TRANSATLANTIC:N=7,p=1.000; NORTH_AMERICA:N=11,p=1.000</x:v>
      </x:c>
      <x:c r="U27" s="48" t="str">
        <x:v>Maximum-minus-minimum prevalence among adequately observed groups is no more than 0.15.</x:v>
      </x:c>
      <x:c r="V27" s="48" t="str">
        <x:v>At least 5 observable manager families in at least 2 driver groups</x:v>
      </x:c>
      <x:c r="W27" s="48" t="str">
        <x:v>&gt;=0.35 separates; &lt;=0.15 does not separate; intermediate is inconclusive/confounded; direct driver-definition tests are CIRCULAR</x:v>
      </x:c>
      <x:c r="X27" s="48" t="str">
        <x:v>MANAGER_SELF_DESCRIPTION; NOT BEHAVIOURAL FREQUENCY</x:v>
      </x:c>
    </x:row>
    <x:row r="28">
      <x:c r="A28" s="48" t="str">
        <x:v>B_GOVERNANCE_SEGMENTATION</x:v>
      </x:c>
      <x:c r="B28" s="48" t="str">
        <x:v>Tier B v1.1 - N=29 rerun</x:v>
      </x:c>
      <x:c r="C28" s="48" t="str">
        <x:v>2026-07-16</x:v>
      </x:c>
      <x:c r="D28" s="48" t="str">
        <x:v>G02</x:v>
      </x:c>
      <x:c r="E28" s="48" t="str">
        <x:v>GATING_DECISION</x:v>
      </x:c>
      <x:c r="F28" s="48" t="str">
        <x:v>Explicit permission-to-spend or resource gate</x:v>
      </x:c>
      <x:c r="G28" s="48" t="str">
        <x:v>geography</x:v>
      </x:c>
      <x:c r="H28" s="48" t="str">
        <x:v>EUROPE</x:v>
      </x:c>
      <x:c r="I28" s="48" t="str">
        <x:v>2</x:v>
      </x:c>
      <x:c r="J28" s="48" t="str">
        <x:v>2</x:v>
      </x:c>
      <x:c r="K28" s="48" t="str">
        <x:v>0</x:v>
      </x:c>
      <x:c r="L28" s="48" t="str">
        <x:v>0</x:v>
      </x:c>
      <x:c r="M28" s="48" t="str">
        <x:v>2</x:v>
      </x:c>
      <x:c r="N28" s="48" t="str">
        <x:v>0</x:v>
      </x:c>
      <x:c r="O28" s="48" t="str">
        <x:v>0</x:v>
      </x:c>
      <x:c r="P28" s="48" t="str">
        <x:v>0</x:v>
      </x:c>
      <x:c r="Q28" s="48" t="str">
        <x:v>1.000</x:v>
      </x:c>
      <x:c r="R28" s="48" t="str">
        <x:v>DRIVER DOES NOT SEPARATE</x:v>
      </x:c>
      <x:c r="S28" s="48" t="str">
        <x:v>0.000</x:v>
      </x:c>
      <x:c r="T28" s="48" t="str">
        <x:v>GLOBAL_TRANSATLANTIC:N=7,p=1.000; NORTH_AMERICA:N=11,p=1.000</x:v>
      </x:c>
      <x:c r="U28" s="48" t="str">
        <x:v>Maximum-minus-minimum prevalence among adequately observed groups is no more than 0.15.</x:v>
      </x:c>
      <x:c r="V28" s="48" t="str">
        <x:v>At least 5 observable manager families in at least 2 driver groups</x:v>
      </x:c>
      <x:c r="W28" s="48" t="str">
        <x:v>&gt;=0.35 separates; &lt;=0.15 does not separate; intermediate is inconclusive/confounded; direct driver-definition tests are CIRCULAR</x:v>
      </x:c>
      <x:c r="X28" s="48" t="str">
        <x:v>MANAGER_SELF_DESCRIPTION; NOT BEHAVIOURAL FREQUENCY</x:v>
      </x:c>
    </x:row>
    <x:row r="29">
      <x:c r="A29" s="48" t="str">
        <x:v>B_GOVERNANCE_SEGMENTATION</x:v>
      </x:c>
      <x:c r="B29" s="48" t="str">
        <x:v>Tier B v1.1 - N=29 rerun</x:v>
      </x:c>
      <x:c r="C29" s="48" t="str">
        <x:v>2026-07-16</x:v>
      </x:c>
      <x:c r="D29" s="48" t="str">
        <x:v>G02</x:v>
      </x:c>
      <x:c r="E29" s="48" t="str">
        <x:v>GATING_DECISION</x:v>
      </x:c>
      <x:c r="F29" s="48" t="str">
        <x:v>Explicit permission-to-spend or resource gate</x:v>
      </x:c>
      <x:c r="G29" s="48" t="str">
        <x:v>geography</x:v>
      </x:c>
      <x:c r="H29" s="48" t="str">
        <x:v>GLOBAL_TRANSATLANTIC</x:v>
      </x:c>
      <x:c r="I29" s="48" t="str">
        <x:v>10</x:v>
      </x:c>
      <x:c r="J29" s="48" t="str">
        <x:v>7</x:v>
      </x:c>
      <x:c r="K29" s="48" t="str">
        <x:v>1</x:v>
      </x:c>
      <x:c r="L29" s="48" t="str">
        <x:v>0</x:v>
      </x:c>
      <x:c r="M29" s="48" t="str">
        <x:v>7</x:v>
      </x:c>
      <x:c r="N29" s="48" t="str">
        <x:v>3</x:v>
      </x:c>
      <x:c r="O29" s="48" t="str">
        <x:v>0</x:v>
      </x:c>
      <x:c r="P29" s="48" t="str">
        <x:v>0</x:v>
      </x:c>
      <x:c r="Q29" s="48" t="str">
        <x:v>1.000</x:v>
      </x:c>
      <x:c r="R29" s="48" t="str">
        <x:v>DRIVER DOES NOT SEPARATE</x:v>
      </x:c>
      <x:c r="S29" s="48" t="str">
        <x:v>0.000</x:v>
      </x:c>
      <x:c r="T29" s="48" t="str">
        <x:v>GLOBAL_TRANSATLANTIC:N=7,p=1.000; NORTH_AMERICA:N=11,p=1.000</x:v>
      </x:c>
      <x:c r="U29" s="48" t="str">
        <x:v>Maximum-minus-minimum prevalence among adequately observed groups is no more than 0.15.</x:v>
      </x:c>
      <x:c r="V29" s="48" t="str">
        <x:v>At least 5 observable manager families in at least 2 driver groups</x:v>
      </x:c>
      <x:c r="W29" s="48" t="str">
        <x:v>&gt;=0.35 separates; &lt;=0.15 does not separate; intermediate is inconclusive/confounded; direct driver-definition tests are CIRCULAR</x:v>
      </x:c>
      <x:c r="X29" s="48" t="str">
        <x:v>MANAGER_SELF_DESCRIPTION; NOT BEHAVIOURAL FREQUENCY</x:v>
      </x:c>
    </x:row>
    <x:row r="30">
      <x:c r="A30" s="48" t="str">
        <x:v>B_GOVERNANCE_SEGMENTATION</x:v>
      </x:c>
      <x:c r="B30" s="48" t="str">
        <x:v>Tier B v1.1 - N=29 rerun</x:v>
      </x:c>
      <x:c r="C30" s="48" t="str">
        <x:v>2026-07-16</x:v>
      </x:c>
      <x:c r="D30" s="48" t="str">
        <x:v>G02</x:v>
      </x:c>
      <x:c r="E30" s="48" t="str">
        <x:v>GATING_DECISION</x:v>
      </x:c>
      <x:c r="F30" s="48" t="str">
        <x:v>Explicit permission-to-spend or resource gate</x:v>
      </x:c>
      <x:c r="G30" s="48" t="str">
        <x:v>geography</x:v>
      </x:c>
      <x:c r="H30" s="48" t="str">
        <x:v>NORTH_AMERICA</x:v>
      </x:c>
      <x:c r="I30" s="48" t="str">
        <x:v>13</x:v>
      </x:c>
      <x:c r="J30" s="48" t="str">
        <x:v>11</x:v>
      </x:c>
      <x:c r="K30" s="48" t="str">
        <x:v>5</x:v>
      </x:c>
      <x:c r="L30" s="48" t="str">
        <x:v>0</x:v>
      </x:c>
      <x:c r="M30" s="48" t="str">
        <x:v>11</x:v>
      </x:c>
      <x:c r="N30" s="48" t="str">
        <x:v>2</x:v>
      </x:c>
      <x:c r="O30" s="48" t="str">
        <x:v>0</x:v>
      </x:c>
      <x:c r="P30" s="48" t="str">
        <x:v>0</x:v>
      </x:c>
      <x:c r="Q30" s="48" t="str">
        <x:v>1.000</x:v>
      </x:c>
      <x:c r="R30" s="48" t="str">
        <x:v>DRIVER DOES NOT SEPARATE</x:v>
      </x:c>
      <x:c r="S30" s="48" t="str">
        <x:v>0.000</x:v>
      </x:c>
      <x:c r="T30" s="48" t="str">
        <x:v>GLOBAL_TRANSATLANTIC:N=7,p=1.000; NORTH_AMERICA:N=11,p=1.000</x:v>
      </x:c>
      <x:c r="U30" s="48" t="str">
        <x:v>Maximum-minus-minimum prevalence among adequately observed groups is no more than 0.15.</x:v>
      </x:c>
      <x:c r="V30" s="48" t="str">
        <x:v>At least 5 observable manager families in at least 2 driver groups</x:v>
      </x:c>
      <x:c r="W30" s="48" t="str">
        <x:v>&gt;=0.35 separates; &lt;=0.15 does not separate; intermediate is inconclusive/confounded; direct driver-definition tests are CIRCULAR</x:v>
      </x:c>
      <x:c r="X30" s="48" t="str">
        <x:v>MANAGER_SELF_DESCRIPTION; NOT BEHAVIOURAL FREQUENCY</x:v>
      </x:c>
    </x:row>
    <x:row r="31">
      <x:c r="A31" s="48" t="str">
        <x:v>B_GOVERNANCE_SEGMENTATION</x:v>
      </x:c>
      <x:c r="B31" s="48" t="str">
        <x:v>Tier B v1.1 - N=29 rerun</x:v>
      </x:c>
      <x:c r="C31" s="48" t="str">
        <x:v>2026-07-16</x:v>
      </x:c>
      <x:c r="D31" s="48" t="str">
        <x:v>G02</x:v>
      </x:c>
      <x:c r="E31" s="48" t="str">
        <x:v>GATING_DECISION</x:v>
      </x:c>
      <x:c r="F31" s="48" t="str">
        <x:v>Explicit permission-to-spend or resource gate</x:v>
      </x:c>
      <x:c r="G31" s="48" t="str">
        <x:v>source_vintage_bin</x:v>
      </x:c>
      <x:c r="H31" s="48" t="str">
        <x:v>2018_2020</x:v>
      </x:c>
      <x:c r="I31" s="48" t="str">
        <x:v>6</x:v>
      </x:c>
      <x:c r="J31" s="48" t="str">
        <x:v>5</x:v>
      </x:c>
      <x:c r="K31" s="48" t="str">
        <x:v>1</x:v>
      </x:c>
      <x:c r="L31" s="48" t="str">
        <x:v>0</x:v>
      </x:c>
      <x:c r="M31" s="48" t="str">
        <x:v>5</x:v>
      </x:c>
      <x:c r="N31" s="48" t="str">
        <x:v>1</x:v>
      </x:c>
      <x:c r="O31" s="48" t="str">
        <x:v>0</x:v>
      </x:c>
      <x:c r="P31" s="48" t="str">
        <x:v>0</x:v>
      </x:c>
      <x:c r="Q31" s="48" t="str">
        <x:v>1.000</x:v>
      </x:c>
      <x:c r="R31" s="48" t="str">
        <x:v>DRIVER DOES NOT SEPARATE</x:v>
      </x:c>
      <x:c r="S31" s="48" t="str">
        <x:v>0.000</x:v>
      </x:c>
      <x:c r="T31" s="48" t="str">
        <x:v>2018_2020:N=5,p=1.000; 2021_2023:N=9,p=1.000; 2024_2026:N=10,p=1.000</x:v>
      </x:c>
      <x:c r="U31" s="48" t="str">
        <x:v>Maximum-minus-minimum prevalence among adequately observed groups is no more than 0.15.</x:v>
      </x:c>
      <x:c r="V31" s="48" t="str">
        <x:v>At least 5 observable manager families in at least 2 driver groups</x:v>
      </x:c>
      <x:c r="W31" s="48" t="str">
        <x:v>&gt;=0.35 separates; &lt;=0.15 does not separate; intermediate is inconclusive/confounded; direct driver-definition tests are CIRCULAR</x:v>
      </x:c>
      <x:c r="X31" s="48" t="str">
        <x:v>MANAGER_SELF_DESCRIPTION; NOT BEHAVIOURAL FREQUENCY</x:v>
      </x:c>
    </x:row>
    <x:row r="32">
      <x:c r="A32" s="48" t="str">
        <x:v>B_GOVERNANCE_SEGMENTATION</x:v>
      </x:c>
      <x:c r="B32" s="48" t="str">
        <x:v>Tier B v1.1 - N=29 rerun</x:v>
      </x:c>
      <x:c r="C32" s="48" t="str">
        <x:v>2026-07-16</x:v>
      </x:c>
      <x:c r="D32" s="48" t="str">
        <x:v>G02</x:v>
      </x:c>
      <x:c r="E32" s="48" t="str">
        <x:v>GATING_DECISION</x:v>
      </x:c>
      <x:c r="F32" s="48" t="str">
        <x:v>Explicit permission-to-spend or resource gate</x:v>
      </x:c>
      <x:c r="G32" s="48" t="str">
        <x:v>source_vintage_bin</x:v>
      </x:c>
      <x:c r="H32" s="48" t="str">
        <x:v>2021_2023</x:v>
      </x:c>
      <x:c r="I32" s="48" t="str">
        <x:v>11</x:v>
      </x:c>
      <x:c r="J32" s="48" t="str">
        <x:v>9</x:v>
      </x:c>
      <x:c r="K32" s="48" t="str">
        <x:v>2</x:v>
      </x:c>
      <x:c r="L32" s="48" t="str">
        <x:v>0</x:v>
      </x:c>
      <x:c r="M32" s="48" t="str">
        <x:v>9</x:v>
      </x:c>
      <x:c r="N32" s="48" t="str">
        <x:v>2</x:v>
      </x:c>
      <x:c r="O32" s="48" t="str">
        <x:v>0</x:v>
      </x:c>
      <x:c r="P32" s="48" t="str">
        <x:v>0</x:v>
      </x:c>
      <x:c r="Q32" s="48" t="str">
        <x:v>1.000</x:v>
      </x:c>
      <x:c r="R32" s="48" t="str">
        <x:v>DRIVER DOES NOT SEPARATE</x:v>
      </x:c>
      <x:c r="S32" s="48" t="str">
        <x:v>0.000</x:v>
      </x:c>
      <x:c r="T32" s="48" t="str">
        <x:v>2018_2020:N=5,p=1.000; 2021_2023:N=9,p=1.000; 2024_2026:N=10,p=1.000</x:v>
      </x:c>
      <x:c r="U32" s="48" t="str">
        <x:v>Maximum-minus-minimum prevalence among adequately observed groups is no more than 0.15.</x:v>
      </x:c>
      <x:c r="V32" s="48" t="str">
        <x:v>At least 5 observable manager families in at least 2 driver groups</x:v>
      </x:c>
      <x:c r="W32" s="48" t="str">
        <x:v>&gt;=0.35 separates; &lt;=0.15 does not separate; intermediate is inconclusive/confounded; direct driver-definition tests are CIRCULAR</x:v>
      </x:c>
      <x:c r="X32" s="48" t="str">
        <x:v>MANAGER_SELF_DESCRIPTION; NOT BEHAVIOURAL FREQUENCY</x:v>
      </x:c>
    </x:row>
    <x:row r="33">
      <x:c r="A33" s="48" t="str">
        <x:v>B_GOVERNANCE_SEGMENTATION</x:v>
      </x:c>
      <x:c r="B33" s="48" t="str">
        <x:v>Tier B v1.1 - N=29 rerun</x:v>
      </x:c>
      <x:c r="C33" s="48" t="str">
        <x:v>2026-07-16</x:v>
      </x:c>
      <x:c r="D33" s="48" t="str">
        <x:v>G02</x:v>
      </x:c>
      <x:c r="E33" s="48" t="str">
        <x:v>GATING_DECISION</x:v>
      </x:c>
      <x:c r="F33" s="48" t="str">
        <x:v>Explicit permission-to-spend or resource gate</x:v>
      </x:c>
      <x:c r="G33" s="48" t="str">
        <x:v>source_vintage_bin</x:v>
      </x:c>
      <x:c r="H33" s="48" t="str">
        <x:v>2024_2026</x:v>
      </x:c>
      <x:c r="I33" s="48" t="str">
        <x:v>12</x:v>
      </x:c>
      <x:c r="J33" s="48" t="str">
        <x:v>10</x:v>
      </x:c>
      <x:c r="K33" s="48" t="str">
        <x:v>3</x:v>
      </x:c>
      <x:c r="L33" s="48" t="str">
        <x:v>0</x:v>
      </x:c>
      <x:c r="M33" s="48" t="str">
        <x:v>10</x:v>
      </x:c>
      <x:c r="N33" s="48" t="str">
        <x:v>2</x:v>
      </x:c>
      <x:c r="O33" s="48" t="str">
        <x:v>0</x:v>
      </x:c>
      <x:c r="P33" s="48" t="str">
        <x:v>0</x:v>
      </x:c>
      <x:c r="Q33" s="48" t="str">
        <x:v>1.000</x:v>
      </x:c>
      <x:c r="R33" s="48" t="str">
        <x:v>DRIVER DOES NOT SEPARATE</x:v>
      </x:c>
      <x:c r="S33" s="48" t="str">
        <x:v>0.000</x:v>
      </x:c>
      <x:c r="T33" s="48" t="str">
        <x:v>2018_2020:N=5,p=1.000; 2021_2023:N=9,p=1.000; 2024_2026:N=10,p=1.000</x:v>
      </x:c>
      <x:c r="U33" s="48" t="str">
        <x:v>Maximum-minus-minimum prevalence among adequately observed groups is no more than 0.15.</x:v>
      </x:c>
      <x:c r="V33" s="48" t="str">
        <x:v>At least 5 observable manager families in at least 2 driver groups</x:v>
      </x:c>
      <x:c r="W33" s="48" t="str">
        <x:v>&gt;=0.35 separates; &lt;=0.15 does not separate; intermediate is inconclusive/confounded; direct driver-definition tests are CIRCULAR</x:v>
      </x:c>
      <x:c r="X33" s="48" t="str">
        <x:v>MANAGER_SELF_DESCRIPTION; NOT BEHAVIOURAL FREQUENCY</x:v>
      </x:c>
    </x:row>
    <x:row r="34">
      <x:c r="A34" s="48" t="str">
        <x:v>B_GOVERNANCE_SEGMENTATION</x:v>
      </x:c>
      <x:c r="B34" s="48" t="str">
        <x:v>Tier B v1.1 - N=29 rerun</x:v>
      </x:c>
      <x:c r="C34" s="48" t="str">
        <x:v>2026-07-16</x:v>
      </x:c>
      <x:c r="D34" s="48" t="str">
        <x:v>G02</x:v>
      </x:c>
      <x:c r="E34" s="48" t="str">
        <x:v>GATING_DECISION</x:v>
      </x:c>
      <x:c r="F34" s="48" t="str">
        <x:v>Explicit permission-to-spend or resource gate</x:v>
      </x:c>
      <x:c r="G34" s="48" t="str">
        <x:v>governance_architecture</x:v>
      </x:c>
      <x:c r="H34" s="48" t="str">
        <x:v>IC_FINAL_OR_DE_FACTO</x:v>
      </x:c>
      <x:c r="I34" s="48" t="str">
        <x:v>26</x:v>
      </x:c>
      <x:c r="J34" s="48" t="str">
        <x:v>21</x:v>
      </x:c>
      <x:c r="K34" s="48" t="str">
        <x:v>6</x:v>
      </x:c>
      <x:c r="L34" s="48" t="str">
        <x:v>0</x:v>
      </x:c>
      <x:c r="M34" s="48" t="str">
        <x:v>21</x:v>
      </x:c>
      <x:c r="N34" s="48" t="str">
        <x:v>5</x:v>
      </x:c>
      <x:c r="O34" s="48" t="str">
        <x:v>0</x:v>
      </x:c>
      <x:c r="P34" s="48" t="str">
        <x:v>0</x:v>
      </x:c>
      <x:c r="Q34" s="48" t="str">
        <x:v>1.000</x:v>
      </x:c>
      <x:c r="R34" s="48" t="str">
        <x:v>N TOO SMALL</x:v>
      </x:c>
      <x:c r="S34" s="48" t="str"/>
      <x:c r="T34" s="48" t="str">
        <x:v>IC_FINAL_OR_DE_FACTO:N=21,p=1.000</x:v>
      </x:c>
      <x:c r="U34" s="48" t="str">
        <x:v>Fewer than two driver groups have at least 5 observable manager families.</x:v>
      </x:c>
      <x:c r="V34" s="48" t="str">
        <x:v>At least 5 observable manager families in at least 2 driver groups</x:v>
      </x:c>
      <x:c r="W34" s="48" t="str">
        <x:v>&gt;=0.35 separates; &lt;=0.15 does not separate; intermediate is inconclusive/confounded; direct driver-definition tests are CIRCULAR</x:v>
      </x:c>
      <x:c r="X34" s="48" t="str">
        <x:v>MANAGER_SELF_DESCRIPTION; NOT BEHAVIOURAL FREQUENCY</x:v>
      </x:c>
    </x:row>
    <x:row r="35">
      <x:c r="A35" s="48" t="str">
        <x:v>B_GOVERNANCE_SEGMENTATION</x:v>
      </x:c>
      <x:c r="B35" s="48" t="str">
        <x:v>Tier B v1.1 - N=29 rerun</x:v>
      </x:c>
      <x:c r="C35" s="48" t="str">
        <x:v>2026-07-16</x:v>
      </x:c>
      <x:c r="D35" s="48" t="str">
        <x:v>G02</x:v>
      </x:c>
      <x:c r="E35" s="48" t="str">
        <x:v>GATING_DECISION</x:v>
      </x:c>
      <x:c r="F35" s="48" t="str">
        <x:v>Explicit permission-to-spend or resource gate</x:v>
      </x:c>
      <x:c r="G35" s="48" t="str">
        <x:v>governance_architecture</x:v>
      </x:c>
      <x:c r="H35" s="48" t="str">
        <x:v>IC_RECOMMENDS_SEPARATE_FINAL_AUTHORITY</x:v>
      </x:c>
      <x:c r="I35" s="48" t="str">
        <x:v>3</x:v>
      </x:c>
      <x:c r="J35" s="48" t="str">
        <x:v>3</x:v>
      </x:c>
      <x:c r="K35" s="48" t="str">
        <x:v>0</x:v>
      </x:c>
      <x:c r="L35" s="48" t="str">
        <x:v>0</x:v>
      </x:c>
      <x:c r="M35" s="48" t="str">
        <x:v>3</x:v>
      </x:c>
      <x:c r="N35" s="48" t="str">
        <x:v>0</x:v>
      </x:c>
      <x:c r="O35" s="48" t="str">
        <x:v>0</x:v>
      </x:c>
      <x:c r="P35" s="48" t="str">
        <x:v>0</x:v>
      </x:c>
      <x:c r="Q35" s="48" t="str">
        <x:v>1.000</x:v>
      </x:c>
      <x:c r="R35" s="48" t="str">
        <x:v>N TOO SMALL</x:v>
      </x:c>
      <x:c r="S35" s="48" t="str"/>
      <x:c r="T35" s="48" t="str">
        <x:v>IC_FINAL_OR_DE_FACTO:N=21,p=1.000</x:v>
      </x:c>
      <x:c r="U35" s="48" t="str">
        <x:v>Fewer than two driver groups have at least 5 observable manager families.</x:v>
      </x:c>
      <x:c r="V35" s="48" t="str">
        <x:v>At least 5 observable manager families in at least 2 driver groups</x:v>
      </x:c>
      <x:c r="W35" s="48" t="str">
        <x:v>&gt;=0.35 separates; &lt;=0.15 does not separate; intermediate is inconclusive/confounded; direct driver-definition tests are CIRCULAR</x:v>
      </x:c>
      <x:c r="X35" s="48" t="str">
        <x:v>MANAGER_SELF_DESCRIPTION; NOT BEHAVIOURAL FREQUENCY</x:v>
      </x:c>
    </x:row>
    <x:row r="36">
      <x:c r="A36" s="48" t="str">
        <x:v>B_GOVERNANCE_SEGMENTATION</x:v>
      </x:c>
      <x:c r="B36" s="48" t="str">
        <x:v>Tier B v1.1 - N=29 rerun</x:v>
      </x:c>
      <x:c r="C36" s="48" t="str">
        <x:v>2026-07-16</x:v>
      </x:c>
      <x:c r="D36" s="48" t="str">
        <x:v>G02</x:v>
      </x:c>
      <x:c r="E36" s="48" t="str">
        <x:v>GATING_DECISION</x:v>
      </x:c>
      <x:c r="F36" s="48" t="str">
        <x:v>Explicit permission-to-spend or resource gate</x:v>
      </x:c>
      <x:c r="G36" s="48" t="str">
        <x:v>dedicated_operating_team</x:v>
      </x:c>
      <x:c r="H36" s="48" t="str">
        <x:v>NO_OR_LIMITED</x:v>
      </x:c>
      <x:c r="I36" s="48" t="str">
        <x:v>6</x:v>
      </x:c>
      <x:c r="J36" s="48" t="str">
        <x:v>4</x:v>
      </x:c>
      <x:c r="K36" s="48" t="str">
        <x:v>1</x:v>
      </x:c>
      <x:c r="L36" s="48" t="str">
        <x:v>0</x:v>
      </x:c>
      <x:c r="M36" s="48" t="str">
        <x:v>4</x:v>
      </x:c>
      <x:c r="N36" s="48" t="str">
        <x:v>2</x:v>
      </x:c>
      <x:c r="O36" s="48" t="str">
        <x:v>0</x:v>
      </x:c>
      <x:c r="P36" s="48" t="str">
        <x:v>0</x:v>
      </x:c>
      <x:c r="Q36" s="48" t="str">
        <x:v>1.000</x:v>
      </x:c>
      <x:c r="R36" s="48" t="str">
        <x:v>N TOO SMALL</x:v>
      </x:c>
      <x:c r="S36" s="48" t="str"/>
      <x:c r="T36" s="48" t="str">
        <x:v>YES_DEDICATED:N=20,p=1.000</x:v>
      </x:c>
      <x:c r="U36" s="48" t="str">
        <x:v>Fewer than two driver groups have at least 5 observable manager families.</x:v>
      </x:c>
      <x:c r="V36" s="48" t="str">
        <x:v>At least 5 observable manager families in at least 2 driver groups</x:v>
      </x:c>
      <x:c r="W36" s="48" t="str">
        <x:v>&gt;=0.35 separates; &lt;=0.15 does not separate; intermediate is inconclusive/confounded; direct driver-definition tests are CIRCULAR</x:v>
      </x:c>
      <x:c r="X36" s="48" t="str">
        <x:v>MANAGER_SELF_DESCRIPTION; NOT BEHAVIOURAL FREQUENCY</x:v>
      </x:c>
    </x:row>
    <x:row r="37">
      <x:c r="A37" s="48" t="str">
        <x:v>B_GOVERNANCE_SEGMENTATION</x:v>
      </x:c>
      <x:c r="B37" s="48" t="str">
        <x:v>Tier B v1.1 - N=29 rerun</x:v>
      </x:c>
      <x:c r="C37" s="48" t="str">
        <x:v>2026-07-16</x:v>
      </x:c>
      <x:c r="D37" s="48" t="str">
        <x:v>G02</x:v>
      </x:c>
      <x:c r="E37" s="48" t="str">
        <x:v>GATING_DECISION</x:v>
      </x:c>
      <x:c r="F37" s="48" t="str">
        <x:v>Explicit permission-to-spend or resource gate</x:v>
      </x:c>
      <x:c r="G37" s="48" t="str">
        <x:v>dedicated_operating_team</x:v>
      </x:c>
      <x:c r="H37" s="48" t="str">
        <x:v>YES_DEDICATED</x:v>
      </x:c>
      <x:c r="I37" s="48" t="str">
        <x:v>23</x:v>
      </x:c>
      <x:c r="J37" s="48" t="str">
        <x:v>20</x:v>
      </x:c>
      <x:c r="K37" s="48" t="str">
        <x:v>5</x:v>
      </x:c>
      <x:c r="L37" s="48" t="str">
        <x:v>0</x:v>
      </x:c>
      <x:c r="M37" s="48" t="str">
        <x:v>20</x:v>
      </x:c>
      <x:c r="N37" s="48" t="str">
        <x:v>3</x:v>
      </x:c>
      <x:c r="O37" s="48" t="str">
        <x:v>0</x:v>
      </x:c>
      <x:c r="P37" s="48" t="str">
        <x:v>0</x:v>
      </x:c>
      <x:c r="Q37" s="48" t="str">
        <x:v>1.000</x:v>
      </x:c>
      <x:c r="R37" s="48" t="str">
        <x:v>N TOO SMALL</x:v>
      </x:c>
      <x:c r="S37" s="48" t="str"/>
      <x:c r="T37" s="48" t="str">
        <x:v>YES_DEDICATED:N=20,p=1.000</x:v>
      </x:c>
      <x:c r="U37" s="48" t="str">
        <x:v>Fewer than two driver groups have at least 5 observable manager families.</x:v>
      </x:c>
      <x:c r="V37" s="48" t="str">
        <x:v>At least 5 observable manager families in at least 2 driver groups</x:v>
      </x:c>
      <x:c r="W37" s="48" t="str">
        <x:v>&gt;=0.35 separates; &lt;=0.15 does not separate; intermediate is inconclusive/confounded; direct driver-definition tests are CIRCULAR</x:v>
      </x:c>
      <x:c r="X37" s="48" t="str">
        <x:v>MANAGER_SELF_DESCRIPTION; NOT BEHAVIOURAL FREQUENCY</x:v>
      </x:c>
    </x:row>
    <x:row r="38">
      <x:c r="A38" s="48" t="str">
        <x:v>B_GOVERNANCE_SEGMENTATION</x:v>
      </x:c>
      <x:c r="B38" s="48" t="str">
        <x:v>Tier B v1.1 - N=29 rerun</x:v>
      </x:c>
      <x:c r="C38" s="48" t="str">
        <x:v>2026-07-16</x:v>
      </x:c>
      <x:c r="D38" s="48" t="str">
        <x:v>G03</x:v>
      </x:c>
      <x:c r="E38" s="48" t="str">
        <x:v>GATING_DECISION</x:v>
      </x:c>
      <x:c r="F38" s="48" t="str">
        <x:v>Formal IOI or NBIO authority</x:v>
      </x:c>
      <x:c r="G38" s="48" t="str">
        <x:v>fund_size_archetype</x:v>
      </x:c>
      <x:c r="H38" s="48" t="str">
        <x:v>LARGE_2_TO_LT_5B</x:v>
      </x:c>
      <x:c r="I38" s="48" t="str">
        <x:v>9</x:v>
      </x:c>
      <x:c r="J38" s="48" t="str">
        <x:v>4</x:v>
      </x:c>
      <x:c r="K38" s="48" t="str">
        <x:v>0</x:v>
      </x:c>
      <x:c r="L38" s="48" t="str">
        <x:v>0</x:v>
      </x:c>
      <x:c r="M38" s="48" t="str">
        <x:v>4</x:v>
      </x:c>
      <x:c r="N38" s="48" t="str">
        <x:v>5</x:v>
      </x:c>
      <x:c r="O38" s="48" t="str">
        <x:v>0</x:v>
      </x:c>
      <x:c r="P38" s="48" t="str">
        <x:v>0</x:v>
      </x:c>
      <x:c r="Q38" s="48" t="str">
        <x:v>1.000</x:v>
      </x:c>
      <x:c r="R38" s="48" t="str">
        <x:v>DRIVER DOES NOT SEPARATE</x:v>
      </x:c>
      <x:c r="S38" s="48" t="str">
        <x:v>0.000</x:v>
      </x:c>
      <x:c r="T38" s="48" t="str">
        <x:v>LOWER_MID_LT_2B:N=5,p=1.000; MEGA_GE_5B:N=5,p=1.000</x:v>
      </x:c>
      <x:c r="U38" s="48" t="str">
        <x:v>Maximum-minus-minimum prevalence among adequately observed groups is no more than 0.15.</x:v>
      </x:c>
      <x:c r="V38" s="48" t="str">
        <x:v>At least 5 observable manager families in at least 2 driver groups</x:v>
      </x:c>
      <x:c r="W38" s="48" t="str">
        <x:v>&gt;=0.35 separates; &lt;=0.15 does not separate; intermediate is inconclusive/confounded; direct driver-definition tests are CIRCULAR</x:v>
      </x:c>
      <x:c r="X38" s="48" t="str">
        <x:v>MANAGER_SELF_DESCRIPTION; NOT BEHAVIOURAL FREQUENCY</x:v>
      </x:c>
    </x:row>
    <x:row r="39">
      <x:c r="A39" s="48" t="str">
        <x:v>B_GOVERNANCE_SEGMENTATION</x:v>
      </x:c>
      <x:c r="B39" s="48" t="str">
        <x:v>Tier B v1.1 - N=29 rerun</x:v>
      </x:c>
      <x:c r="C39" s="48" t="str">
        <x:v>2026-07-16</x:v>
      </x:c>
      <x:c r="D39" s="48" t="str">
        <x:v>G03</x:v>
      </x:c>
      <x:c r="E39" s="48" t="str">
        <x:v>GATING_DECISION</x:v>
      </x:c>
      <x:c r="F39" s="48" t="str">
        <x:v>Formal IOI or NBIO authority</x:v>
      </x:c>
      <x:c r="G39" s="48" t="str">
        <x:v>fund_size_archetype</x:v>
      </x:c>
      <x:c r="H39" s="48" t="str">
        <x:v>LOWER_MID_LT_2B</x:v>
      </x:c>
      <x:c r="I39" s="48" t="str">
        <x:v>8</x:v>
      </x:c>
      <x:c r="J39" s="48" t="str">
        <x:v>5</x:v>
      </x:c>
      <x:c r="K39" s="48" t="str">
        <x:v>0</x:v>
      </x:c>
      <x:c r="L39" s="48" t="str">
        <x:v>0</x:v>
      </x:c>
      <x:c r="M39" s="48" t="str">
        <x:v>5</x:v>
      </x:c>
      <x:c r="N39" s="48" t="str">
        <x:v>3</x:v>
      </x:c>
      <x:c r="O39" s="48" t="str">
        <x:v>0</x:v>
      </x:c>
      <x:c r="P39" s="48" t="str">
        <x:v>0</x:v>
      </x:c>
      <x:c r="Q39" s="48" t="str">
        <x:v>1.000</x:v>
      </x:c>
      <x:c r="R39" s="48" t="str">
        <x:v>DRIVER DOES NOT SEPARATE</x:v>
      </x:c>
      <x:c r="S39" s="48" t="str">
        <x:v>0.000</x:v>
      </x:c>
      <x:c r="T39" s="48" t="str">
        <x:v>LOWER_MID_LT_2B:N=5,p=1.000; MEGA_GE_5B:N=5,p=1.000</x:v>
      </x:c>
      <x:c r="U39" s="48" t="str">
        <x:v>Maximum-minus-minimum prevalence among adequately observed groups is no more than 0.15.</x:v>
      </x:c>
      <x:c r="V39" s="48" t="str">
        <x:v>At least 5 observable manager families in at least 2 driver groups</x:v>
      </x:c>
      <x:c r="W39" s="48" t="str">
        <x:v>&gt;=0.35 separates; &lt;=0.15 does not separate; intermediate is inconclusive/confounded; direct driver-definition tests are CIRCULAR</x:v>
      </x:c>
      <x:c r="X39" s="48" t="str">
        <x:v>MANAGER_SELF_DESCRIPTION; NOT BEHAVIOURAL FREQUENCY</x:v>
      </x:c>
    </x:row>
    <x:row r="40">
      <x:c r="A40" s="48" t="str">
        <x:v>B_GOVERNANCE_SEGMENTATION</x:v>
      </x:c>
      <x:c r="B40" s="48" t="str">
        <x:v>Tier B v1.1 - N=29 rerun</x:v>
      </x:c>
      <x:c r="C40" s="48" t="str">
        <x:v>2026-07-16</x:v>
      </x:c>
      <x:c r="D40" s="48" t="str">
        <x:v>G03</x:v>
      </x:c>
      <x:c r="E40" s="48" t="str">
        <x:v>GATING_DECISION</x:v>
      </x:c>
      <x:c r="F40" s="48" t="str">
        <x:v>Formal IOI or NBIO authority</x:v>
      </x:c>
      <x:c r="G40" s="48" t="str">
        <x:v>fund_size_archetype</x:v>
      </x:c>
      <x:c r="H40" s="48" t="str">
        <x:v>MEGA_GE_5B</x:v>
      </x:c>
      <x:c r="I40" s="48" t="str">
        <x:v>11</x:v>
      </x:c>
      <x:c r="J40" s="48" t="str">
        <x:v>5</x:v>
      </x:c>
      <x:c r="K40" s="48" t="str">
        <x:v>2</x:v>
      </x:c>
      <x:c r="L40" s="48" t="str">
        <x:v>0</x:v>
      </x:c>
      <x:c r="M40" s="48" t="str">
        <x:v>5</x:v>
      </x:c>
      <x:c r="N40" s="48" t="str">
        <x:v>6</x:v>
      </x:c>
      <x:c r="O40" s="48" t="str">
        <x:v>0</x:v>
      </x:c>
      <x:c r="P40" s="48" t="str">
        <x:v>0</x:v>
      </x:c>
      <x:c r="Q40" s="48" t="str">
        <x:v>1.000</x:v>
      </x:c>
      <x:c r="R40" s="48" t="str">
        <x:v>DRIVER DOES NOT SEPARATE</x:v>
      </x:c>
      <x:c r="S40" s="48" t="str">
        <x:v>0.000</x:v>
      </x:c>
      <x:c r="T40" s="48" t="str">
        <x:v>LOWER_MID_LT_2B:N=5,p=1.000; MEGA_GE_5B:N=5,p=1.000</x:v>
      </x:c>
      <x:c r="U40" s="48" t="str">
        <x:v>Maximum-minus-minimum prevalence among adequately observed groups is no more than 0.15.</x:v>
      </x:c>
      <x:c r="V40" s="48" t="str">
        <x:v>At least 5 observable manager families in at least 2 driver groups</x:v>
      </x:c>
      <x:c r="W40" s="48" t="str">
        <x:v>&gt;=0.35 separates; &lt;=0.15 does not separate; intermediate is inconclusive/confounded; direct driver-definition tests are CIRCULAR</x:v>
      </x:c>
      <x:c r="X40" s="48" t="str">
        <x:v>MANAGER_SELF_DESCRIPTION; NOT BEHAVIOURAL FREQUENCY</x:v>
      </x:c>
    </x:row>
    <x:row r="41">
      <x:c r="A41" s="48" t="str">
        <x:v>B_GOVERNANCE_SEGMENTATION</x:v>
      </x:c>
      <x:c r="B41" s="48" t="str">
        <x:v>Tier B v1.1 - N=29 rerun</x:v>
      </x:c>
      <x:c r="C41" s="48" t="str">
        <x:v>2026-07-16</x:v>
      </x:c>
      <x:c r="D41" s="48" t="str">
        <x:v>G03</x:v>
      </x:c>
      <x:c r="E41" s="48" t="str">
        <x:v>GATING_DECISION</x:v>
      </x:c>
      <x:c r="F41" s="48" t="str">
        <x:v>Formal IOI or NBIO authority</x:v>
      </x:c>
      <x:c r="G41" s="48" t="str">
        <x:v>fund_size_archetype</x:v>
      </x:c>
      <x:c r="H41" s="48" t="str">
        <x:v>NOT_APPLICABLE</x:v>
      </x:c>
      <x:c r="I41" s="48" t="str">
        <x:v>1</x:v>
      </x:c>
      <x:c r="J41" s="48" t="str">
        <x:v>1</x:v>
      </x:c>
      <x:c r="K41" s="48" t="str">
        <x:v>0</x:v>
      </x:c>
      <x:c r="L41" s="48" t="str">
        <x:v>0</x:v>
      </x:c>
      <x:c r="M41" s="48" t="str">
        <x:v>1</x:v>
      </x:c>
      <x:c r="N41" s="48" t="str">
        <x:v>0</x:v>
      </x:c>
      <x:c r="O41" s="48" t="str">
        <x:v>0</x:v>
      </x:c>
      <x:c r="P41" s="48" t="str">
        <x:v>0</x:v>
      </x:c>
      <x:c r="Q41" s="48" t="str">
        <x:v>1.000</x:v>
      </x:c>
      <x:c r="R41" s="48" t="str">
        <x:v>DRIVER DOES NOT SEPARATE</x:v>
      </x:c>
      <x:c r="S41" s="48" t="str">
        <x:v>0.000</x:v>
      </x:c>
      <x:c r="T41" s="48" t="str">
        <x:v>LOWER_MID_LT_2B:N=5,p=1.000; MEGA_GE_5B:N=5,p=1.000</x:v>
      </x:c>
      <x:c r="U41" s="48" t="str">
        <x:v>Maximum-minus-minimum prevalence among adequately observed groups is no more than 0.15.</x:v>
      </x:c>
      <x:c r="V41" s="48" t="str">
        <x:v>At least 5 observable manager families in at least 2 driver groups</x:v>
      </x:c>
      <x:c r="W41" s="48" t="str">
        <x:v>&gt;=0.35 separates; &lt;=0.15 does not separate; intermediate is inconclusive/confounded; direct driver-definition tests are CIRCULAR</x:v>
      </x:c>
      <x:c r="X41" s="48" t="str">
        <x:v>MANAGER_SELF_DESCRIPTION; NOT BEHAVIOURAL FREQUENCY</x:v>
      </x:c>
    </x:row>
    <x:row r="42">
      <x:c r="A42" s="48" t="str">
        <x:v>B_GOVERNANCE_SEGMENTATION</x:v>
      </x:c>
      <x:c r="B42" s="48" t="str">
        <x:v>Tier B v1.1 - N=29 rerun</x:v>
      </x:c>
      <x:c r="C42" s="48" t="str">
        <x:v>2026-07-16</x:v>
      </x:c>
      <x:c r="D42" s="48" t="str">
        <x:v>G03</x:v>
      </x:c>
      <x:c r="E42" s="48" t="str">
        <x:v>GATING_DECISION</x:v>
      </x:c>
      <x:c r="F42" s="48" t="str">
        <x:v>Formal IOI or NBIO authority</x:v>
      </x:c>
      <x:c r="G42" s="48" t="str">
        <x:v>strategy</x:v>
      </x:c>
      <x:c r="H42" s="48" t="str">
        <x:v>CONTROL_BUYOUT</x:v>
      </x:c>
      <x:c r="I42" s="48" t="str">
        <x:v>22</x:v>
      </x:c>
      <x:c r="J42" s="48" t="str">
        <x:v>12</x:v>
      </x:c>
      <x:c r="K42" s="48" t="str">
        <x:v>2</x:v>
      </x:c>
      <x:c r="L42" s="48" t="str">
        <x:v>0</x:v>
      </x:c>
      <x:c r="M42" s="48" t="str">
        <x:v>12</x:v>
      </x:c>
      <x:c r="N42" s="48" t="str">
        <x:v>10</x:v>
      </x:c>
      <x:c r="O42" s="48" t="str">
        <x:v>0</x:v>
      </x:c>
      <x:c r="P42" s="48" t="str">
        <x:v>0</x:v>
      </x:c>
      <x:c r="Q42" s="48" t="str">
        <x:v>1.000</x:v>
      </x:c>
      <x:c r="R42" s="48" t="str">
        <x:v>N TOO SMALL</x:v>
      </x:c>
      <x:c r="S42" s="48" t="str"/>
      <x:c r="T42" s="48" t="str">
        <x:v>CONTROL_BUYOUT:N=12,p=1.000</x:v>
      </x:c>
      <x:c r="U42" s="48" t="str">
        <x:v>Fewer than two driver groups have at least 5 observable manager families.</x:v>
      </x:c>
      <x:c r="V42" s="48" t="str">
        <x:v>At least 5 observable manager families in at least 2 driver groups</x:v>
      </x:c>
      <x:c r="W42" s="48" t="str">
        <x:v>&gt;=0.35 separates; &lt;=0.15 does not separate; intermediate is inconclusive/confounded; direct driver-definition tests are CIRCULAR</x:v>
      </x:c>
      <x:c r="X42" s="48" t="str">
        <x:v>MANAGER_SELF_DESCRIPTION; NOT BEHAVIOURAL FREQUENCY</x:v>
      </x:c>
    </x:row>
    <x:row r="43">
      <x:c r="A43" s="48" t="str">
        <x:v>B_GOVERNANCE_SEGMENTATION</x:v>
      </x:c>
      <x:c r="B43" s="48" t="str">
        <x:v>Tier B v1.1 - N=29 rerun</x:v>
      </x:c>
      <x:c r="C43" s="48" t="str">
        <x:v>2026-07-16</x:v>
      </x:c>
      <x:c r="D43" s="48" t="str">
        <x:v>G03</x:v>
      </x:c>
      <x:c r="E43" s="48" t="str">
        <x:v>GATING_DECISION</x:v>
      </x:c>
      <x:c r="F43" s="48" t="str">
        <x:v>Formal IOI or NBIO authority</x:v>
      </x:c>
      <x:c r="G43" s="48" t="str">
        <x:v>strategy</x:v>
      </x:c>
      <x:c r="H43" s="48" t="str">
        <x:v>GROWTH_CONTROL_HYBRID</x:v>
      </x:c>
      <x:c r="I43" s="48" t="str">
        <x:v>6</x:v>
      </x:c>
      <x:c r="J43" s="48" t="str">
        <x:v>3</x:v>
      </x:c>
      <x:c r="K43" s="48" t="str">
        <x:v>0</x:v>
      </x:c>
      <x:c r="L43" s="48" t="str">
        <x:v>0</x:v>
      </x:c>
      <x:c r="M43" s="48" t="str">
        <x:v>3</x:v>
      </x:c>
      <x:c r="N43" s="48" t="str">
        <x:v>3</x:v>
      </x:c>
      <x:c r="O43" s="48" t="str">
        <x:v>0</x:v>
      </x:c>
      <x:c r="P43" s="48" t="str">
        <x:v>0</x:v>
      </x:c>
      <x:c r="Q43" s="48" t="str">
        <x:v>1.000</x:v>
      </x:c>
      <x:c r="R43" s="48" t="str">
        <x:v>N TOO SMALL</x:v>
      </x:c>
      <x:c r="S43" s="48" t="str"/>
      <x:c r="T43" s="48" t="str">
        <x:v>CONTROL_BUYOUT:N=12,p=1.000</x:v>
      </x:c>
      <x:c r="U43" s="48" t="str">
        <x:v>Fewer than two driver groups have at least 5 observable manager families.</x:v>
      </x:c>
      <x:c r="V43" s="48" t="str">
        <x:v>At least 5 observable manager families in at least 2 driver groups</x:v>
      </x:c>
      <x:c r="W43" s="48" t="str">
        <x:v>&gt;=0.35 separates; &lt;=0.15 does not separate; intermediate is inconclusive/confounded; direct driver-definition tests are CIRCULAR</x:v>
      </x:c>
      <x:c r="X43" s="48" t="str">
        <x:v>MANAGER_SELF_DESCRIPTION; NOT BEHAVIOURAL FREQUENCY</x:v>
      </x:c>
    </x:row>
    <x:row r="44">
      <x:c r="A44" s="48" t="str">
        <x:v>B_GOVERNANCE_SEGMENTATION</x:v>
      </x:c>
      <x:c r="B44" s="48" t="str">
        <x:v>Tier B v1.1 - N=29 rerun</x:v>
      </x:c>
      <x:c r="C44" s="48" t="str">
        <x:v>2026-07-16</x:v>
      </x:c>
      <x:c r="D44" s="48" t="str">
        <x:v>G03</x:v>
      </x:c>
      <x:c r="E44" s="48" t="str">
        <x:v>GATING_DECISION</x:v>
      </x:c>
      <x:c r="F44" s="48" t="str">
        <x:v>Formal IOI or NBIO authority</x:v>
      </x:c>
      <x:c r="G44" s="48" t="str">
        <x:v>strategy</x:v>
      </x:c>
      <x:c r="H44" s="48" t="str">
        <x:v>OPPORTUNISTIC_CONTROL</x:v>
      </x:c>
      <x:c r="I44" s="48" t="str">
        <x:v>1</x:v>
      </x:c>
      <x:c r="J44" s="48" t="str">
        <x:v>0</x:v>
      </x:c>
      <x:c r="K44" s="48" t="str">
        <x:v>0</x:v>
      </x:c>
      <x:c r="L44" s="48" t="str">
        <x:v>0</x:v>
      </x:c>
      <x:c r="M44" s="48" t="str">
        <x:v>0</x:v>
      </x:c>
      <x:c r="N44" s="48" t="str">
        <x:v>1</x:v>
      </x:c>
      <x:c r="O44" s="48" t="str">
        <x:v>0</x:v>
      </x:c>
      <x:c r="P44" s="48" t="str">
        <x:v>0</x:v>
      </x:c>
      <x:c r="Q44" s="48" t="str"/>
      <x:c r="R44" s="48" t="str">
        <x:v>N TOO SMALL</x:v>
      </x:c>
      <x:c r="S44" s="48" t="str"/>
      <x:c r="T44" s="48" t="str">
        <x:v>CONTROL_BUYOUT:N=12,p=1.000</x:v>
      </x:c>
      <x:c r="U44" s="48" t="str">
        <x:v>Fewer than two driver groups have at least 5 observable manager families.</x:v>
      </x:c>
      <x:c r="V44" s="48" t="str">
        <x:v>At least 5 observable manager families in at least 2 driver groups</x:v>
      </x:c>
      <x:c r="W44" s="48" t="str">
        <x:v>&gt;=0.35 separates; &lt;=0.15 does not separate; intermediate is inconclusive/confounded; direct driver-definition tests are CIRCULAR</x:v>
      </x:c>
      <x:c r="X44" s="48" t="str">
        <x:v>MANAGER_SELF_DESCRIPTION; NOT BEHAVIOURAL FREQUENCY</x:v>
      </x:c>
    </x:row>
    <x:row r="45">
      <x:c r="A45" s="48" t="str">
        <x:v>B_GOVERNANCE_SEGMENTATION</x:v>
      </x:c>
      <x:c r="B45" s="48" t="str">
        <x:v>Tier B v1.1 - N=29 rerun</x:v>
      </x:c>
      <x:c r="C45" s="48" t="str">
        <x:v>2026-07-16</x:v>
      </x:c>
      <x:c r="D45" s="48" t="str">
        <x:v>G03</x:v>
      </x:c>
      <x:c r="E45" s="48" t="str">
        <x:v>GATING_DECISION</x:v>
      </x:c>
      <x:c r="F45" s="48" t="str">
        <x:v>Formal IOI or NBIO authority</x:v>
      </x:c>
      <x:c r="G45" s="48" t="str">
        <x:v>geography</x:v>
      </x:c>
      <x:c r="H45" s="48" t="str">
        <x:v>ASIA_PACIFIC</x:v>
      </x:c>
      <x:c r="I45" s="48" t="str">
        <x:v>4</x:v>
      </x:c>
      <x:c r="J45" s="48" t="str">
        <x:v>3</x:v>
      </x:c>
      <x:c r="K45" s="48" t="str">
        <x:v>0</x:v>
      </x:c>
      <x:c r="L45" s="48" t="str">
        <x:v>0</x:v>
      </x:c>
      <x:c r="M45" s="48" t="str">
        <x:v>3</x:v>
      </x:c>
      <x:c r="N45" s="48" t="str">
        <x:v>1</x:v>
      </x:c>
      <x:c r="O45" s="48" t="str">
        <x:v>0</x:v>
      </x:c>
      <x:c r="P45" s="48" t="str">
        <x:v>0</x:v>
      </x:c>
      <x:c r="Q45" s="48" t="str">
        <x:v>1.000</x:v>
      </x:c>
      <x:c r="R45" s="48" t="str">
        <x:v>DRIVER DOES NOT SEPARATE</x:v>
      </x:c>
      <x:c r="S45" s="48" t="str">
        <x:v>0.000</x:v>
      </x:c>
      <x:c r="T45" s="48" t="str">
        <x:v>GLOBAL_TRANSATLANTIC:N=5,p=1.000; NORTH_AMERICA:N=5,p=1.000</x:v>
      </x:c>
      <x:c r="U45" s="48" t="str">
        <x:v>Maximum-minus-minimum prevalence among adequately observed groups is no more than 0.15.</x:v>
      </x:c>
      <x:c r="V45" s="48" t="str">
        <x:v>At least 5 observable manager families in at least 2 driver groups</x:v>
      </x:c>
      <x:c r="W45" s="48" t="str">
        <x:v>&gt;=0.35 separates; &lt;=0.15 does not separate; intermediate is inconclusive/confounded; direct driver-definition tests are CIRCULAR</x:v>
      </x:c>
      <x:c r="X45" s="48" t="str">
        <x:v>MANAGER_SELF_DESCRIPTION; NOT BEHAVIOURAL FREQUENCY</x:v>
      </x:c>
    </x:row>
    <x:row r="46">
      <x:c r="A46" s="48" t="str">
        <x:v>B_GOVERNANCE_SEGMENTATION</x:v>
      </x:c>
      <x:c r="B46" s="48" t="str">
        <x:v>Tier B v1.1 - N=29 rerun</x:v>
      </x:c>
      <x:c r="C46" s="48" t="str">
        <x:v>2026-07-16</x:v>
      </x:c>
      <x:c r="D46" s="48" t="str">
        <x:v>G03</x:v>
      </x:c>
      <x:c r="E46" s="48" t="str">
        <x:v>GATING_DECISION</x:v>
      </x:c>
      <x:c r="F46" s="48" t="str">
        <x:v>Formal IOI or NBIO authority</x:v>
      </x:c>
      <x:c r="G46" s="48" t="str">
        <x:v>geography</x:v>
      </x:c>
      <x:c r="H46" s="48" t="str">
        <x:v>EUROPE</x:v>
      </x:c>
      <x:c r="I46" s="48" t="str">
        <x:v>2</x:v>
      </x:c>
      <x:c r="J46" s="48" t="str">
        <x:v>2</x:v>
      </x:c>
      <x:c r="K46" s="48" t="str">
        <x:v>0</x:v>
      </x:c>
      <x:c r="L46" s="48" t="str">
        <x:v>0</x:v>
      </x:c>
      <x:c r="M46" s="48" t="str">
        <x:v>2</x:v>
      </x:c>
      <x:c r="N46" s="48" t="str">
        <x:v>0</x:v>
      </x:c>
      <x:c r="O46" s="48" t="str">
        <x:v>0</x:v>
      </x:c>
      <x:c r="P46" s="48" t="str">
        <x:v>0</x:v>
      </x:c>
      <x:c r="Q46" s="48" t="str">
        <x:v>1.000</x:v>
      </x:c>
      <x:c r="R46" s="48" t="str">
        <x:v>DRIVER DOES NOT SEPARATE</x:v>
      </x:c>
      <x:c r="S46" s="48" t="str">
        <x:v>0.000</x:v>
      </x:c>
      <x:c r="T46" s="48" t="str">
        <x:v>GLOBAL_TRANSATLANTIC:N=5,p=1.000; NORTH_AMERICA:N=5,p=1.000</x:v>
      </x:c>
      <x:c r="U46" s="48" t="str">
        <x:v>Maximum-minus-minimum prevalence among adequately observed groups is no more than 0.15.</x:v>
      </x:c>
      <x:c r="V46" s="48" t="str">
        <x:v>At least 5 observable manager families in at least 2 driver groups</x:v>
      </x:c>
      <x:c r="W46" s="48" t="str">
        <x:v>&gt;=0.35 separates; &lt;=0.15 does not separate; intermediate is inconclusive/confounded; direct driver-definition tests are CIRCULAR</x:v>
      </x:c>
      <x:c r="X46" s="48" t="str">
        <x:v>MANAGER_SELF_DESCRIPTION; NOT BEHAVIOURAL FREQUENCY</x:v>
      </x:c>
    </x:row>
    <x:row r="47">
      <x:c r="A47" s="48" t="str">
        <x:v>B_GOVERNANCE_SEGMENTATION</x:v>
      </x:c>
      <x:c r="B47" s="48" t="str">
        <x:v>Tier B v1.1 - N=29 rerun</x:v>
      </x:c>
      <x:c r="C47" s="48" t="str">
        <x:v>2026-07-16</x:v>
      </x:c>
      <x:c r="D47" s="48" t="str">
        <x:v>G03</x:v>
      </x:c>
      <x:c r="E47" s="48" t="str">
        <x:v>GATING_DECISION</x:v>
      </x:c>
      <x:c r="F47" s="48" t="str">
        <x:v>Formal IOI or NBIO authority</x:v>
      </x:c>
      <x:c r="G47" s="48" t="str">
        <x:v>geography</x:v>
      </x:c>
      <x:c r="H47" s="48" t="str">
        <x:v>GLOBAL_TRANSATLANTIC</x:v>
      </x:c>
      <x:c r="I47" s="48" t="str">
        <x:v>10</x:v>
      </x:c>
      <x:c r="J47" s="48" t="str">
        <x:v>5</x:v>
      </x:c>
      <x:c r="K47" s="48" t="str">
        <x:v>2</x:v>
      </x:c>
      <x:c r="L47" s="48" t="str">
        <x:v>0</x:v>
      </x:c>
      <x:c r="M47" s="48" t="str">
        <x:v>5</x:v>
      </x:c>
      <x:c r="N47" s="48" t="str">
        <x:v>5</x:v>
      </x:c>
      <x:c r="O47" s="48" t="str">
        <x:v>0</x:v>
      </x:c>
      <x:c r="P47" s="48" t="str">
        <x:v>0</x:v>
      </x:c>
      <x:c r="Q47" s="48" t="str">
        <x:v>1.000</x:v>
      </x:c>
      <x:c r="R47" s="48" t="str">
        <x:v>DRIVER DOES NOT SEPARATE</x:v>
      </x:c>
      <x:c r="S47" s="48" t="str">
        <x:v>0.000</x:v>
      </x:c>
      <x:c r="T47" s="48" t="str">
        <x:v>GLOBAL_TRANSATLANTIC:N=5,p=1.000; NORTH_AMERICA:N=5,p=1.000</x:v>
      </x:c>
      <x:c r="U47" s="48" t="str">
        <x:v>Maximum-minus-minimum prevalence among adequately observed groups is no more than 0.15.</x:v>
      </x:c>
      <x:c r="V47" s="48" t="str">
        <x:v>At least 5 observable manager families in at least 2 driver groups</x:v>
      </x:c>
      <x:c r="W47" s="48" t="str">
        <x:v>&gt;=0.35 separates; &lt;=0.15 does not separate; intermediate is inconclusive/confounded; direct driver-definition tests are CIRCULAR</x:v>
      </x:c>
      <x:c r="X47" s="48" t="str">
        <x:v>MANAGER_SELF_DESCRIPTION; NOT BEHAVIOURAL FREQUENCY</x:v>
      </x:c>
    </x:row>
    <x:row r="48">
      <x:c r="A48" s="48" t="str">
        <x:v>B_GOVERNANCE_SEGMENTATION</x:v>
      </x:c>
      <x:c r="B48" s="48" t="str">
        <x:v>Tier B v1.1 - N=29 rerun</x:v>
      </x:c>
      <x:c r="C48" s="48" t="str">
        <x:v>2026-07-16</x:v>
      </x:c>
      <x:c r="D48" s="48" t="str">
        <x:v>G03</x:v>
      </x:c>
      <x:c r="E48" s="48" t="str">
        <x:v>GATING_DECISION</x:v>
      </x:c>
      <x:c r="F48" s="48" t="str">
        <x:v>Formal IOI or NBIO authority</x:v>
      </x:c>
      <x:c r="G48" s="48" t="str">
        <x:v>geography</x:v>
      </x:c>
      <x:c r="H48" s="48" t="str">
        <x:v>NORTH_AMERICA</x:v>
      </x:c>
      <x:c r="I48" s="48" t="str">
        <x:v>13</x:v>
      </x:c>
      <x:c r="J48" s="48" t="str">
        <x:v>5</x:v>
      </x:c>
      <x:c r="K48" s="48" t="str">
        <x:v>0</x:v>
      </x:c>
      <x:c r="L48" s="48" t="str">
        <x:v>0</x:v>
      </x:c>
      <x:c r="M48" s="48" t="str">
        <x:v>5</x:v>
      </x:c>
      <x:c r="N48" s="48" t="str">
        <x:v>8</x:v>
      </x:c>
      <x:c r="O48" s="48" t="str">
        <x:v>0</x:v>
      </x:c>
      <x:c r="P48" s="48" t="str">
        <x:v>0</x:v>
      </x:c>
      <x:c r="Q48" s="48" t="str">
        <x:v>1.000</x:v>
      </x:c>
      <x:c r="R48" s="48" t="str">
        <x:v>DRIVER DOES NOT SEPARATE</x:v>
      </x:c>
      <x:c r="S48" s="48" t="str">
        <x:v>0.000</x:v>
      </x:c>
      <x:c r="T48" s="48" t="str">
        <x:v>GLOBAL_TRANSATLANTIC:N=5,p=1.000; NORTH_AMERICA:N=5,p=1.000</x:v>
      </x:c>
      <x:c r="U48" s="48" t="str">
        <x:v>Maximum-minus-minimum prevalence among adequately observed groups is no more than 0.15.</x:v>
      </x:c>
      <x:c r="V48" s="48" t="str">
        <x:v>At least 5 observable manager families in at least 2 driver groups</x:v>
      </x:c>
      <x:c r="W48" s="48" t="str">
        <x:v>&gt;=0.35 separates; &lt;=0.15 does not separate; intermediate is inconclusive/confounded; direct driver-definition tests are CIRCULAR</x:v>
      </x:c>
      <x:c r="X48" s="48" t="str">
        <x:v>MANAGER_SELF_DESCRIPTION; NOT BEHAVIOURAL FREQUENCY</x:v>
      </x:c>
    </x:row>
    <x:row r="49">
      <x:c r="A49" s="48" t="str">
        <x:v>B_GOVERNANCE_SEGMENTATION</x:v>
      </x:c>
      <x:c r="B49" s="48" t="str">
        <x:v>Tier B v1.1 - N=29 rerun</x:v>
      </x:c>
      <x:c r="C49" s="48" t="str">
        <x:v>2026-07-16</x:v>
      </x:c>
      <x:c r="D49" s="48" t="str">
        <x:v>G03</x:v>
      </x:c>
      <x:c r="E49" s="48" t="str">
        <x:v>GATING_DECISION</x:v>
      </x:c>
      <x:c r="F49" s="48" t="str">
        <x:v>Formal IOI or NBIO authority</x:v>
      </x:c>
      <x:c r="G49" s="48" t="str">
        <x:v>source_vintage_bin</x:v>
      </x:c>
      <x:c r="H49" s="48" t="str">
        <x:v>2018_2020</x:v>
      </x:c>
      <x:c r="I49" s="48" t="str">
        <x:v>6</x:v>
      </x:c>
      <x:c r="J49" s="48" t="str">
        <x:v>2</x:v>
      </x:c>
      <x:c r="K49" s="48" t="str">
        <x:v>1</x:v>
      </x:c>
      <x:c r="L49" s="48" t="str">
        <x:v>0</x:v>
      </x:c>
      <x:c r="M49" s="48" t="str">
        <x:v>2</x:v>
      </x:c>
      <x:c r="N49" s="48" t="str">
        <x:v>4</x:v>
      </x:c>
      <x:c r="O49" s="48" t="str">
        <x:v>0</x:v>
      </x:c>
      <x:c r="P49" s="48" t="str">
        <x:v>0</x:v>
      </x:c>
      <x:c r="Q49" s="48" t="str">
        <x:v>1.000</x:v>
      </x:c>
      <x:c r="R49" s="48" t="str">
        <x:v>DRIVER DOES NOT SEPARATE</x:v>
      </x:c>
      <x:c r="S49" s="48" t="str">
        <x:v>0.000</x:v>
      </x:c>
      <x:c r="T49" s="48" t="str">
        <x:v>2021_2023:N=7,p=1.000; 2024_2026:N=6,p=1.000</x:v>
      </x:c>
      <x:c r="U49" s="48" t="str">
        <x:v>Maximum-minus-minimum prevalence among adequately observed groups is no more than 0.15.</x:v>
      </x:c>
      <x:c r="V49" s="48" t="str">
        <x:v>At least 5 observable manager families in at least 2 driver groups</x:v>
      </x:c>
      <x:c r="W49" s="48" t="str">
        <x:v>&gt;=0.35 separates; &lt;=0.15 does not separate; intermediate is inconclusive/confounded; direct driver-definition tests are CIRCULAR</x:v>
      </x:c>
      <x:c r="X49" s="48" t="str">
        <x:v>MANAGER_SELF_DESCRIPTION; NOT BEHAVIOURAL FREQUENCY</x:v>
      </x:c>
    </x:row>
    <x:row r="50">
      <x:c r="A50" s="48" t="str">
        <x:v>B_GOVERNANCE_SEGMENTATION</x:v>
      </x:c>
      <x:c r="B50" s="48" t="str">
        <x:v>Tier B v1.1 - N=29 rerun</x:v>
      </x:c>
      <x:c r="C50" s="48" t="str">
        <x:v>2026-07-16</x:v>
      </x:c>
      <x:c r="D50" s="48" t="str">
        <x:v>G03</x:v>
      </x:c>
      <x:c r="E50" s="48" t="str">
        <x:v>GATING_DECISION</x:v>
      </x:c>
      <x:c r="F50" s="48" t="str">
        <x:v>Formal IOI or NBIO authority</x:v>
      </x:c>
      <x:c r="G50" s="48" t="str">
        <x:v>source_vintage_bin</x:v>
      </x:c>
      <x:c r="H50" s="48" t="str">
        <x:v>2021_2023</x:v>
      </x:c>
      <x:c r="I50" s="48" t="str">
        <x:v>11</x:v>
      </x:c>
      <x:c r="J50" s="48" t="str">
        <x:v>7</x:v>
      </x:c>
      <x:c r="K50" s="48" t="str">
        <x:v>1</x:v>
      </x:c>
      <x:c r="L50" s="48" t="str">
        <x:v>0</x:v>
      </x:c>
      <x:c r="M50" s="48" t="str">
        <x:v>7</x:v>
      </x:c>
      <x:c r="N50" s="48" t="str">
        <x:v>4</x:v>
      </x:c>
      <x:c r="O50" s="48" t="str">
        <x:v>0</x:v>
      </x:c>
      <x:c r="P50" s="48" t="str">
        <x:v>0</x:v>
      </x:c>
      <x:c r="Q50" s="48" t="str">
        <x:v>1.000</x:v>
      </x:c>
      <x:c r="R50" s="48" t="str">
        <x:v>DRIVER DOES NOT SEPARATE</x:v>
      </x:c>
      <x:c r="S50" s="48" t="str">
        <x:v>0.000</x:v>
      </x:c>
      <x:c r="T50" s="48" t="str">
        <x:v>2021_2023:N=7,p=1.000; 2024_2026:N=6,p=1.000</x:v>
      </x:c>
      <x:c r="U50" s="48" t="str">
        <x:v>Maximum-minus-minimum prevalence among adequately observed groups is no more than 0.15.</x:v>
      </x:c>
      <x:c r="V50" s="48" t="str">
        <x:v>At least 5 observable manager families in at least 2 driver groups</x:v>
      </x:c>
      <x:c r="W50" s="48" t="str">
        <x:v>&gt;=0.35 separates; &lt;=0.15 does not separate; intermediate is inconclusive/confounded; direct driver-definition tests are CIRCULAR</x:v>
      </x:c>
      <x:c r="X50" s="48" t="str">
        <x:v>MANAGER_SELF_DESCRIPTION; NOT BEHAVIOURAL FREQUENCY</x:v>
      </x:c>
    </x:row>
    <x:row r="51">
      <x:c r="A51" s="48" t="str">
        <x:v>B_GOVERNANCE_SEGMENTATION</x:v>
      </x:c>
      <x:c r="B51" s="48" t="str">
        <x:v>Tier B v1.1 - N=29 rerun</x:v>
      </x:c>
      <x:c r="C51" s="48" t="str">
        <x:v>2026-07-16</x:v>
      </x:c>
      <x:c r="D51" s="48" t="str">
        <x:v>G03</x:v>
      </x:c>
      <x:c r="E51" s="48" t="str">
        <x:v>GATING_DECISION</x:v>
      </x:c>
      <x:c r="F51" s="48" t="str">
        <x:v>Formal IOI or NBIO authority</x:v>
      </x:c>
      <x:c r="G51" s="48" t="str">
        <x:v>source_vintage_bin</x:v>
      </x:c>
      <x:c r="H51" s="48" t="str">
        <x:v>2024_2026</x:v>
      </x:c>
      <x:c r="I51" s="48" t="str">
        <x:v>12</x:v>
      </x:c>
      <x:c r="J51" s="48" t="str">
        <x:v>6</x:v>
      </x:c>
      <x:c r="K51" s="48" t="str">
        <x:v>0</x:v>
      </x:c>
      <x:c r="L51" s="48" t="str">
        <x:v>0</x:v>
      </x:c>
      <x:c r="M51" s="48" t="str">
        <x:v>6</x:v>
      </x:c>
      <x:c r="N51" s="48" t="str">
        <x:v>6</x:v>
      </x:c>
      <x:c r="O51" s="48" t="str">
        <x:v>0</x:v>
      </x:c>
      <x:c r="P51" s="48" t="str">
        <x:v>0</x:v>
      </x:c>
      <x:c r="Q51" s="48" t="str">
        <x:v>1.000</x:v>
      </x:c>
      <x:c r="R51" s="48" t="str">
        <x:v>DRIVER DOES NOT SEPARATE</x:v>
      </x:c>
      <x:c r="S51" s="48" t="str">
        <x:v>0.000</x:v>
      </x:c>
      <x:c r="T51" s="48" t="str">
        <x:v>2021_2023:N=7,p=1.000; 2024_2026:N=6,p=1.000</x:v>
      </x:c>
      <x:c r="U51" s="48" t="str">
        <x:v>Maximum-minus-minimum prevalence among adequately observed groups is no more than 0.15.</x:v>
      </x:c>
      <x:c r="V51" s="48" t="str">
        <x:v>At least 5 observable manager families in at least 2 driver groups</x:v>
      </x:c>
      <x:c r="W51" s="48" t="str">
        <x:v>&gt;=0.35 separates; &lt;=0.15 does not separate; intermediate is inconclusive/confounded; direct driver-definition tests are CIRCULAR</x:v>
      </x:c>
      <x:c r="X51" s="48" t="str">
        <x:v>MANAGER_SELF_DESCRIPTION; NOT BEHAVIOURAL FREQUENCY</x:v>
      </x:c>
    </x:row>
    <x:row r="52">
      <x:c r="A52" s="48" t="str">
        <x:v>B_GOVERNANCE_SEGMENTATION</x:v>
      </x:c>
      <x:c r="B52" s="48" t="str">
        <x:v>Tier B v1.1 - N=29 rerun</x:v>
      </x:c>
      <x:c r="C52" s="48" t="str">
        <x:v>2026-07-16</x:v>
      </x:c>
      <x:c r="D52" s="48" t="str">
        <x:v>G03</x:v>
      </x:c>
      <x:c r="E52" s="48" t="str">
        <x:v>GATING_DECISION</x:v>
      </x:c>
      <x:c r="F52" s="48" t="str">
        <x:v>Formal IOI or NBIO authority</x:v>
      </x:c>
      <x:c r="G52" s="48" t="str">
        <x:v>governance_architecture</x:v>
      </x:c>
      <x:c r="H52" s="48" t="str">
        <x:v>IC_FINAL_OR_DE_FACTO</x:v>
      </x:c>
      <x:c r="I52" s="48" t="str">
        <x:v>26</x:v>
      </x:c>
      <x:c r="J52" s="48" t="str">
        <x:v>12</x:v>
      </x:c>
      <x:c r="K52" s="48" t="str">
        <x:v>1</x:v>
      </x:c>
      <x:c r="L52" s="48" t="str">
        <x:v>0</x:v>
      </x:c>
      <x:c r="M52" s="48" t="str">
        <x:v>12</x:v>
      </x:c>
      <x:c r="N52" s="48" t="str">
        <x:v>14</x:v>
      </x:c>
      <x:c r="O52" s="48" t="str">
        <x:v>0</x:v>
      </x:c>
      <x:c r="P52" s="48" t="str">
        <x:v>0</x:v>
      </x:c>
      <x:c r="Q52" s="48" t="str">
        <x:v>1.000</x:v>
      </x:c>
      <x:c r="R52" s="48" t="str">
        <x:v>N TOO SMALL</x:v>
      </x:c>
      <x:c r="S52" s="48" t="str"/>
      <x:c r="T52" s="48" t="str">
        <x:v>IC_FINAL_OR_DE_FACTO:N=12,p=1.000</x:v>
      </x:c>
      <x:c r="U52" s="48" t="str">
        <x:v>Fewer than two driver groups have at least 5 observable manager families.</x:v>
      </x:c>
      <x:c r="V52" s="48" t="str">
        <x:v>At least 5 observable manager families in at least 2 driver groups</x:v>
      </x:c>
      <x:c r="W52" s="48" t="str">
        <x:v>&gt;=0.35 separates; &lt;=0.15 does not separate; intermediate is inconclusive/confounded; direct driver-definition tests are CIRCULAR</x:v>
      </x:c>
      <x:c r="X52" s="48" t="str">
        <x:v>MANAGER_SELF_DESCRIPTION; NOT BEHAVIOURAL FREQUENCY</x:v>
      </x:c>
    </x:row>
    <x:row r="53">
      <x:c r="A53" s="48" t="str">
        <x:v>B_GOVERNANCE_SEGMENTATION</x:v>
      </x:c>
      <x:c r="B53" s="48" t="str">
        <x:v>Tier B v1.1 - N=29 rerun</x:v>
      </x:c>
      <x:c r="C53" s="48" t="str">
        <x:v>2026-07-16</x:v>
      </x:c>
      <x:c r="D53" s="48" t="str">
        <x:v>G03</x:v>
      </x:c>
      <x:c r="E53" s="48" t="str">
        <x:v>GATING_DECISION</x:v>
      </x:c>
      <x:c r="F53" s="48" t="str">
        <x:v>Formal IOI or NBIO authority</x:v>
      </x:c>
      <x:c r="G53" s="48" t="str">
        <x:v>governance_architecture</x:v>
      </x:c>
      <x:c r="H53" s="48" t="str">
        <x:v>IC_RECOMMENDS_SEPARATE_FINAL_AUTHORITY</x:v>
      </x:c>
      <x:c r="I53" s="48" t="str">
        <x:v>3</x:v>
      </x:c>
      <x:c r="J53" s="48" t="str">
        <x:v>3</x:v>
      </x:c>
      <x:c r="K53" s="48" t="str">
        <x:v>1</x:v>
      </x:c>
      <x:c r="L53" s="48" t="str">
        <x:v>0</x:v>
      </x:c>
      <x:c r="M53" s="48" t="str">
        <x:v>3</x:v>
      </x:c>
      <x:c r="N53" s="48" t="str">
        <x:v>0</x:v>
      </x:c>
      <x:c r="O53" s="48" t="str">
        <x:v>0</x:v>
      </x:c>
      <x:c r="P53" s="48" t="str">
        <x:v>0</x:v>
      </x:c>
      <x:c r="Q53" s="48" t="str">
        <x:v>1.000</x:v>
      </x:c>
      <x:c r="R53" s="48" t="str">
        <x:v>N TOO SMALL</x:v>
      </x:c>
      <x:c r="S53" s="48" t="str"/>
      <x:c r="T53" s="48" t="str">
        <x:v>IC_FINAL_OR_DE_FACTO:N=12,p=1.000</x:v>
      </x:c>
      <x:c r="U53" s="48" t="str">
        <x:v>Fewer than two driver groups have at least 5 observable manager families.</x:v>
      </x:c>
      <x:c r="V53" s="48" t="str">
        <x:v>At least 5 observable manager families in at least 2 driver groups</x:v>
      </x:c>
      <x:c r="W53" s="48" t="str">
        <x:v>&gt;=0.35 separates; &lt;=0.15 does not separate; intermediate is inconclusive/confounded; direct driver-definition tests are CIRCULAR</x:v>
      </x:c>
      <x:c r="X53" s="48" t="str">
        <x:v>MANAGER_SELF_DESCRIPTION; NOT BEHAVIOURAL FREQUENCY</x:v>
      </x:c>
    </x:row>
    <x:row r="54">
      <x:c r="A54" s="48" t="str">
        <x:v>B_GOVERNANCE_SEGMENTATION</x:v>
      </x:c>
      <x:c r="B54" s="48" t="str">
        <x:v>Tier B v1.1 - N=29 rerun</x:v>
      </x:c>
      <x:c r="C54" s="48" t="str">
        <x:v>2026-07-16</x:v>
      </x:c>
      <x:c r="D54" s="48" t="str">
        <x:v>G03</x:v>
      </x:c>
      <x:c r="E54" s="48" t="str">
        <x:v>GATING_DECISION</x:v>
      </x:c>
      <x:c r="F54" s="48" t="str">
        <x:v>Formal IOI or NBIO authority</x:v>
      </x:c>
      <x:c r="G54" s="48" t="str">
        <x:v>dedicated_operating_team</x:v>
      </x:c>
      <x:c r="H54" s="48" t="str">
        <x:v>NO_OR_LIMITED</x:v>
      </x:c>
      <x:c r="I54" s="48" t="str">
        <x:v>6</x:v>
      </x:c>
      <x:c r="J54" s="48" t="str">
        <x:v>4</x:v>
      </x:c>
      <x:c r="K54" s="48" t="str">
        <x:v>0</x:v>
      </x:c>
      <x:c r="L54" s="48" t="str">
        <x:v>0</x:v>
      </x:c>
      <x:c r="M54" s="48" t="str">
        <x:v>4</x:v>
      </x:c>
      <x:c r="N54" s="48" t="str">
        <x:v>2</x:v>
      </x:c>
      <x:c r="O54" s="48" t="str">
        <x:v>0</x:v>
      </x:c>
      <x:c r="P54" s="48" t="str">
        <x:v>0</x:v>
      </x:c>
      <x:c r="Q54" s="48" t="str">
        <x:v>1.000</x:v>
      </x:c>
      <x:c r="R54" s="48" t="str">
        <x:v>N TOO SMALL</x:v>
      </x:c>
      <x:c r="S54" s="48" t="str"/>
      <x:c r="T54" s="48" t="str">
        <x:v>YES_DEDICATED:N=11,p=1.000</x:v>
      </x:c>
      <x:c r="U54" s="48" t="str">
        <x:v>Fewer than two driver groups have at least 5 observable manager families.</x:v>
      </x:c>
      <x:c r="V54" s="48" t="str">
        <x:v>At least 5 observable manager families in at least 2 driver groups</x:v>
      </x:c>
      <x:c r="W54" s="48" t="str">
        <x:v>&gt;=0.35 separates; &lt;=0.15 does not separate; intermediate is inconclusive/confounded; direct driver-definition tests are CIRCULAR</x:v>
      </x:c>
      <x:c r="X54" s="48" t="str">
        <x:v>MANAGER_SELF_DESCRIPTION; NOT BEHAVIOURAL FREQUENCY</x:v>
      </x:c>
    </x:row>
    <x:row r="55">
      <x:c r="A55" s="48" t="str">
        <x:v>B_GOVERNANCE_SEGMENTATION</x:v>
      </x:c>
      <x:c r="B55" s="48" t="str">
        <x:v>Tier B v1.1 - N=29 rerun</x:v>
      </x:c>
      <x:c r="C55" s="48" t="str">
        <x:v>2026-07-16</x:v>
      </x:c>
      <x:c r="D55" s="48" t="str">
        <x:v>G03</x:v>
      </x:c>
      <x:c r="E55" s="48" t="str">
        <x:v>GATING_DECISION</x:v>
      </x:c>
      <x:c r="F55" s="48" t="str">
        <x:v>Formal IOI or NBIO authority</x:v>
      </x:c>
      <x:c r="G55" s="48" t="str">
        <x:v>dedicated_operating_team</x:v>
      </x:c>
      <x:c r="H55" s="48" t="str">
        <x:v>YES_DEDICATED</x:v>
      </x:c>
      <x:c r="I55" s="48" t="str">
        <x:v>23</x:v>
      </x:c>
      <x:c r="J55" s="48" t="str">
        <x:v>11</x:v>
      </x:c>
      <x:c r="K55" s="48" t="str">
        <x:v>2</x:v>
      </x:c>
      <x:c r="L55" s="48" t="str">
        <x:v>0</x:v>
      </x:c>
      <x:c r="M55" s="48" t="str">
        <x:v>11</x:v>
      </x:c>
      <x:c r="N55" s="48" t="str">
        <x:v>12</x:v>
      </x:c>
      <x:c r="O55" s="48" t="str">
        <x:v>0</x:v>
      </x:c>
      <x:c r="P55" s="48" t="str">
        <x:v>0</x:v>
      </x:c>
      <x:c r="Q55" s="48" t="str">
        <x:v>1.000</x:v>
      </x:c>
      <x:c r="R55" s="48" t="str">
        <x:v>N TOO SMALL</x:v>
      </x:c>
      <x:c r="S55" s="48" t="str"/>
      <x:c r="T55" s="48" t="str">
        <x:v>YES_DEDICATED:N=11,p=1.000</x:v>
      </x:c>
      <x:c r="U55" s="48" t="str">
        <x:v>Fewer than two driver groups have at least 5 observable manager families.</x:v>
      </x:c>
      <x:c r="V55" s="48" t="str">
        <x:v>At least 5 observable manager families in at least 2 driver groups</x:v>
      </x:c>
      <x:c r="W55" s="48" t="str">
        <x:v>&gt;=0.35 separates; &lt;=0.15 does not separate; intermediate is inconclusive/confounded; direct driver-definition tests are CIRCULAR</x:v>
      </x:c>
      <x:c r="X55" s="48" t="str">
        <x:v>MANAGER_SELF_DESCRIPTION; NOT BEHAVIOURAL FREQUENCY</x:v>
      </x:c>
    </x:row>
    <x:row r="56">
      <x:c r="A56" s="48" t="str">
        <x:v>B_GOVERNANCE_SEGMENTATION</x:v>
      </x:c>
      <x:c r="B56" s="48" t="str">
        <x:v>Tier B v1.1 - N=29 rerun</x:v>
      </x:c>
      <x:c r="C56" s="48" t="str">
        <x:v>2026-07-16</x:v>
      </x:c>
      <x:c r="D56" s="48" t="str">
        <x:v>G04</x:v>
      </x:c>
      <x:c r="E56" s="48" t="str">
        <x:v>GATING_DECISION</x:v>
      </x:c>
      <x:c r="F56" s="48" t="str">
        <x:v>Formal LOI or term-sheet authority</x:v>
      </x:c>
      <x:c r="G56" s="48" t="str">
        <x:v>fund_size_archetype</x:v>
      </x:c>
      <x:c r="H56" s="48" t="str">
        <x:v>LARGE_2_TO_LT_5B</x:v>
      </x:c>
      <x:c r="I56" s="48" t="str">
        <x:v>9</x:v>
      </x:c>
      <x:c r="J56" s="48" t="str">
        <x:v>5</x:v>
      </x:c>
      <x:c r="K56" s="48" t="str">
        <x:v>1</x:v>
      </x:c>
      <x:c r="L56" s="48" t="str">
        <x:v>0</x:v>
      </x:c>
      <x:c r="M56" s="48" t="str">
        <x:v>5</x:v>
      </x:c>
      <x:c r="N56" s="48" t="str">
        <x:v>4</x:v>
      </x:c>
      <x:c r="O56" s="48" t="str">
        <x:v>0</x:v>
      </x:c>
      <x:c r="P56" s="48" t="str">
        <x:v>0</x:v>
      </x:c>
      <x:c r="Q56" s="48" t="str">
        <x:v>1.000</x:v>
      </x:c>
      <x:c r="R56" s="48" t="str">
        <x:v>DRIVER DOES NOT SEPARATE</x:v>
      </x:c>
      <x:c r="S56" s="48" t="str">
        <x:v>0.000</x:v>
      </x:c>
      <x:c r="T56" s="48" t="str">
        <x:v>LARGE_2_TO_LT_5B:N=5,p=1.000; LOWER_MID_LT_2B:N=5,p=1.000</x:v>
      </x:c>
      <x:c r="U56" s="48" t="str">
        <x:v>Maximum-minus-minimum prevalence among adequately observed groups is no more than 0.15.</x:v>
      </x:c>
      <x:c r="V56" s="48" t="str">
        <x:v>At least 5 observable manager families in at least 2 driver groups</x:v>
      </x:c>
      <x:c r="W56" s="48" t="str">
        <x:v>&gt;=0.35 separates; &lt;=0.15 does not separate; intermediate is inconclusive/confounded; direct driver-definition tests are CIRCULAR</x:v>
      </x:c>
      <x:c r="X56" s="48" t="str">
        <x:v>MANAGER_SELF_DESCRIPTION; NOT BEHAVIOURAL FREQUENCY</x:v>
      </x:c>
    </x:row>
    <x:row r="57">
      <x:c r="A57" s="48" t="str">
        <x:v>B_GOVERNANCE_SEGMENTATION</x:v>
      </x:c>
      <x:c r="B57" s="48" t="str">
        <x:v>Tier B v1.1 - N=29 rerun</x:v>
      </x:c>
      <x:c r="C57" s="48" t="str">
        <x:v>2026-07-16</x:v>
      </x:c>
      <x:c r="D57" s="48" t="str">
        <x:v>G04</x:v>
      </x:c>
      <x:c r="E57" s="48" t="str">
        <x:v>GATING_DECISION</x:v>
      </x:c>
      <x:c r="F57" s="48" t="str">
        <x:v>Formal LOI or term-sheet authority</x:v>
      </x:c>
      <x:c r="G57" s="48" t="str">
        <x:v>fund_size_archetype</x:v>
      </x:c>
      <x:c r="H57" s="48" t="str">
        <x:v>LOWER_MID_LT_2B</x:v>
      </x:c>
      <x:c r="I57" s="48" t="str">
        <x:v>8</x:v>
      </x:c>
      <x:c r="J57" s="48" t="str">
        <x:v>5</x:v>
      </x:c>
      <x:c r="K57" s="48" t="str">
        <x:v>3</x:v>
      </x:c>
      <x:c r="L57" s="48" t="str">
        <x:v>0</x:v>
      </x:c>
      <x:c r="M57" s="48" t="str">
        <x:v>5</x:v>
      </x:c>
      <x:c r="N57" s="48" t="str">
        <x:v>3</x:v>
      </x:c>
      <x:c r="O57" s="48" t="str">
        <x:v>0</x:v>
      </x:c>
      <x:c r="P57" s="48" t="str">
        <x:v>0</x:v>
      </x:c>
      <x:c r="Q57" s="48" t="str">
        <x:v>1.000</x:v>
      </x:c>
      <x:c r="R57" s="48" t="str">
        <x:v>DRIVER DOES NOT SEPARATE</x:v>
      </x:c>
      <x:c r="S57" s="48" t="str">
        <x:v>0.000</x:v>
      </x:c>
      <x:c r="T57" s="48" t="str">
        <x:v>LARGE_2_TO_LT_5B:N=5,p=1.000; LOWER_MID_LT_2B:N=5,p=1.000</x:v>
      </x:c>
      <x:c r="U57" s="48" t="str">
        <x:v>Maximum-minus-minimum prevalence among adequately observed groups is no more than 0.15.</x:v>
      </x:c>
      <x:c r="V57" s="48" t="str">
        <x:v>At least 5 observable manager families in at least 2 driver groups</x:v>
      </x:c>
      <x:c r="W57" s="48" t="str">
        <x:v>&gt;=0.35 separates; &lt;=0.15 does not separate; intermediate is inconclusive/confounded; direct driver-definition tests are CIRCULAR</x:v>
      </x:c>
      <x:c r="X57" s="48" t="str">
        <x:v>MANAGER_SELF_DESCRIPTION; NOT BEHAVIOURAL FREQUENCY</x:v>
      </x:c>
    </x:row>
    <x:row r="58">
      <x:c r="A58" s="48" t="str">
        <x:v>B_GOVERNANCE_SEGMENTATION</x:v>
      </x:c>
      <x:c r="B58" s="48" t="str">
        <x:v>Tier B v1.1 - N=29 rerun</x:v>
      </x:c>
      <x:c r="C58" s="48" t="str">
        <x:v>2026-07-16</x:v>
      </x:c>
      <x:c r="D58" s="48" t="str">
        <x:v>G04</x:v>
      </x:c>
      <x:c r="E58" s="48" t="str">
        <x:v>GATING_DECISION</x:v>
      </x:c>
      <x:c r="F58" s="48" t="str">
        <x:v>Formal LOI or term-sheet authority</x:v>
      </x:c>
      <x:c r="G58" s="48" t="str">
        <x:v>fund_size_archetype</x:v>
      </x:c>
      <x:c r="H58" s="48" t="str">
        <x:v>MEGA_GE_5B</x:v>
      </x:c>
      <x:c r="I58" s="48" t="str">
        <x:v>11</x:v>
      </x:c>
      <x:c r="J58" s="48" t="str">
        <x:v>4</x:v>
      </x:c>
      <x:c r="K58" s="48" t="str">
        <x:v>4</x:v>
      </x:c>
      <x:c r="L58" s="48" t="str">
        <x:v>0</x:v>
      </x:c>
      <x:c r="M58" s="48" t="str">
        <x:v>4</x:v>
      </x:c>
      <x:c r="N58" s="48" t="str">
        <x:v>7</x:v>
      </x:c>
      <x:c r="O58" s="48" t="str">
        <x:v>0</x:v>
      </x:c>
      <x:c r="P58" s="48" t="str">
        <x:v>0</x:v>
      </x:c>
      <x:c r="Q58" s="48" t="str">
        <x:v>1.000</x:v>
      </x:c>
      <x:c r="R58" s="48" t="str">
        <x:v>DRIVER DOES NOT SEPARATE</x:v>
      </x:c>
      <x:c r="S58" s="48" t="str">
        <x:v>0.000</x:v>
      </x:c>
      <x:c r="T58" s="48" t="str">
        <x:v>LARGE_2_TO_LT_5B:N=5,p=1.000; LOWER_MID_LT_2B:N=5,p=1.000</x:v>
      </x:c>
      <x:c r="U58" s="48" t="str">
        <x:v>Maximum-minus-minimum prevalence among adequately observed groups is no more than 0.15.</x:v>
      </x:c>
      <x:c r="V58" s="48" t="str">
        <x:v>At least 5 observable manager families in at least 2 driver groups</x:v>
      </x:c>
      <x:c r="W58" s="48" t="str">
        <x:v>&gt;=0.35 separates; &lt;=0.15 does not separate; intermediate is inconclusive/confounded; direct driver-definition tests are CIRCULAR</x:v>
      </x:c>
      <x:c r="X58" s="48" t="str">
        <x:v>MANAGER_SELF_DESCRIPTION; NOT BEHAVIOURAL FREQUENCY</x:v>
      </x:c>
    </x:row>
    <x:row r="59">
      <x:c r="A59" s="48" t="str">
        <x:v>B_GOVERNANCE_SEGMENTATION</x:v>
      </x:c>
      <x:c r="B59" s="48" t="str">
        <x:v>Tier B v1.1 - N=29 rerun</x:v>
      </x:c>
      <x:c r="C59" s="48" t="str">
        <x:v>2026-07-16</x:v>
      </x:c>
      <x:c r="D59" s="48" t="str">
        <x:v>G04</x:v>
      </x:c>
      <x:c r="E59" s="48" t="str">
        <x:v>GATING_DECISION</x:v>
      </x:c>
      <x:c r="F59" s="48" t="str">
        <x:v>Formal LOI or term-sheet authority</x:v>
      </x:c>
      <x:c r="G59" s="48" t="str">
        <x:v>fund_size_archetype</x:v>
      </x:c>
      <x:c r="H59" s="48" t="str">
        <x:v>NOT_APPLICABLE</x:v>
      </x:c>
      <x:c r="I59" s="48" t="str">
        <x:v>1</x:v>
      </x:c>
      <x:c r="J59" s="48" t="str">
        <x:v>1</x:v>
      </x:c>
      <x:c r="K59" s="48" t="str">
        <x:v>1</x:v>
      </x:c>
      <x:c r="L59" s="48" t="str">
        <x:v>0</x:v>
      </x:c>
      <x:c r="M59" s="48" t="str">
        <x:v>1</x:v>
      </x:c>
      <x:c r="N59" s="48" t="str">
        <x:v>0</x:v>
      </x:c>
      <x:c r="O59" s="48" t="str">
        <x:v>0</x:v>
      </x:c>
      <x:c r="P59" s="48" t="str">
        <x:v>0</x:v>
      </x:c>
      <x:c r="Q59" s="48" t="str">
        <x:v>1.000</x:v>
      </x:c>
      <x:c r="R59" s="48" t="str">
        <x:v>DRIVER DOES NOT SEPARATE</x:v>
      </x:c>
      <x:c r="S59" s="48" t="str">
        <x:v>0.000</x:v>
      </x:c>
      <x:c r="T59" s="48" t="str">
        <x:v>LARGE_2_TO_LT_5B:N=5,p=1.000; LOWER_MID_LT_2B:N=5,p=1.000</x:v>
      </x:c>
      <x:c r="U59" s="48" t="str">
        <x:v>Maximum-minus-minimum prevalence among adequately observed groups is no more than 0.15.</x:v>
      </x:c>
      <x:c r="V59" s="48" t="str">
        <x:v>At least 5 observable manager families in at least 2 driver groups</x:v>
      </x:c>
      <x:c r="W59" s="48" t="str">
        <x:v>&gt;=0.35 separates; &lt;=0.15 does not separate; intermediate is inconclusive/confounded; direct driver-definition tests are CIRCULAR</x:v>
      </x:c>
      <x:c r="X59" s="48" t="str">
        <x:v>MANAGER_SELF_DESCRIPTION; NOT BEHAVIOURAL FREQUENCY</x:v>
      </x:c>
    </x:row>
    <x:row r="60">
      <x:c r="A60" s="48" t="str">
        <x:v>B_GOVERNANCE_SEGMENTATION</x:v>
      </x:c>
      <x:c r="B60" s="48" t="str">
        <x:v>Tier B v1.1 - N=29 rerun</x:v>
      </x:c>
      <x:c r="C60" s="48" t="str">
        <x:v>2026-07-16</x:v>
      </x:c>
      <x:c r="D60" s="48" t="str">
        <x:v>G04</x:v>
      </x:c>
      <x:c r="E60" s="48" t="str">
        <x:v>GATING_DECISION</x:v>
      </x:c>
      <x:c r="F60" s="48" t="str">
        <x:v>Formal LOI or term-sheet authority</x:v>
      </x:c>
      <x:c r="G60" s="48" t="str">
        <x:v>strategy</x:v>
      </x:c>
      <x:c r="H60" s="48" t="str">
        <x:v>CONTROL_BUYOUT</x:v>
      </x:c>
      <x:c r="I60" s="48" t="str">
        <x:v>22</x:v>
      </x:c>
      <x:c r="J60" s="48" t="str">
        <x:v>11</x:v>
      </x:c>
      <x:c r="K60" s="48" t="str">
        <x:v>8</x:v>
      </x:c>
      <x:c r="L60" s="48" t="str">
        <x:v>0</x:v>
      </x:c>
      <x:c r="M60" s="48" t="str">
        <x:v>11</x:v>
      </x:c>
      <x:c r="N60" s="48" t="str">
        <x:v>11</x:v>
      </x:c>
      <x:c r="O60" s="48" t="str">
        <x:v>0</x:v>
      </x:c>
      <x:c r="P60" s="48" t="str">
        <x:v>0</x:v>
      </x:c>
      <x:c r="Q60" s="48" t="str">
        <x:v>1.000</x:v>
      </x:c>
      <x:c r="R60" s="48" t="str">
        <x:v>N TOO SMALL</x:v>
      </x:c>
      <x:c r="S60" s="48" t="str"/>
      <x:c r="T60" s="48" t="str">
        <x:v>CONTROL_BUYOUT:N=11,p=1.000</x:v>
      </x:c>
      <x:c r="U60" s="48" t="str">
        <x:v>Fewer than two driver groups have at least 5 observable manager families.</x:v>
      </x:c>
      <x:c r="V60" s="48" t="str">
        <x:v>At least 5 observable manager families in at least 2 driver groups</x:v>
      </x:c>
      <x:c r="W60" s="48" t="str">
        <x:v>&gt;=0.35 separates; &lt;=0.15 does not separate; intermediate is inconclusive/confounded; direct driver-definition tests are CIRCULAR</x:v>
      </x:c>
      <x:c r="X60" s="48" t="str">
        <x:v>MANAGER_SELF_DESCRIPTION; NOT BEHAVIOURAL FREQUENCY</x:v>
      </x:c>
    </x:row>
    <x:row r="61">
      <x:c r="A61" s="48" t="str">
        <x:v>B_GOVERNANCE_SEGMENTATION</x:v>
      </x:c>
      <x:c r="B61" s="48" t="str">
        <x:v>Tier B v1.1 - N=29 rerun</x:v>
      </x:c>
      <x:c r="C61" s="48" t="str">
        <x:v>2026-07-16</x:v>
      </x:c>
      <x:c r="D61" s="48" t="str">
        <x:v>G04</x:v>
      </x:c>
      <x:c r="E61" s="48" t="str">
        <x:v>GATING_DECISION</x:v>
      </x:c>
      <x:c r="F61" s="48" t="str">
        <x:v>Formal LOI or term-sheet authority</x:v>
      </x:c>
      <x:c r="G61" s="48" t="str">
        <x:v>strategy</x:v>
      </x:c>
      <x:c r="H61" s="48" t="str">
        <x:v>GROWTH_CONTROL_HYBRID</x:v>
      </x:c>
      <x:c r="I61" s="48" t="str">
        <x:v>6</x:v>
      </x:c>
      <x:c r="J61" s="48" t="str">
        <x:v>4</x:v>
      </x:c>
      <x:c r="K61" s="48" t="str">
        <x:v>1</x:v>
      </x:c>
      <x:c r="L61" s="48" t="str">
        <x:v>0</x:v>
      </x:c>
      <x:c r="M61" s="48" t="str">
        <x:v>4</x:v>
      </x:c>
      <x:c r="N61" s="48" t="str">
        <x:v>2</x:v>
      </x:c>
      <x:c r="O61" s="48" t="str">
        <x:v>0</x:v>
      </x:c>
      <x:c r="P61" s="48" t="str">
        <x:v>0</x:v>
      </x:c>
      <x:c r="Q61" s="48" t="str">
        <x:v>1.000</x:v>
      </x:c>
      <x:c r="R61" s="48" t="str">
        <x:v>N TOO SMALL</x:v>
      </x:c>
      <x:c r="S61" s="48" t="str"/>
      <x:c r="T61" s="48" t="str">
        <x:v>CONTROL_BUYOUT:N=11,p=1.000</x:v>
      </x:c>
      <x:c r="U61" s="48" t="str">
        <x:v>Fewer than two driver groups have at least 5 observable manager families.</x:v>
      </x:c>
      <x:c r="V61" s="48" t="str">
        <x:v>At least 5 observable manager families in at least 2 driver groups</x:v>
      </x:c>
      <x:c r="W61" s="48" t="str">
        <x:v>&gt;=0.35 separates; &lt;=0.15 does not separate; intermediate is inconclusive/confounded; direct driver-definition tests are CIRCULAR</x:v>
      </x:c>
      <x:c r="X61" s="48" t="str">
        <x:v>MANAGER_SELF_DESCRIPTION; NOT BEHAVIOURAL FREQUENCY</x:v>
      </x:c>
    </x:row>
    <x:row r="62">
      <x:c r="A62" s="48" t="str">
        <x:v>B_GOVERNANCE_SEGMENTATION</x:v>
      </x:c>
      <x:c r="B62" s="48" t="str">
        <x:v>Tier B v1.1 - N=29 rerun</x:v>
      </x:c>
      <x:c r="C62" s="48" t="str">
        <x:v>2026-07-16</x:v>
      </x:c>
      <x:c r="D62" s="48" t="str">
        <x:v>G04</x:v>
      </x:c>
      <x:c r="E62" s="48" t="str">
        <x:v>GATING_DECISION</x:v>
      </x:c>
      <x:c r="F62" s="48" t="str">
        <x:v>Formal LOI or term-sheet authority</x:v>
      </x:c>
      <x:c r="G62" s="48" t="str">
        <x:v>strategy</x:v>
      </x:c>
      <x:c r="H62" s="48" t="str">
        <x:v>OPPORTUNISTIC_CONTROL</x:v>
      </x:c>
      <x:c r="I62" s="48" t="str">
        <x:v>1</x:v>
      </x:c>
      <x:c r="J62" s="48" t="str">
        <x:v>0</x:v>
      </x:c>
      <x:c r="K62" s="48" t="str">
        <x:v>0</x:v>
      </x:c>
      <x:c r="L62" s="48" t="str">
        <x:v>0</x:v>
      </x:c>
      <x:c r="M62" s="48" t="str">
        <x:v>0</x:v>
      </x:c>
      <x:c r="N62" s="48" t="str">
        <x:v>1</x:v>
      </x:c>
      <x:c r="O62" s="48" t="str">
        <x:v>0</x:v>
      </x:c>
      <x:c r="P62" s="48" t="str">
        <x:v>0</x:v>
      </x:c>
      <x:c r="Q62" s="48" t="str"/>
      <x:c r="R62" s="48" t="str">
        <x:v>N TOO SMALL</x:v>
      </x:c>
      <x:c r="S62" s="48" t="str"/>
      <x:c r="T62" s="48" t="str">
        <x:v>CONTROL_BUYOUT:N=11,p=1.000</x:v>
      </x:c>
      <x:c r="U62" s="48" t="str">
        <x:v>Fewer than two driver groups have at least 5 observable manager families.</x:v>
      </x:c>
      <x:c r="V62" s="48" t="str">
        <x:v>At least 5 observable manager families in at least 2 driver groups</x:v>
      </x:c>
      <x:c r="W62" s="48" t="str">
        <x:v>&gt;=0.35 separates; &lt;=0.15 does not separate; intermediate is inconclusive/confounded; direct driver-definition tests are CIRCULAR</x:v>
      </x:c>
      <x:c r="X62" s="48" t="str">
        <x:v>MANAGER_SELF_DESCRIPTION; NOT BEHAVIOURAL FREQUENCY</x:v>
      </x:c>
    </x:row>
    <x:row r="63">
      <x:c r="A63" s="48" t="str">
        <x:v>B_GOVERNANCE_SEGMENTATION</x:v>
      </x:c>
      <x:c r="B63" s="48" t="str">
        <x:v>Tier B v1.1 - N=29 rerun</x:v>
      </x:c>
      <x:c r="C63" s="48" t="str">
        <x:v>2026-07-16</x:v>
      </x:c>
      <x:c r="D63" s="48" t="str">
        <x:v>G04</x:v>
      </x:c>
      <x:c r="E63" s="48" t="str">
        <x:v>GATING_DECISION</x:v>
      </x:c>
      <x:c r="F63" s="48" t="str">
        <x:v>Formal LOI or term-sheet authority</x:v>
      </x:c>
      <x:c r="G63" s="48" t="str">
        <x:v>geography</x:v>
      </x:c>
      <x:c r="H63" s="48" t="str">
        <x:v>ASIA_PACIFIC</x:v>
      </x:c>
      <x:c r="I63" s="48" t="str">
        <x:v>4</x:v>
      </x:c>
      <x:c r="J63" s="48" t="str">
        <x:v>3</x:v>
      </x:c>
      <x:c r="K63" s="48" t="str">
        <x:v>3</x:v>
      </x:c>
      <x:c r="L63" s="48" t="str">
        <x:v>0</x:v>
      </x:c>
      <x:c r="M63" s="48" t="str">
        <x:v>3</x:v>
      </x:c>
      <x:c r="N63" s="48" t="str">
        <x:v>1</x:v>
      </x:c>
      <x:c r="O63" s="48" t="str">
        <x:v>0</x:v>
      </x:c>
      <x:c r="P63" s="48" t="str">
        <x:v>0</x:v>
      </x:c>
      <x:c r="Q63" s="48" t="str">
        <x:v>1.000</x:v>
      </x:c>
      <x:c r="R63" s="48" t="str">
        <x:v>N TOO SMALL</x:v>
      </x:c>
      <x:c r="S63" s="48" t="str"/>
      <x:c r="T63" s="48" t="str">
        <x:v>NORTH_AMERICA:N=7,p=1.000</x:v>
      </x:c>
      <x:c r="U63" s="48" t="str">
        <x:v>Fewer than two driver groups have at least 5 observable manager families.</x:v>
      </x:c>
      <x:c r="V63" s="48" t="str">
        <x:v>At least 5 observable manager families in at least 2 driver groups</x:v>
      </x:c>
      <x:c r="W63" s="48" t="str">
        <x:v>&gt;=0.35 separates; &lt;=0.15 does not separate; intermediate is inconclusive/confounded; direct driver-definition tests are CIRCULAR</x:v>
      </x:c>
      <x:c r="X63" s="48" t="str">
        <x:v>MANAGER_SELF_DESCRIPTION; NOT BEHAVIOURAL FREQUENCY</x:v>
      </x:c>
    </x:row>
    <x:row r="64">
      <x:c r="A64" s="48" t="str">
        <x:v>B_GOVERNANCE_SEGMENTATION</x:v>
      </x:c>
      <x:c r="B64" s="48" t="str">
        <x:v>Tier B v1.1 - N=29 rerun</x:v>
      </x:c>
      <x:c r="C64" s="48" t="str">
        <x:v>2026-07-16</x:v>
      </x:c>
      <x:c r="D64" s="48" t="str">
        <x:v>G04</x:v>
      </x:c>
      <x:c r="E64" s="48" t="str">
        <x:v>GATING_DECISION</x:v>
      </x:c>
      <x:c r="F64" s="48" t="str">
        <x:v>Formal LOI or term-sheet authority</x:v>
      </x:c>
      <x:c r="G64" s="48" t="str">
        <x:v>geography</x:v>
      </x:c>
      <x:c r="H64" s="48" t="str">
        <x:v>EUROPE</x:v>
      </x:c>
      <x:c r="I64" s="48" t="str">
        <x:v>2</x:v>
      </x:c>
      <x:c r="J64" s="48" t="str">
        <x:v>1</x:v>
      </x:c>
      <x:c r="K64" s="48" t="str">
        <x:v>1</x:v>
      </x:c>
      <x:c r="L64" s="48" t="str">
        <x:v>0</x:v>
      </x:c>
      <x:c r="M64" s="48" t="str">
        <x:v>1</x:v>
      </x:c>
      <x:c r="N64" s="48" t="str">
        <x:v>1</x:v>
      </x:c>
      <x:c r="O64" s="48" t="str">
        <x:v>0</x:v>
      </x:c>
      <x:c r="P64" s="48" t="str">
        <x:v>0</x:v>
      </x:c>
      <x:c r="Q64" s="48" t="str">
        <x:v>1.000</x:v>
      </x:c>
      <x:c r="R64" s="48" t="str">
        <x:v>N TOO SMALL</x:v>
      </x:c>
      <x:c r="S64" s="48" t="str"/>
      <x:c r="T64" s="48" t="str">
        <x:v>NORTH_AMERICA:N=7,p=1.000</x:v>
      </x:c>
      <x:c r="U64" s="48" t="str">
        <x:v>Fewer than two driver groups have at least 5 observable manager families.</x:v>
      </x:c>
      <x:c r="V64" s="48" t="str">
        <x:v>At least 5 observable manager families in at least 2 driver groups</x:v>
      </x:c>
      <x:c r="W64" s="48" t="str">
        <x:v>&gt;=0.35 separates; &lt;=0.15 does not separate; intermediate is inconclusive/confounded; direct driver-definition tests are CIRCULAR</x:v>
      </x:c>
      <x:c r="X64" s="48" t="str">
        <x:v>MANAGER_SELF_DESCRIPTION; NOT BEHAVIOURAL FREQUENCY</x:v>
      </x:c>
    </x:row>
    <x:row r="65">
      <x:c r="A65" s="48" t="str">
        <x:v>B_GOVERNANCE_SEGMENTATION</x:v>
      </x:c>
      <x:c r="B65" s="48" t="str">
        <x:v>Tier B v1.1 - N=29 rerun</x:v>
      </x:c>
      <x:c r="C65" s="48" t="str">
        <x:v>2026-07-16</x:v>
      </x:c>
      <x:c r="D65" s="48" t="str">
        <x:v>G04</x:v>
      </x:c>
      <x:c r="E65" s="48" t="str">
        <x:v>GATING_DECISION</x:v>
      </x:c>
      <x:c r="F65" s="48" t="str">
        <x:v>Formal LOI or term-sheet authority</x:v>
      </x:c>
      <x:c r="G65" s="48" t="str">
        <x:v>geography</x:v>
      </x:c>
      <x:c r="H65" s="48" t="str">
        <x:v>GLOBAL_TRANSATLANTIC</x:v>
      </x:c>
      <x:c r="I65" s="48" t="str">
        <x:v>10</x:v>
      </x:c>
      <x:c r="J65" s="48" t="str">
        <x:v>4</x:v>
      </x:c>
      <x:c r="K65" s="48" t="str">
        <x:v>3</x:v>
      </x:c>
      <x:c r="L65" s="48" t="str">
        <x:v>0</x:v>
      </x:c>
      <x:c r="M65" s="48" t="str">
        <x:v>4</x:v>
      </x:c>
      <x:c r="N65" s="48" t="str">
        <x:v>6</x:v>
      </x:c>
      <x:c r="O65" s="48" t="str">
        <x:v>0</x:v>
      </x:c>
      <x:c r="P65" s="48" t="str">
        <x:v>0</x:v>
      </x:c>
      <x:c r="Q65" s="48" t="str">
        <x:v>1.000</x:v>
      </x:c>
      <x:c r="R65" s="48" t="str">
        <x:v>N TOO SMALL</x:v>
      </x:c>
      <x:c r="S65" s="48" t="str"/>
      <x:c r="T65" s="48" t="str">
        <x:v>NORTH_AMERICA:N=7,p=1.000</x:v>
      </x:c>
      <x:c r="U65" s="48" t="str">
        <x:v>Fewer than two driver groups have at least 5 observable manager families.</x:v>
      </x:c>
      <x:c r="V65" s="48" t="str">
        <x:v>At least 5 observable manager families in at least 2 driver groups</x:v>
      </x:c>
      <x:c r="W65" s="48" t="str">
        <x:v>&gt;=0.35 separates; &lt;=0.15 does not separate; intermediate is inconclusive/confounded; direct driver-definition tests are CIRCULAR</x:v>
      </x:c>
      <x:c r="X65" s="48" t="str">
        <x:v>MANAGER_SELF_DESCRIPTION; NOT BEHAVIOURAL FREQUENCY</x:v>
      </x:c>
    </x:row>
    <x:row r="66">
      <x:c r="A66" s="48" t="str">
        <x:v>B_GOVERNANCE_SEGMENTATION</x:v>
      </x:c>
      <x:c r="B66" s="48" t="str">
        <x:v>Tier B v1.1 - N=29 rerun</x:v>
      </x:c>
      <x:c r="C66" s="48" t="str">
        <x:v>2026-07-16</x:v>
      </x:c>
      <x:c r="D66" s="48" t="str">
        <x:v>G04</x:v>
      </x:c>
      <x:c r="E66" s="48" t="str">
        <x:v>GATING_DECISION</x:v>
      </x:c>
      <x:c r="F66" s="48" t="str">
        <x:v>Formal LOI or term-sheet authority</x:v>
      </x:c>
      <x:c r="G66" s="48" t="str">
        <x:v>geography</x:v>
      </x:c>
      <x:c r="H66" s="48" t="str">
        <x:v>NORTH_AMERICA</x:v>
      </x:c>
      <x:c r="I66" s="48" t="str">
        <x:v>13</x:v>
      </x:c>
      <x:c r="J66" s="48" t="str">
        <x:v>7</x:v>
      </x:c>
      <x:c r="K66" s="48" t="str">
        <x:v>2</x:v>
      </x:c>
      <x:c r="L66" s="48" t="str">
        <x:v>0</x:v>
      </x:c>
      <x:c r="M66" s="48" t="str">
        <x:v>7</x:v>
      </x:c>
      <x:c r="N66" s="48" t="str">
        <x:v>6</x:v>
      </x:c>
      <x:c r="O66" s="48" t="str">
        <x:v>0</x:v>
      </x:c>
      <x:c r="P66" s="48" t="str">
        <x:v>0</x:v>
      </x:c>
      <x:c r="Q66" s="48" t="str">
        <x:v>1.000</x:v>
      </x:c>
      <x:c r="R66" s="48" t="str">
        <x:v>N TOO SMALL</x:v>
      </x:c>
      <x:c r="S66" s="48" t="str"/>
      <x:c r="T66" s="48" t="str">
        <x:v>NORTH_AMERICA:N=7,p=1.000</x:v>
      </x:c>
      <x:c r="U66" s="48" t="str">
        <x:v>Fewer than two driver groups have at least 5 observable manager families.</x:v>
      </x:c>
      <x:c r="V66" s="48" t="str">
        <x:v>At least 5 observable manager families in at least 2 driver groups</x:v>
      </x:c>
      <x:c r="W66" s="48" t="str">
        <x:v>&gt;=0.35 separates; &lt;=0.15 does not separate; intermediate is inconclusive/confounded; direct driver-definition tests are CIRCULAR</x:v>
      </x:c>
      <x:c r="X66" s="48" t="str">
        <x:v>MANAGER_SELF_DESCRIPTION; NOT BEHAVIOURAL FREQUENCY</x:v>
      </x:c>
    </x:row>
    <x:row r="67">
      <x:c r="A67" s="48" t="str">
        <x:v>B_GOVERNANCE_SEGMENTATION</x:v>
      </x:c>
      <x:c r="B67" s="48" t="str">
        <x:v>Tier B v1.1 - N=29 rerun</x:v>
      </x:c>
      <x:c r="C67" s="48" t="str">
        <x:v>2026-07-16</x:v>
      </x:c>
      <x:c r="D67" s="48" t="str">
        <x:v>G04</x:v>
      </x:c>
      <x:c r="E67" s="48" t="str">
        <x:v>GATING_DECISION</x:v>
      </x:c>
      <x:c r="F67" s="48" t="str">
        <x:v>Formal LOI or term-sheet authority</x:v>
      </x:c>
      <x:c r="G67" s="48" t="str">
        <x:v>source_vintage_bin</x:v>
      </x:c>
      <x:c r="H67" s="48" t="str">
        <x:v>2018_2020</x:v>
      </x:c>
      <x:c r="I67" s="48" t="str">
        <x:v>6</x:v>
      </x:c>
      <x:c r="J67" s="48" t="str">
        <x:v>2</x:v>
      </x:c>
      <x:c r="K67" s="48" t="str">
        <x:v>2</x:v>
      </x:c>
      <x:c r="L67" s="48" t="str">
        <x:v>0</x:v>
      </x:c>
      <x:c r="M67" s="48" t="str">
        <x:v>2</x:v>
      </x:c>
      <x:c r="N67" s="48" t="str">
        <x:v>4</x:v>
      </x:c>
      <x:c r="O67" s="48" t="str">
        <x:v>0</x:v>
      </x:c>
      <x:c r="P67" s="48" t="str">
        <x:v>0</x:v>
      </x:c>
      <x:c r="Q67" s="48" t="str">
        <x:v>1.000</x:v>
      </x:c>
      <x:c r="R67" s="48" t="str">
        <x:v>DRIVER DOES NOT SEPARATE</x:v>
      </x:c>
      <x:c r="S67" s="48" t="str">
        <x:v>0.000</x:v>
      </x:c>
      <x:c r="T67" s="48" t="str">
        <x:v>2021_2023:N=6,p=1.000; 2024_2026:N=7,p=1.000</x:v>
      </x:c>
      <x:c r="U67" s="48" t="str">
        <x:v>Maximum-minus-minimum prevalence among adequately observed groups is no more than 0.15.</x:v>
      </x:c>
      <x:c r="V67" s="48" t="str">
        <x:v>At least 5 observable manager families in at least 2 driver groups</x:v>
      </x:c>
      <x:c r="W67" s="48" t="str">
        <x:v>&gt;=0.35 separates; &lt;=0.15 does not separate; intermediate is inconclusive/confounded; direct driver-definition tests are CIRCULAR</x:v>
      </x:c>
      <x:c r="X67" s="48" t="str">
        <x:v>MANAGER_SELF_DESCRIPTION; NOT BEHAVIOURAL FREQUENCY</x:v>
      </x:c>
    </x:row>
    <x:row r="68">
      <x:c r="A68" s="48" t="str">
        <x:v>B_GOVERNANCE_SEGMENTATION</x:v>
      </x:c>
      <x:c r="B68" s="48" t="str">
        <x:v>Tier B v1.1 - N=29 rerun</x:v>
      </x:c>
      <x:c r="C68" s="48" t="str">
        <x:v>2026-07-16</x:v>
      </x:c>
      <x:c r="D68" s="48" t="str">
        <x:v>G04</x:v>
      </x:c>
      <x:c r="E68" s="48" t="str">
        <x:v>GATING_DECISION</x:v>
      </x:c>
      <x:c r="F68" s="48" t="str">
        <x:v>Formal LOI or term-sheet authority</x:v>
      </x:c>
      <x:c r="G68" s="48" t="str">
        <x:v>source_vintage_bin</x:v>
      </x:c>
      <x:c r="H68" s="48" t="str">
        <x:v>2021_2023</x:v>
      </x:c>
      <x:c r="I68" s="48" t="str">
        <x:v>11</x:v>
      </x:c>
      <x:c r="J68" s="48" t="str">
        <x:v>6</x:v>
      </x:c>
      <x:c r="K68" s="48" t="str">
        <x:v>5</x:v>
      </x:c>
      <x:c r="L68" s="48" t="str">
        <x:v>0</x:v>
      </x:c>
      <x:c r="M68" s="48" t="str">
        <x:v>6</x:v>
      </x:c>
      <x:c r="N68" s="48" t="str">
        <x:v>5</x:v>
      </x:c>
      <x:c r="O68" s="48" t="str">
        <x:v>0</x:v>
      </x:c>
      <x:c r="P68" s="48" t="str">
        <x:v>0</x:v>
      </x:c>
      <x:c r="Q68" s="48" t="str">
        <x:v>1.000</x:v>
      </x:c>
      <x:c r="R68" s="48" t="str">
        <x:v>DRIVER DOES NOT SEPARATE</x:v>
      </x:c>
      <x:c r="S68" s="48" t="str">
        <x:v>0.000</x:v>
      </x:c>
      <x:c r="T68" s="48" t="str">
        <x:v>2021_2023:N=6,p=1.000; 2024_2026:N=7,p=1.000</x:v>
      </x:c>
      <x:c r="U68" s="48" t="str">
        <x:v>Maximum-minus-minimum prevalence among adequately observed groups is no more than 0.15.</x:v>
      </x:c>
      <x:c r="V68" s="48" t="str">
        <x:v>At least 5 observable manager families in at least 2 driver groups</x:v>
      </x:c>
      <x:c r="W68" s="48" t="str">
        <x:v>&gt;=0.35 separates; &lt;=0.15 does not separate; intermediate is inconclusive/confounded; direct driver-definition tests are CIRCULAR</x:v>
      </x:c>
      <x:c r="X68" s="48" t="str">
        <x:v>MANAGER_SELF_DESCRIPTION; NOT BEHAVIOURAL FREQUENCY</x:v>
      </x:c>
    </x:row>
    <x:row r="69">
      <x:c r="A69" s="48" t="str">
        <x:v>B_GOVERNANCE_SEGMENTATION</x:v>
      </x:c>
      <x:c r="B69" s="48" t="str">
        <x:v>Tier B v1.1 - N=29 rerun</x:v>
      </x:c>
      <x:c r="C69" s="48" t="str">
        <x:v>2026-07-16</x:v>
      </x:c>
      <x:c r="D69" s="48" t="str">
        <x:v>G04</x:v>
      </x:c>
      <x:c r="E69" s="48" t="str">
        <x:v>GATING_DECISION</x:v>
      </x:c>
      <x:c r="F69" s="48" t="str">
        <x:v>Formal LOI or term-sheet authority</x:v>
      </x:c>
      <x:c r="G69" s="48" t="str">
        <x:v>source_vintage_bin</x:v>
      </x:c>
      <x:c r="H69" s="48" t="str">
        <x:v>2024_2026</x:v>
      </x:c>
      <x:c r="I69" s="48" t="str">
        <x:v>12</x:v>
      </x:c>
      <x:c r="J69" s="48" t="str">
        <x:v>7</x:v>
      </x:c>
      <x:c r="K69" s="48" t="str">
        <x:v>2</x:v>
      </x:c>
      <x:c r="L69" s="48" t="str">
        <x:v>0</x:v>
      </x:c>
      <x:c r="M69" s="48" t="str">
        <x:v>7</x:v>
      </x:c>
      <x:c r="N69" s="48" t="str">
        <x:v>5</x:v>
      </x:c>
      <x:c r="O69" s="48" t="str">
        <x:v>0</x:v>
      </x:c>
      <x:c r="P69" s="48" t="str">
        <x:v>0</x:v>
      </x:c>
      <x:c r="Q69" s="48" t="str">
        <x:v>1.000</x:v>
      </x:c>
      <x:c r="R69" s="48" t="str">
        <x:v>DRIVER DOES NOT SEPARATE</x:v>
      </x:c>
      <x:c r="S69" s="48" t="str">
        <x:v>0.000</x:v>
      </x:c>
      <x:c r="T69" s="48" t="str">
        <x:v>2021_2023:N=6,p=1.000; 2024_2026:N=7,p=1.000</x:v>
      </x:c>
      <x:c r="U69" s="48" t="str">
        <x:v>Maximum-minus-minimum prevalence among adequately observed groups is no more than 0.15.</x:v>
      </x:c>
      <x:c r="V69" s="48" t="str">
        <x:v>At least 5 observable manager families in at least 2 driver groups</x:v>
      </x:c>
      <x:c r="W69" s="48" t="str">
        <x:v>&gt;=0.35 separates; &lt;=0.15 does not separate; intermediate is inconclusive/confounded; direct driver-definition tests are CIRCULAR</x:v>
      </x:c>
      <x:c r="X69" s="48" t="str">
        <x:v>MANAGER_SELF_DESCRIPTION; NOT BEHAVIOURAL FREQUENCY</x:v>
      </x:c>
    </x:row>
    <x:row r="70">
      <x:c r="A70" s="48" t="str">
        <x:v>B_GOVERNANCE_SEGMENTATION</x:v>
      </x:c>
      <x:c r="B70" s="48" t="str">
        <x:v>Tier B v1.1 - N=29 rerun</x:v>
      </x:c>
      <x:c r="C70" s="48" t="str">
        <x:v>2026-07-16</x:v>
      </x:c>
      <x:c r="D70" s="48" t="str">
        <x:v>G04</x:v>
      </x:c>
      <x:c r="E70" s="48" t="str">
        <x:v>GATING_DECISION</x:v>
      </x:c>
      <x:c r="F70" s="48" t="str">
        <x:v>Formal LOI or term-sheet authority</x:v>
      </x:c>
      <x:c r="G70" s="48" t="str">
        <x:v>governance_architecture</x:v>
      </x:c>
      <x:c r="H70" s="48" t="str">
        <x:v>IC_FINAL_OR_DE_FACTO</x:v>
      </x:c>
      <x:c r="I70" s="48" t="str">
        <x:v>26</x:v>
      </x:c>
      <x:c r="J70" s="48" t="str">
        <x:v>12</x:v>
      </x:c>
      <x:c r="K70" s="48" t="str">
        <x:v>6</x:v>
      </x:c>
      <x:c r="L70" s="48" t="str">
        <x:v>0</x:v>
      </x:c>
      <x:c r="M70" s="48" t="str">
        <x:v>12</x:v>
      </x:c>
      <x:c r="N70" s="48" t="str">
        <x:v>14</x:v>
      </x:c>
      <x:c r="O70" s="48" t="str">
        <x:v>0</x:v>
      </x:c>
      <x:c r="P70" s="48" t="str">
        <x:v>0</x:v>
      </x:c>
      <x:c r="Q70" s="48" t="str">
        <x:v>1.000</x:v>
      </x:c>
      <x:c r="R70" s="48" t="str">
        <x:v>N TOO SMALL</x:v>
      </x:c>
      <x:c r="S70" s="48" t="str"/>
      <x:c r="T70" s="48" t="str">
        <x:v>IC_FINAL_OR_DE_FACTO:N=12,p=1.000</x:v>
      </x:c>
      <x:c r="U70" s="48" t="str">
        <x:v>Fewer than two driver groups have at least 5 observable manager families.</x:v>
      </x:c>
      <x:c r="V70" s="48" t="str">
        <x:v>At least 5 observable manager families in at least 2 driver groups</x:v>
      </x:c>
      <x:c r="W70" s="48" t="str">
        <x:v>&gt;=0.35 separates; &lt;=0.15 does not separate; intermediate is inconclusive/confounded; direct driver-definition tests are CIRCULAR</x:v>
      </x:c>
      <x:c r="X70" s="48" t="str">
        <x:v>MANAGER_SELF_DESCRIPTION; NOT BEHAVIOURAL FREQUENCY</x:v>
      </x:c>
    </x:row>
    <x:row r="71">
      <x:c r="A71" s="48" t="str">
        <x:v>B_GOVERNANCE_SEGMENTATION</x:v>
      </x:c>
      <x:c r="B71" s="48" t="str">
        <x:v>Tier B v1.1 - N=29 rerun</x:v>
      </x:c>
      <x:c r="C71" s="48" t="str">
        <x:v>2026-07-16</x:v>
      </x:c>
      <x:c r="D71" s="48" t="str">
        <x:v>G04</x:v>
      </x:c>
      <x:c r="E71" s="48" t="str">
        <x:v>GATING_DECISION</x:v>
      </x:c>
      <x:c r="F71" s="48" t="str">
        <x:v>Formal LOI or term-sheet authority</x:v>
      </x:c>
      <x:c r="G71" s="48" t="str">
        <x:v>governance_architecture</x:v>
      </x:c>
      <x:c r="H71" s="48" t="str">
        <x:v>IC_RECOMMENDS_SEPARATE_FINAL_AUTHORITY</x:v>
      </x:c>
      <x:c r="I71" s="48" t="str">
        <x:v>3</x:v>
      </x:c>
      <x:c r="J71" s="48" t="str">
        <x:v>3</x:v>
      </x:c>
      <x:c r="K71" s="48" t="str">
        <x:v>3</x:v>
      </x:c>
      <x:c r="L71" s="48" t="str">
        <x:v>0</x:v>
      </x:c>
      <x:c r="M71" s="48" t="str">
        <x:v>3</x:v>
      </x:c>
      <x:c r="N71" s="48" t="str">
        <x:v>0</x:v>
      </x:c>
      <x:c r="O71" s="48" t="str">
        <x:v>0</x:v>
      </x:c>
      <x:c r="P71" s="48" t="str">
        <x:v>0</x:v>
      </x:c>
      <x:c r="Q71" s="48" t="str">
        <x:v>1.000</x:v>
      </x:c>
      <x:c r="R71" s="48" t="str">
        <x:v>N TOO SMALL</x:v>
      </x:c>
      <x:c r="S71" s="48" t="str"/>
      <x:c r="T71" s="48" t="str">
        <x:v>IC_FINAL_OR_DE_FACTO:N=12,p=1.000</x:v>
      </x:c>
      <x:c r="U71" s="48" t="str">
        <x:v>Fewer than two driver groups have at least 5 observable manager families.</x:v>
      </x:c>
      <x:c r="V71" s="48" t="str">
        <x:v>At least 5 observable manager families in at least 2 driver groups</x:v>
      </x:c>
      <x:c r="W71" s="48" t="str">
        <x:v>&gt;=0.35 separates; &lt;=0.15 does not separate; intermediate is inconclusive/confounded; direct driver-definition tests are CIRCULAR</x:v>
      </x:c>
      <x:c r="X71" s="48" t="str">
        <x:v>MANAGER_SELF_DESCRIPTION; NOT BEHAVIOURAL FREQUENCY</x:v>
      </x:c>
    </x:row>
    <x:row r="72">
      <x:c r="A72" s="48" t="str">
        <x:v>B_GOVERNANCE_SEGMENTATION</x:v>
      </x:c>
      <x:c r="B72" s="48" t="str">
        <x:v>Tier B v1.1 - N=29 rerun</x:v>
      </x:c>
      <x:c r="C72" s="48" t="str">
        <x:v>2026-07-16</x:v>
      </x:c>
      <x:c r="D72" s="48" t="str">
        <x:v>G04</x:v>
      </x:c>
      <x:c r="E72" s="48" t="str">
        <x:v>GATING_DECISION</x:v>
      </x:c>
      <x:c r="F72" s="48" t="str">
        <x:v>Formal LOI or term-sheet authority</x:v>
      </x:c>
      <x:c r="G72" s="48" t="str">
        <x:v>dedicated_operating_team</x:v>
      </x:c>
      <x:c r="H72" s="48" t="str">
        <x:v>NO_OR_LIMITED</x:v>
      </x:c>
      <x:c r="I72" s="48" t="str">
        <x:v>6</x:v>
      </x:c>
      <x:c r="J72" s="48" t="str">
        <x:v>3</x:v>
      </x:c>
      <x:c r="K72" s="48" t="str">
        <x:v>2</x:v>
      </x:c>
      <x:c r="L72" s="48" t="str">
        <x:v>0</x:v>
      </x:c>
      <x:c r="M72" s="48" t="str">
        <x:v>3</x:v>
      </x:c>
      <x:c r="N72" s="48" t="str">
        <x:v>3</x:v>
      </x:c>
      <x:c r="O72" s="48" t="str">
        <x:v>0</x:v>
      </x:c>
      <x:c r="P72" s="48" t="str">
        <x:v>0</x:v>
      </x:c>
      <x:c r="Q72" s="48" t="str">
        <x:v>1.000</x:v>
      </x:c>
      <x:c r="R72" s="48" t="str">
        <x:v>N TOO SMALL</x:v>
      </x:c>
      <x:c r="S72" s="48" t="str"/>
      <x:c r="T72" s="48" t="str">
        <x:v>YES_DEDICATED:N=12,p=1.000</x:v>
      </x:c>
      <x:c r="U72" s="48" t="str">
        <x:v>Fewer than two driver groups have at least 5 observable manager families.</x:v>
      </x:c>
      <x:c r="V72" s="48" t="str">
        <x:v>At least 5 observable manager families in at least 2 driver groups</x:v>
      </x:c>
      <x:c r="W72" s="48" t="str">
        <x:v>&gt;=0.35 separates; &lt;=0.15 does not separate; intermediate is inconclusive/confounded; direct driver-definition tests are CIRCULAR</x:v>
      </x:c>
      <x:c r="X72" s="48" t="str">
        <x:v>MANAGER_SELF_DESCRIPTION; NOT BEHAVIOURAL FREQUENCY</x:v>
      </x:c>
    </x:row>
    <x:row r="73">
      <x:c r="A73" s="48" t="str">
        <x:v>B_GOVERNANCE_SEGMENTATION</x:v>
      </x:c>
      <x:c r="B73" s="48" t="str">
        <x:v>Tier B v1.1 - N=29 rerun</x:v>
      </x:c>
      <x:c r="C73" s="48" t="str">
        <x:v>2026-07-16</x:v>
      </x:c>
      <x:c r="D73" s="48" t="str">
        <x:v>G04</x:v>
      </x:c>
      <x:c r="E73" s="48" t="str">
        <x:v>GATING_DECISION</x:v>
      </x:c>
      <x:c r="F73" s="48" t="str">
        <x:v>Formal LOI or term-sheet authority</x:v>
      </x:c>
      <x:c r="G73" s="48" t="str">
        <x:v>dedicated_operating_team</x:v>
      </x:c>
      <x:c r="H73" s="48" t="str">
        <x:v>YES_DEDICATED</x:v>
      </x:c>
      <x:c r="I73" s="48" t="str">
        <x:v>23</x:v>
      </x:c>
      <x:c r="J73" s="48" t="str">
        <x:v>12</x:v>
      </x:c>
      <x:c r="K73" s="48" t="str">
        <x:v>7</x:v>
      </x:c>
      <x:c r="L73" s="48" t="str">
        <x:v>0</x:v>
      </x:c>
      <x:c r="M73" s="48" t="str">
        <x:v>12</x:v>
      </x:c>
      <x:c r="N73" s="48" t="str">
        <x:v>11</x:v>
      </x:c>
      <x:c r="O73" s="48" t="str">
        <x:v>0</x:v>
      </x:c>
      <x:c r="P73" s="48" t="str">
        <x:v>0</x:v>
      </x:c>
      <x:c r="Q73" s="48" t="str">
        <x:v>1.000</x:v>
      </x:c>
      <x:c r="R73" s="48" t="str">
        <x:v>N TOO SMALL</x:v>
      </x:c>
      <x:c r="S73" s="48" t="str"/>
      <x:c r="T73" s="48" t="str">
        <x:v>YES_DEDICATED:N=12,p=1.000</x:v>
      </x:c>
      <x:c r="U73" s="48" t="str">
        <x:v>Fewer than two driver groups have at least 5 observable manager families.</x:v>
      </x:c>
      <x:c r="V73" s="48" t="str">
        <x:v>At least 5 observable manager families in at least 2 driver groups</x:v>
      </x:c>
      <x:c r="W73" s="48" t="str">
        <x:v>&gt;=0.35 separates; &lt;=0.15 does not separate; intermediate is inconclusive/confounded; direct driver-definition tests are CIRCULAR</x:v>
      </x:c>
      <x:c r="X73" s="48" t="str">
        <x:v>MANAGER_SELF_DESCRIPTION; NOT BEHAVIOURAL FREQUENCY</x:v>
      </x:c>
    </x:row>
    <x:row r="74">
      <x:c r="A74" s="48" t="str">
        <x:v>B_GOVERNANCE_SEGMENTATION</x:v>
      </x:c>
      <x:c r="B74" s="48" t="str">
        <x:v>Tier B v1.1 - N=29 rerun</x:v>
      </x:c>
      <x:c r="C74" s="48" t="str">
        <x:v>2026-07-16</x:v>
      </x:c>
      <x:c r="D74" s="48" t="str">
        <x:v>G05</x:v>
      </x:c>
      <x:c r="E74" s="48" t="str">
        <x:v>GATING_DECISION</x:v>
      </x:c>
      <x:c r="F74" s="48" t="str">
        <x:v>Interim or conditional approval stage</x:v>
      </x:c>
      <x:c r="G74" s="48" t="str">
        <x:v>fund_size_archetype</x:v>
      </x:c>
      <x:c r="H74" s="48" t="str">
        <x:v>LARGE_2_TO_LT_5B</x:v>
      </x:c>
      <x:c r="I74" s="48" t="str">
        <x:v>9</x:v>
      </x:c>
      <x:c r="J74" s="48" t="str">
        <x:v>8</x:v>
      </x:c>
      <x:c r="K74" s="48" t="str">
        <x:v>0</x:v>
      </x:c>
      <x:c r="L74" s="48" t="str">
        <x:v>1</x:v>
      </x:c>
      <x:c r="M74" s="48" t="str">
        <x:v>9</x:v>
      </x:c>
      <x:c r="N74" s="48" t="str">
        <x:v>0</x:v>
      </x:c>
      <x:c r="O74" s="48" t="str">
        <x:v>0</x:v>
      </x:c>
      <x:c r="P74" s="48" t="str">
        <x:v>0</x:v>
      </x:c>
      <x:c r="Q74" s="48" t="str">
        <x:v>0.889</x:v>
      </x:c>
      <x:c r="R74" s="48" t="str">
        <x:v>DRIVER DOES NOT SEPARATE</x:v>
      </x:c>
      <x:c r="S74" s="48" t="str">
        <x:v>0.111</x:v>
      </x:c>
      <x:c r="T74" s="48" t="str">
        <x:v>LARGE_2_TO_LT_5B:N=9,p=0.889; LOWER_MID_LT_2B:N=8,p=1.000; MEGA_GE_5B:N=11,p=0.909</x:v>
      </x:c>
      <x:c r="U74" s="48" t="str">
        <x:v>Maximum-minus-minimum prevalence among adequately observed groups is no more than 0.15.</x:v>
      </x:c>
      <x:c r="V74" s="48" t="str">
        <x:v>At least 5 observable manager families in at least 2 driver groups</x:v>
      </x:c>
      <x:c r="W74" s="48" t="str">
        <x:v>&gt;=0.35 separates; &lt;=0.15 does not separate; intermediate is inconclusive/confounded; direct driver-definition tests are CIRCULAR</x:v>
      </x:c>
      <x:c r="X74" s="48" t="str">
        <x:v>MANAGER_SELF_DESCRIPTION; NOT BEHAVIOURAL FREQUENCY</x:v>
      </x:c>
    </x:row>
    <x:row r="75">
      <x:c r="A75" s="48" t="str">
        <x:v>B_GOVERNANCE_SEGMENTATION</x:v>
      </x:c>
      <x:c r="B75" s="48" t="str">
        <x:v>Tier B v1.1 - N=29 rerun</x:v>
      </x:c>
      <x:c r="C75" s="48" t="str">
        <x:v>2026-07-16</x:v>
      </x:c>
      <x:c r="D75" s="48" t="str">
        <x:v>G05</x:v>
      </x:c>
      <x:c r="E75" s="48" t="str">
        <x:v>GATING_DECISION</x:v>
      </x:c>
      <x:c r="F75" s="48" t="str">
        <x:v>Interim or conditional approval stage</x:v>
      </x:c>
      <x:c r="G75" s="48" t="str">
        <x:v>fund_size_archetype</x:v>
      </x:c>
      <x:c r="H75" s="48" t="str">
        <x:v>LOWER_MID_LT_2B</x:v>
      </x:c>
      <x:c r="I75" s="48" t="str">
        <x:v>8</x:v>
      </x:c>
      <x:c r="J75" s="48" t="str">
        <x:v>8</x:v>
      </x:c>
      <x:c r="K75" s="48" t="str">
        <x:v>1</x:v>
      </x:c>
      <x:c r="L75" s="48" t="str">
        <x:v>0</x:v>
      </x:c>
      <x:c r="M75" s="48" t="str">
        <x:v>8</x:v>
      </x:c>
      <x:c r="N75" s="48" t="str">
        <x:v>0</x:v>
      </x:c>
      <x:c r="O75" s="48" t="str">
        <x:v>0</x:v>
      </x:c>
      <x:c r="P75" s="48" t="str">
        <x:v>0</x:v>
      </x:c>
      <x:c r="Q75" s="48" t="str">
        <x:v>1.000</x:v>
      </x:c>
      <x:c r="R75" s="48" t="str">
        <x:v>DRIVER DOES NOT SEPARATE</x:v>
      </x:c>
      <x:c r="S75" s="48" t="str">
        <x:v>0.111</x:v>
      </x:c>
      <x:c r="T75" s="48" t="str">
        <x:v>LARGE_2_TO_LT_5B:N=9,p=0.889; LOWER_MID_LT_2B:N=8,p=1.000; MEGA_GE_5B:N=11,p=0.909</x:v>
      </x:c>
      <x:c r="U75" s="48" t="str">
        <x:v>Maximum-minus-minimum prevalence among adequately observed groups is no more than 0.15.</x:v>
      </x:c>
      <x:c r="V75" s="48" t="str">
        <x:v>At least 5 observable manager families in at least 2 driver groups</x:v>
      </x:c>
      <x:c r="W75" s="48" t="str">
        <x:v>&gt;=0.35 separates; &lt;=0.15 does not separate; intermediate is inconclusive/confounded; direct driver-definition tests are CIRCULAR</x:v>
      </x:c>
      <x:c r="X75" s="48" t="str">
        <x:v>MANAGER_SELF_DESCRIPTION; NOT BEHAVIOURAL FREQUENCY</x:v>
      </x:c>
    </x:row>
    <x:row r="76">
      <x:c r="A76" s="48" t="str">
        <x:v>B_GOVERNANCE_SEGMENTATION</x:v>
      </x:c>
      <x:c r="B76" s="48" t="str">
        <x:v>Tier B v1.1 - N=29 rerun</x:v>
      </x:c>
      <x:c r="C76" s="48" t="str">
        <x:v>2026-07-16</x:v>
      </x:c>
      <x:c r="D76" s="48" t="str">
        <x:v>G05</x:v>
      </x:c>
      <x:c r="E76" s="48" t="str">
        <x:v>GATING_DECISION</x:v>
      </x:c>
      <x:c r="F76" s="48" t="str">
        <x:v>Interim or conditional approval stage</x:v>
      </x:c>
      <x:c r="G76" s="48" t="str">
        <x:v>fund_size_archetype</x:v>
      </x:c>
      <x:c r="H76" s="48" t="str">
        <x:v>MEGA_GE_5B</x:v>
      </x:c>
      <x:c r="I76" s="48" t="str">
        <x:v>11</x:v>
      </x:c>
      <x:c r="J76" s="48" t="str">
        <x:v>10</x:v>
      </x:c>
      <x:c r="K76" s="48" t="str">
        <x:v>1</x:v>
      </x:c>
      <x:c r="L76" s="48" t="str">
        <x:v>1</x:v>
      </x:c>
      <x:c r="M76" s="48" t="str">
        <x:v>11</x:v>
      </x:c>
      <x:c r="N76" s="48" t="str">
        <x:v>0</x:v>
      </x:c>
      <x:c r="O76" s="48" t="str">
        <x:v>0</x:v>
      </x:c>
      <x:c r="P76" s="48" t="str">
        <x:v>0</x:v>
      </x:c>
      <x:c r="Q76" s="48" t="str">
        <x:v>0.909</x:v>
      </x:c>
      <x:c r="R76" s="48" t="str">
        <x:v>DRIVER DOES NOT SEPARATE</x:v>
      </x:c>
      <x:c r="S76" s="48" t="str">
        <x:v>0.111</x:v>
      </x:c>
      <x:c r="T76" s="48" t="str">
        <x:v>LARGE_2_TO_LT_5B:N=9,p=0.889; LOWER_MID_LT_2B:N=8,p=1.000; MEGA_GE_5B:N=11,p=0.909</x:v>
      </x:c>
      <x:c r="U76" s="48" t="str">
        <x:v>Maximum-minus-minimum prevalence among adequately observed groups is no more than 0.15.</x:v>
      </x:c>
      <x:c r="V76" s="48" t="str">
        <x:v>At least 5 observable manager families in at least 2 driver groups</x:v>
      </x:c>
      <x:c r="W76" s="48" t="str">
        <x:v>&gt;=0.35 separates; &lt;=0.15 does not separate; intermediate is inconclusive/confounded; direct driver-definition tests are CIRCULAR</x:v>
      </x:c>
      <x:c r="X76" s="48" t="str">
        <x:v>MANAGER_SELF_DESCRIPTION; NOT BEHAVIOURAL FREQUENCY</x:v>
      </x:c>
    </x:row>
    <x:row r="77">
      <x:c r="A77" s="48" t="str">
        <x:v>B_GOVERNANCE_SEGMENTATION</x:v>
      </x:c>
      <x:c r="B77" s="48" t="str">
        <x:v>Tier B v1.1 - N=29 rerun</x:v>
      </x:c>
      <x:c r="C77" s="48" t="str">
        <x:v>2026-07-16</x:v>
      </x:c>
      <x:c r="D77" s="48" t="str">
        <x:v>G05</x:v>
      </x:c>
      <x:c r="E77" s="48" t="str">
        <x:v>GATING_DECISION</x:v>
      </x:c>
      <x:c r="F77" s="48" t="str">
        <x:v>Interim or conditional approval stage</x:v>
      </x:c>
      <x:c r="G77" s="48" t="str">
        <x:v>fund_size_archetype</x:v>
      </x:c>
      <x:c r="H77" s="48" t="str">
        <x:v>NOT_APPLICABLE</x:v>
      </x:c>
      <x:c r="I77" s="48" t="str">
        <x:v>1</x:v>
      </x:c>
      <x:c r="J77" s="48" t="str">
        <x:v>1</x:v>
      </x:c>
      <x:c r="K77" s="48" t="str">
        <x:v>0</x:v>
      </x:c>
      <x:c r="L77" s="48" t="str">
        <x:v>0</x:v>
      </x:c>
      <x:c r="M77" s="48" t="str">
        <x:v>1</x:v>
      </x:c>
      <x:c r="N77" s="48" t="str">
        <x:v>0</x:v>
      </x:c>
      <x:c r="O77" s="48" t="str">
        <x:v>0</x:v>
      </x:c>
      <x:c r="P77" s="48" t="str">
        <x:v>0</x:v>
      </x:c>
      <x:c r="Q77" s="48" t="str">
        <x:v>1.000</x:v>
      </x:c>
      <x:c r="R77" s="48" t="str">
        <x:v>DRIVER DOES NOT SEPARATE</x:v>
      </x:c>
      <x:c r="S77" s="48" t="str">
        <x:v>0.111</x:v>
      </x:c>
      <x:c r="T77" s="48" t="str">
        <x:v>LARGE_2_TO_LT_5B:N=9,p=0.889; LOWER_MID_LT_2B:N=8,p=1.000; MEGA_GE_5B:N=11,p=0.909</x:v>
      </x:c>
      <x:c r="U77" s="48" t="str">
        <x:v>Maximum-minus-minimum prevalence among adequately observed groups is no more than 0.15.</x:v>
      </x:c>
      <x:c r="V77" s="48" t="str">
        <x:v>At least 5 observable manager families in at least 2 driver groups</x:v>
      </x:c>
      <x:c r="W77" s="48" t="str">
        <x:v>&gt;=0.35 separates; &lt;=0.15 does not separate; intermediate is inconclusive/confounded; direct driver-definition tests are CIRCULAR</x:v>
      </x:c>
      <x:c r="X77" s="48" t="str">
        <x:v>MANAGER_SELF_DESCRIPTION; NOT BEHAVIOURAL FREQUENCY</x:v>
      </x:c>
    </x:row>
    <x:row r="78">
      <x:c r="A78" s="48" t="str">
        <x:v>B_GOVERNANCE_SEGMENTATION</x:v>
      </x:c>
      <x:c r="B78" s="48" t="str">
        <x:v>Tier B v1.1 - N=29 rerun</x:v>
      </x:c>
      <x:c r="C78" s="48" t="str">
        <x:v>2026-07-16</x:v>
      </x:c>
      <x:c r="D78" s="48" t="str">
        <x:v>G05</x:v>
      </x:c>
      <x:c r="E78" s="48" t="str">
        <x:v>GATING_DECISION</x:v>
      </x:c>
      <x:c r="F78" s="48" t="str">
        <x:v>Interim or conditional approval stage</x:v>
      </x:c>
      <x:c r="G78" s="48" t="str">
        <x:v>strategy</x:v>
      </x:c>
      <x:c r="H78" s="48" t="str">
        <x:v>CONTROL_BUYOUT</x:v>
      </x:c>
      <x:c r="I78" s="48" t="str">
        <x:v>22</x:v>
      </x:c>
      <x:c r="J78" s="48" t="str">
        <x:v>20</x:v>
      </x:c>
      <x:c r="K78" s="48" t="str">
        <x:v>0</x:v>
      </x:c>
      <x:c r="L78" s="48" t="str">
        <x:v>2</x:v>
      </x:c>
      <x:c r="M78" s="48" t="str">
        <x:v>22</x:v>
      </x:c>
      <x:c r="N78" s="48" t="str">
        <x:v>0</x:v>
      </x:c>
      <x:c r="O78" s="48" t="str">
        <x:v>0</x:v>
      </x:c>
      <x:c r="P78" s="48" t="str">
        <x:v>0</x:v>
      </x:c>
      <x:c r="Q78" s="48" t="str">
        <x:v>0.909</x:v>
      </x:c>
      <x:c r="R78" s="48" t="str">
        <x:v>DRIVER DOES NOT SEPARATE</x:v>
      </x:c>
      <x:c r="S78" s="48" t="str">
        <x:v>0.091</x:v>
      </x:c>
      <x:c r="T78" s="48" t="str">
        <x:v>CONTROL_BUYOUT:N=22,p=0.909; GROWTH_CONTROL_HYBRID:N=6,p=1.000</x:v>
      </x:c>
      <x:c r="U78" s="48" t="str">
        <x:v>Maximum-minus-minimum prevalence among adequately observed groups is no more than 0.15.</x:v>
      </x:c>
      <x:c r="V78" s="48" t="str">
        <x:v>At least 5 observable manager families in at least 2 driver groups</x:v>
      </x:c>
      <x:c r="W78" s="48" t="str">
        <x:v>&gt;=0.35 separates; &lt;=0.15 does not separate; intermediate is inconclusive/confounded; direct driver-definition tests are CIRCULAR</x:v>
      </x:c>
      <x:c r="X78" s="48" t="str">
        <x:v>MANAGER_SELF_DESCRIPTION; NOT BEHAVIOURAL FREQUENCY</x:v>
      </x:c>
    </x:row>
    <x:row r="79">
      <x:c r="A79" s="48" t="str">
        <x:v>B_GOVERNANCE_SEGMENTATION</x:v>
      </x:c>
      <x:c r="B79" s="48" t="str">
        <x:v>Tier B v1.1 - N=29 rerun</x:v>
      </x:c>
      <x:c r="C79" s="48" t="str">
        <x:v>2026-07-16</x:v>
      </x:c>
      <x:c r="D79" s="48" t="str">
        <x:v>G05</x:v>
      </x:c>
      <x:c r="E79" s="48" t="str">
        <x:v>GATING_DECISION</x:v>
      </x:c>
      <x:c r="F79" s="48" t="str">
        <x:v>Interim or conditional approval stage</x:v>
      </x:c>
      <x:c r="G79" s="48" t="str">
        <x:v>strategy</x:v>
      </x:c>
      <x:c r="H79" s="48" t="str">
        <x:v>GROWTH_CONTROL_HYBRID</x:v>
      </x:c>
      <x:c r="I79" s="48" t="str">
        <x:v>6</x:v>
      </x:c>
      <x:c r="J79" s="48" t="str">
        <x:v>6</x:v>
      </x:c>
      <x:c r="K79" s="48" t="str">
        <x:v>2</x:v>
      </x:c>
      <x:c r="L79" s="48" t="str">
        <x:v>0</x:v>
      </x:c>
      <x:c r="M79" s="48" t="str">
        <x:v>6</x:v>
      </x:c>
      <x:c r="N79" s="48" t="str">
        <x:v>0</x:v>
      </x:c>
      <x:c r="O79" s="48" t="str">
        <x:v>0</x:v>
      </x:c>
      <x:c r="P79" s="48" t="str">
        <x:v>0</x:v>
      </x:c>
      <x:c r="Q79" s="48" t="str">
        <x:v>1.000</x:v>
      </x:c>
      <x:c r="R79" s="48" t="str">
        <x:v>DRIVER DOES NOT SEPARATE</x:v>
      </x:c>
      <x:c r="S79" s="48" t="str">
        <x:v>0.091</x:v>
      </x:c>
      <x:c r="T79" s="48" t="str">
        <x:v>CONTROL_BUYOUT:N=22,p=0.909; GROWTH_CONTROL_HYBRID:N=6,p=1.000</x:v>
      </x:c>
      <x:c r="U79" s="48" t="str">
        <x:v>Maximum-minus-minimum prevalence among adequately observed groups is no more than 0.15.</x:v>
      </x:c>
      <x:c r="V79" s="48" t="str">
        <x:v>At least 5 observable manager families in at least 2 driver groups</x:v>
      </x:c>
      <x:c r="W79" s="48" t="str">
        <x:v>&gt;=0.35 separates; &lt;=0.15 does not separate; intermediate is inconclusive/confounded; direct driver-definition tests are CIRCULAR</x:v>
      </x:c>
      <x:c r="X79" s="48" t="str">
        <x:v>MANAGER_SELF_DESCRIPTION; NOT BEHAVIOURAL FREQUENCY</x:v>
      </x:c>
    </x:row>
    <x:row r="80">
      <x:c r="A80" s="48" t="str">
        <x:v>B_GOVERNANCE_SEGMENTATION</x:v>
      </x:c>
      <x:c r="B80" s="48" t="str">
        <x:v>Tier B v1.1 - N=29 rerun</x:v>
      </x:c>
      <x:c r="C80" s="48" t="str">
        <x:v>2026-07-16</x:v>
      </x:c>
      <x:c r="D80" s="48" t="str">
        <x:v>G05</x:v>
      </x:c>
      <x:c r="E80" s="48" t="str">
        <x:v>GATING_DECISION</x:v>
      </x:c>
      <x:c r="F80" s="48" t="str">
        <x:v>Interim or conditional approval stage</x:v>
      </x:c>
      <x:c r="G80" s="48" t="str">
        <x:v>strategy</x:v>
      </x:c>
      <x:c r="H80" s="48" t="str">
        <x:v>OPPORTUNISTIC_CONTROL</x:v>
      </x:c>
      <x:c r="I80" s="48" t="str">
        <x:v>1</x:v>
      </x:c>
      <x:c r="J80" s="48" t="str">
        <x:v>1</x:v>
      </x:c>
      <x:c r="K80" s="48" t="str">
        <x:v>0</x:v>
      </x:c>
      <x:c r="L80" s="48" t="str">
        <x:v>0</x:v>
      </x:c>
      <x:c r="M80" s="48" t="str">
        <x:v>1</x:v>
      </x:c>
      <x:c r="N80" s="48" t="str">
        <x:v>0</x:v>
      </x:c>
      <x:c r="O80" s="48" t="str">
        <x:v>0</x:v>
      </x:c>
      <x:c r="P80" s="48" t="str">
        <x:v>0</x:v>
      </x:c>
      <x:c r="Q80" s="48" t="str">
        <x:v>1.000</x:v>
      </x:c>
      <x:c r="R80" s="48" t="str">
        <x:v>DRIVER DOES NOT SEPARATE</x:v>
      </x:c>
      <x:c r="S80" s="48" t="str">
        <x:v>0.091</x:v>
      </x:c>
      <x:c r="T80" s="48" t="str">
        <x:v>CONTROL_BUYOUT:N=22,p=0.909; GROWTH_CONTROL_HYBRID:N=6,p=1.000</x:v>
      </x:c>
      <x:c r="U80" s="48" t="str">
        <x:v>Maximum-minus-minimum prevalence among adequately observed groups is no more than 0.15.</x:v>
      </x:c>
      <x:c r="V80" s="48" t="str">
        <x:v>At least 5 observable manager families in at least 2 driver groups</x:v>
      </x:c>
      <x:c r="W80" s="48" t="str">
        <x:v>&gt;=0.35 separates; &lt;=0.15 does not separate; intermediate is inconclusive/confounded; direct driver-definition tests are CIRCULAR</x:v>
      </x:c>
      <x:c r="X80" s="48" t="str">
        <x:v>MANAGER_SELF_DESCRIPTION; NOT BEHAVIOURAL FREQUENCY</x:v>
      </x:c>
    </x:row>
    <x:row r="81">
      <x:c r="A81" s="48" t="str">
        <x:v>B_GOVERNANCE_SEGMENTATION</x:v>
      </x:c>
      <x:c r="B81" s="48" t="str">
        <x:v>Tier B v1.1 - N=29 rerun</x:v>
      </x:c>
      <x:c r="C81" s="48" t="str">
        <x:v>2026-07-16</x:v>
      </x:c>
      <x:c r="D81" s="48" t="str">
        <x:v>G05</x:v>
      </x:c>
      <x:c r="E81" s="48" t="str">
        <x:v>GATING_DECISION</x:v>
      </x:c>
      <x:c r="F81" s="48" t="str">
        <x:v>Interim or conditional approval stage</x:v>
      </x:c>
      <x:c r="G81" s="48" t="str">
        <x:v>geography</x:v>
      </x:c>
      <x:c r="H81" s="48" t="str">
        <x:v>ASIA_PACIFIC</x:v>
      </x:c>
      <x:c r="I81" s="48" t="str">
        <x:v>4</x:v>
      </x:c>
      <x:c r="J81" s="48" t="str">
        <x:v>4</x:v>
      </x:c>
      <x:c r="K81" s="48" t="str">
        <x:v>0</x:v>
      </x:c>
      <x:c r="L81" s="48" t="str">
        <x:v>0</x:v>
      </x:c>
      <x:c r="M81" s="48" t="str">
        <x:v>4</x:v>
      </x:c>
      <x:c r="N81" s="48" t="str">
        <x:v>0</x:v>
      </x:c>
      <x:c r="O81" s="48" t="str">
        <x:v>0</x:v>
      </x:c>
      <x:c r="P81" s="48" t="str">
        <x:v>0</x:v>
      </x:c>
      <x:c r="Q81" s="48" t="str">
        <x:v>1.000</x:v>
      </x:c>
      <x:c r="R81" s="48" t="str">
        <x:v>DRIVER DOES NOT SEPARATE</x:v>
      </x:c>
      <x:c r="S81" s="48" t="str">
        <x:v>0.023</x:v>
      </x:c>
      <x:c r="T81" s="48" t="str">
        <x:v>GLOBAL_TRANSATLANTIC:N=10,p=0.900; NORTH_AMERICA:N=13,p=0.923</x:v>
      </x:c>
      <x:c r="U81" s="48" t="str">
        <x:v>Maximum-minus-minimum prevalence among adequately observed groups is no more than 0.15.</x:v>
      </x:c>
      <x:c r="V81" s="48" t="str">
        <x:v>At least 5 observable manager families in at least 2 driver groups</x:v>
      </x:c>
      <x:c r="W81" s="48" t="str">
        <x:v>&gt;=0.35 separates; &lt;=0.15 does not separate; intermediate is inconclusive/confounded; direct driver-definition tests are CIRCULAR</x:v>
      </x:c>
      <x:c r="X81" s="48" t="str">
        <x:v>MANAGER_SELF_DESCRIPTION; NOT BEHAVIOURAL FREQUENCY</x:v>
      </x:c>
    </x:row>
    <x:row r="82">
      <x:c r="A82" s="48" t="str">
        <x:v>B_GOVERNANCE_SEGMENTATION</x:v>
      </x:c>
      <x:c r="B82" s="48" t="str">
        <x:v>Tier B v1.1 - N=29 rerun</x:v>
      </x:c>
      <x:c r="C82" s="48" t="str">
        <x:v>2026-07-16</x:v>
      </x:c>
      <x:c r="D82" s="48" t="str">
        <x:v>G05</x:v>
      </x:c>
      <x:c r="E82" s="48" t="str">
        <x:v>GATING_DECISION</x:v>
      </x:c>
      <x:c r="F82" s="48" t="str">
        <x:v>Interim or conditional approval stage</x:v>
      </x:c>
      <x:c r="G82" s="48" t="str">
        <x:v>geography</x:v>
      </x:c>
      <x:c r="H82" s="48" t="str">
        <x:v>EUROPE</x:v>
      </x:c>
      <x:c r="I82" s="48" t="str">
        <x:v>2</x:v>
      </x:c>
      <x:c r="J82" s="48" t="str">
        <x:v>2</x:v>
      </x:c>
      <x:c r="K82" s="48" t="str">
        <x:v>0</x:v>
      </x:c>
      <x:c r="L82" s="48" t="str">
        <x:v>0</x:v>
      </x:c>
      <x:c r="M82" s="48" t="str">
        <x:v>2</x:v>
      </x:c>
      <x:c r="N82" s="48" t="str">
        <x:v>0</x:v>
      </x:c>
      <x:c r="O82" s="48" t="str">
        <x:v>0</x:v>
      </x:c>
      <x:c r="P82" s="48" t="str">
        <x:v>0</x:v>
      </x:c>
      <x:c r="Q82" s="48" t="str">
        <x:v>1.000</x:v>
      </x:c>
      <x:c r="R82" s="48" t="str">
        <x:v>DRIVER DOES NOT SEPARATE</x:v>
      </x:c>
      <x:c r="S82" s="48" t="str">
        <x:v>0.023</x:v>
      </x:c>
      <x:c r="T82" s="48" t="str">
        <x:v>GLOBAL_TRANSATLANTIC:N=10,p=0.900; NORTH_AMERICA:N=13,p=0.923</x:v>
      </x:c>
      <x:c r="U82" s="48" t="str">
        <x:v>Maximum-minus-minimum prevalence among adequately observed groups is no more than 0.15.</x:v>
      </x:c>
      <x:c r="V82" s="48" t="str">
        <x:v>At least 5 observable manager families in at least 2 driver groups</x:v>
      </x:c>
      <x:c r="W82" s="48" t="str">
        <x:v>&gt;=0.35 separates; &lt;=0.15 does not separate; intermediate is inconclusive/confounded; direct driver-definition tests are CIRCULAR</x:v>
      </x:c>
      <x:c r="X82" s="48" t="str">
        <x:v>MANAGER_SELF_DESCRIPTION; NOT BEHAVIOURAL FREQUENCY</x:v>
      </x:c>
    </x:row>
    <x:row r="83">
      <x:c r="A83" s="48" t="str">
        <x:v>B_GOVERNANCE_SEGMENTATION</x:v>
      </x:c>
      <x:c r="B83" s="48" t="str">
        <x:v>Tier B v1.1 - N=29 rerun</x:v>
      </x:c>
      <x:c r="C83" s="48" t="str">
        <x:v>2026-07-16</x:v>
      </x:c>
      <x:c r="D83" s="48" t="str">
        <x:v>G05</x:v>
      </x:c>
      <x:c r="E83" s="48" t="str">
        <x:v>GATING_DECISION</x:v>
      </x:c>
      <x:c r="F83" s="48" t="str">
        <x:v>Interim or conditional approval stage</x:v>
      </x:c>
      <x:c r="G83" s="48" t="str">
        <x:v>geography</x:v>
      </x:c>
      <x:c r="H83" s="48" t="str">
        <x:v>GLOBAL_TRANSATLANTIC</x:v>
      </x:c>
      <x:c r="I83" s="48" t="str">
        <x:v>10</x:v>
      </x:c>
      <x:c r="J83" s="48" t="str">
        <x:v>9</x:v>
      </x:c>
      <x:c r="K83" s="48" t="str">
        <x:v>1</x:v>
      </x:c>
      <x:c r="L83" s="48" t="str">
        <x:v>1</x:v>
      </x:c>
      <x:c r="M83" s="48" t="str">
        <x:v>10</x:v>
      </x:c>
      <x:c r="N83" s="48" t="str">
        <x:v>0</x:v>
      </x:c>
      <x:c r="O83" s="48" t="str">
        <x:v>0</x:v>
      </x:c>
      <x:c r="P83" s="48" t="str">
        <x:v>0</x:v>
      </x:c>
      <x:c r="Q83" s="48" t="str">
        <x:v>0.900</x:v>
      </x:c>
      <x:c r="R83" s="48" t="str">
        <x:v>DRIVER DOES NOT SEPARATE</x:v>
      </x:c>
      <x:c r="S83" s="48" t="str">
        <x:v>0.023</x:v>
      </x:c>
      <x:c r="T83" s="48" t="str">
        <x:v>GLOBAL_TRANSATLANTIC:N=10,p=0.900; NORTH_AMERICA:N=13,p=0.923</x:v>
      </x:c>
      <x:c r="U83" s="48" t="str">
        <x:v>Maximum-minus-minimum prevalence among adequately observed groups is no more than 0.15.</x:v>
      </x:c>
      <x:c r="V83" s="48" t="str">
        <x:v>At least 5 observable manager families in at least 2 driver groups</x:v>
      </x:c>
      <x:c r="W83" s="48" t="str">
        <x:v>&gt;=0.35 separates; &lt;=0.15 does not separate; intermediate is inconclusive/confounded; direct driver-definition tests are CIRCULAR</x:v>
      </x:c>
      <x:c r="X83" s="48" t="str">
        <x:v>MANAGER_SELF_DESCRIPTION; NOT BEHAVIOURAL FREQUENCY</x:v>
      </x:c>
    </x:row>
    <x:row r="84">
      <x:c r="A84" s="48" t="str">
        <x:v>B_GOVERNANCE_SEGMENTATION</x:v>
      </x:c>
      <x:c r="B84" s="48" t="str">
        <x:v>Tier B v1.1 - N=29 rerun</x:v>
      </x:c>
      <x:c r="C84" s="48" t="str">
        <x:v>2026-07-16</x:v>
      </x:c>
      <x:c r="D84" s="48" t="str">
        <x:v>G05</x:v>
      </x:c>
      <x:c r="E84" s="48" t="str">
        <x:v>GATING_DECISION</x:v>
      </x:c>
      <x:c r="F84" s="48" t="str">
        <x:v>Interim or conditional approval stage</x:v>
      </x:c>
      <x:c r="G84" s="48" t="str">
        <x:v>geography</x:v>
      </x:c>
      <x:c r="H84" s="48" t="str">
        <x:v>NORTH_AMERICA</x:v>
      </x:c>
      <x:c r="I84" s="48" t="str">
        <x:v>13</x:v>
      </x:c>
      <x:c r="J84" s="48" t="str">
        <x:v>12</x:v>
      </x:c>
      <x:c r="K84" s="48" t="str">
        <x:v>1</x:v>
      </x:c>
      <x:c r="L84" s="48" t="str">
        <x:v>1</x:v>
      </x:c>
      <x:c r="M84" s="48" t="str">
        <x:v>13</x:v>
      </x:c>
      <x:c r="N84" s="48" t="str">
        <x:v>0</x:v>
      </x:c>
      <x:c r="O84" s="48" t="str">
        <x:v>0</x:v>
      </x:c>
      <x:c r="P84" s="48" t="str">
        <x:v>0</x:v>
      </x:c>
      <x:c r="Q84" s="48" t="str">
        <x:v>0.923</x:v>
      </x:c>
      <x:c r="R84" s="48" t="str">
        <x:v>DRIVER DOES NOT SEPARATE</x:v>
      </x:c>
      <x:c r="S84" s="48" t="str">
        <x:v>0.023</x:v>
      </x:c>
      <x:c r="T84" s="48" t="str">
        <x:v>GLOBAL_TRANSATLANTIC:N=10,p=0.900; NORTH_AMERICA:N=13,p=0.923</x:v>
      </x:c>
      <x:c r="U84" s="48" t="str">
        <x:v>Maximum-minus-minimum prevalence among adequately observed groups is no more than 0.15.</x:v>
      </x:c>
      <x:c r="V84" s="48" t="str">
        <x:v>At least 5 observable manager families in at least 2 driver groups</x:v>
      </x:c>
      <x:c r="W84" s="48" t="str">
        <x:v>&gt;=0.35 separates; &lt;=0.15 does not separate; intermediate is inconclusive/confounded; direct driver-definition tests are CIRCULAR</x:v>
      </x:c>
      <x:c r="X84" s="48" t="str">
        <x:v>MANAGER_SELF_DESCRIPTION; NOT BEHAVIOURAL FREQUENCY</x:v>
      </x:c>
    </x:row>
    <x:row r="85">
      <x:c r="A85" s="48" t="str">
        <x:v>B_GOVERNANCE_SEGMENTATION</x:v>
      </x:c>
      <x:c r="B85" s="48" t="str">
        <x:v>Tier B v1.1 - N=29 rerun</x:v>
      </x:c>
      <x:c r="C85" s="48" t="str">
        <x:v>2026-07-16</x:v>
      </x:c>
      <x:c r="D85" s="48" t="str">
        <x:v>G05</x:v>
      </x:c>
      <x:c r="E85" s="48" t="str">
        <x:v>GATING_DECISION</x:v>
      </x:c>
      <x:c r="F85" s="48" t="str">
        <x:v>Interim or conditional approval stage</x:v>
      </x:c>
      <x:c r="G85" s="48" t="str">
        <x:v>source_vintage_bin</x:v>
      </x:c>
      <x:c r="H85" s="48" t="str">
        <x:v>2018_2020</x:v>
      </x:c>
      <x:c r="I85" s="48" t="str">
        <x:v>6</x:v>
      </x:c>
      <x:c r="J85" s="48" t="str">
        <x:v>6</x:v>
      </x:c>
      <x:c r="K85" s="48" t="str">
        <x:v>0</x:v>
      </x:c>
      <x:c r="L85" s="48" t="str">
        <x:v>0</x:v>
      </x:c>
      <x:c r="M85" s="48" t="str">
        <x:v>6</x:v>
      </x:c>
      <x:c r="N85" s="48" t="str">
        <x:v>0</x:v>
      </x:c>
      <x:c r="O85" s="48" t="str">
        <x:v>0</x:v>
      </x:c>
      <x:c r="P85" s="48" t="str">
        <x:v>0</x:v>
      </x:c>
      <x:c r="Q85" s="48" t="str">
        <x:v>1.000</x:v>
      </x:c>
      <x:c r="R85" s="48" t="str">
        <x:v>DRIVER DOES NOT SEPARATE</x:v>
      </x:c>
      <x:c r="S85" s="48" t="str">
        <x:v>0.091</x:v>
      </x:c>
      <x:c r="T85" s="48" t="str">
        <x:v>2018_2020:N=6,p=1.000; 2021_2023:N=11,p=0.909; 2024_2026:N=12,p=0.917</x:v>
      </x:c>
      <x:c r="U85" s="48" t="str">
        <x:v>Maximum-minus-minimum prevalence among adequately observed groups is no more than 0.15.</x:v>
      </x:c>
      <x:c r="V85" s="48" t="str">
        <x:v>At least 5 observable manager families in at least 2 driver groups</x:v>
      </x:c>
      <x:c r="W85" s="48" t="str">
        <x:v>&gt;=0.35 separates; &lt;=0.15 does not separate; intermediate is inconclusive/confounded; direct driver-definition tests are CIRCULAR</x:v>
      </x:c>
      <x:c r="X85" s="48" t="str">
        <x:v>MANAGER_SELF_DESCRIPTION; NOT BEHAVIOURAL FREQUENCY</x:v>
      </x:c>
    </x:row>
    <x:row r="86">
      <x:c r="A86" s="48" t="str">
        <x:v>B_GOVERNANCE_SEGMENTATION</x:v>
      </x:c>
      <x:c r="B86" s="48" t="str">
        <x:v>Tier B v1.1 - N=29 rerun</x:v>
      </x:c>
      <x:c r="C86" s="48" t="str">
        <x:v>2026-07-16</x:v>
      </x:c>
      <x:c r="D86" s="48" t="str">
        <x:v>G05</x:v>
      </x:c>
      <x:c r="E86" s="48" t="str">
        <x:v>GATING_DECISION</x:v>
      </x:c>
      <x:c r="F86" s="48" t="str">
        <x:v>Interim or conditional approval stage</x:v>
      </x:c>
      <x:c r="G86" s="48" t="str">
        <x:v>source_vintage_bin</x:v>
      </x:c>
      <x:c r="H86" s="48" t="str">
        <x:v>2021_2023</x:v>
      </x:c>
      <x:c r="I86" s="48" t="str">
        <x:v>11</x:v>
      </x:c>
      <x:c r="J86" s="48" t="str">
        <x:v>10</x:v>
      </x:c>
      <x:c r="K86" s="48" t="str">
        <x:v>0</x:v>
      </x:c>
      <x:c r="L86" s="48" t="str">
        <x:v>1</x:v>
      </x:c>
      <x:c r="M86" s="48" t="str">
        <x:v>11</x:v>
      </x:c>
      <x:c r="N86" s="48" t="str">
        <x:v>0</x:v>
      </x:c>
      <x:c r="O86" s="48" t="str">
        <x:v>0</x:v>
      </x:c>
      <x:c r="P86" s="48" t="str">
        <x:v>0</x:v>
      </x:c>
      <x:c r="Q86" s="48" t="str">
        <x:v>0.909</x:v>
      </x:c>
      <x:c r="R86" s="48" t="str">
        <x:v>DRIVER DOES NOT SEPARATE</x:v>
      </x:c>
      <x:c r="S86" s="48" t="str">
        <x:v>0.091</x:v>
      </x:c>
      <x:c r="T86" s="48" t="str">
        <x:v>2018_2020:N=6,p=1.000; 2021_2023:N=11,p=0.909; 2024_2026:N=12,p=0.917</x:v>
      </x:c>
      <x:c r="U86" s="48" t="str">
        <x:v>Maximum-minus-minimum prevalence among adequately observed groups is no more than 0.15.</x:v>
      </x:c>
      <x:c r="V86" s="48" t="str">
        <x:v>At least 5 observable manager families in at least 2 driver groups</x:v>
      </x:c>
      <x:c r="W86" s="48" t="str">
        <x:v>&gt;=0.35 separates; &lt;=0.15 does not separate; intermediate is inconclusive/confounded; direct driver-definition tests are CIRCULAR</x:v>
      </x:c>
      <x:c r="X86" s="48" t="str">
        <x:v>MANAGER_SELF_DESCRIPTION; NOT BEHAVIOURAL FREQUENCY</x:v>
      </x:c>
    </x:row>
    <x:row r="87">
      <x:c r="A87" s="48" t="str">
        <x:v>B_GOVERNANCE_SEGMENTATION</x:v>
      </x:c>
      <x:c r="B87" s="48" t="str">
        <x:v>Tier B v1.1 - N=29 rerun</x:v>
      </x:c>
      <x:c r="C87" s="48" t="str">
        <x:v>2026-07-16</x:v>
      </x:c>
      <x:c r="D87" s="48" t="str">
        <x:v>G05</x:v>
      </x:c>
      <x:c r="E87" s="48" t="str">
        <x:v>GATING_DECISION</x:v>
      </x:c>
      <x:c r="F87" s="48" t="str">
        <x:v>Interim or conditional approval stage</x:v>
      </x:c>
      <x:c r="G87" s="48" t="str">
        <x:v>source_vintage_bin</x:v>
      </x:c>
      <x:c r="H87" s="48" t="str">
        <x:v>2024_2026</x:v>
      </x:c>
      <x:c r="I87" s="48" t="str">
        <x:v>12</x:v>
      </x:c>
      <x:c r="J87" s="48" t="str">
        <x:v>11</x:v>
      </x:c>
      <x:c r="K87" s="48" t="str">
        <x:v>2</x:v>
      </x:c>
      <x:c r="L87" s="48" t="str">
        <x:v>1</x:v>
      </x:c>
      <x:c r="M87" s="48" t="str">
        <x:v>12</x:v>
      </x:c>
      <x:c r="N87" s="48" t="str">
        <x:v>0</x:v>
      </x:c>
      <x:c r="O87" s="48" t="str">
        <x:v>0</x:v>
      </x:c>
      <x:c r="P87" s="48" t="str">
        <x:v>0</x:v>
      </x:c>
      <x:c r="Q87" s="48" t="str">
        <x:v>0.917</x:v>
      </x:c>
      <x:c r="R87" s="48" t="str">
        <x:v>DRIVER DOES NOT SEPARATE</x:v>
      </x:c>
      <x:c r="S87" s="48" t="str">
        <x:v>0.091</x:v>
      </x:c>
      <x:c r="T87" s="48" t="str">
        <x:v>2018_2020:N=6,p=1.000; 2021_2023:N=11,p=0.909; 2024_2026:N=12,p=0.917</x:v>
      </x:c>
      <x:c r="U87" s="48" t="str">
        <x:v>Maximum-minus-minimum prevalence among adequately observed groups is no more than 0.15.</x:v>
      </x:c>
      <x:c r="V87" s="48" t="str">
        <x:v>At least 5 observable manager families in at least 2 driver groups</x:v>
      </x:c>
      <x:c r="W87" s="48" t="str">
        <x:v>&gt;=0.35 separates; &lt;=0.15 does not separate; intermediate is inconclusive/confounded; direct driver-definition tests are CIRCULAR</x:v>
      </x:c>
      <x:c r="X87" s="48" t="str">
        <x:v>MANAGER_SELF_DESCRIPTION; NOT BEHAVIOURAL FREQUENCY</x:v>
      </x:c>
    </x:row>
    <x:row r="88">
      <x:c r="A88" s="48" t="str">
        <x:v>B_GOVERNANCE_SEGMENTATION</x:v>
      </x:c>
      <x:c r="B88" s="48" t="str">
        <x:v>Tier B v1.1 - N=29 rerun</x:v>
      </x:c>
      <x:c r="C88" s="48" t="str">
        <x:v>2026-07-16</x:v>
      </x:c>
      <x:c r="D88" s="48" t="str">
        <x:v>G05</x:v>
      </x:c>
      <x:c r="E88" s="48" t="str">
        <x:v>GATING_DECISION</x:v>
      </x:c>
      <x:c r="F88" s="48" t="str">
        <x:v>Interim or conditional approval stage</x:v>
      </x:c>
      <x:c r="G88" s="48" t="str">
        <x:v>governance_architecture</x:v>
      </x:c>
      <x:c r="H88" s="48" t="str">
        <x:v>IC_FINAL_OR_DE_FACTO</x:v>
      </x:c>
      <x:c r="I88" s="48" t="str">
        <x:v>26</x:v>
      </x:c>
      <x:c r="J88" s="48" t="str">
        <x:v>24</x:v>
      </x:c>
      <x:c r="K88" s="48" t="str">
        <x:v>2</x:v>
      </x:c>
      <x:c r="L88" s="48" t="str">
        <x:v>2</x:v>
      </x:c>
      <x:c r="M88" s="48" t="str">
        <x:v>26</x:v>
      </x:c>
      <x:c r="N88" s="48" t="str">
        <x:v>0</x:v>
      </x:c>
      <x:c r="O88" s="48" t="str">
        <x:v>0</x:v>
      </x:c>
      <x:c r="P88" s="48" t="str">
        <x:v>0</x:v>
      </x:c>
      <x:c r="Q88" s="48" t="str">
        <x:v>0.923</x:v>
      </x:c>
      <x:c r="R88" s="48" t="str">
        <x:v>N TOO SMALL</x:v>
      </x:c>
      <x:c r="S88" s="48" t="str"/>
      <x:c r="T88" s="48" t="str">
        <x:v>IC_FINAL_OR_DE_FACTO:N=26,p=0.923</x:v>
      </x:c>
      <x:c r="U88" s="48" t="str">
        <x:v>Fewer than two driver groups have at least 5 observable manager families.</x:v>
      </x:c>
      <x:c r="V88" s="48" t="str">
        <x:v>At least 5 observable manager families in at least 2 driver groups</x:v>
      </x:c>
      <x:c r="W88" s="48" t="str">
        <x:v>&gt;=0.35 separates; &lt;=0.15 does not separate; intermediate is inconclusive/confounded; direct driver-definition tests are CIRCULAR</x:v>
      </x:c>
      <x:c r="X88" s="48" t="str">
        <x:v>MANAGER_SELF_DESCRIPTION; NOT BEHAVIOURAL FREQUENCY</x:v>
      </x:c>
    </x:row>
    <x:row r="89">
      <x:c r="A89" s="48" t="str">
        <x:v>B_GOVERNANCE_SEGMENTATION</x:v>
      </x:c>
      <x:c r="B89" s="48" t="str">
        <x:v>Tier B v1.1 - N=29 rerun</x:v>
      </x:c>
      <x:c r="C89" s="48" t="str">
        <x:v>2026-07-16</x:v>
      </x:c>
      <x:c r="D89" s="48" t="str">
        <x:v>G05</x:v>
      </x:c>
      <x:c r="E89" s="48" t="str">
        <x:v>GATING_DECISION</x:v>
      </x:c>
      <x:c r="F89" s="48" t="str">
        <x:v>Interim or conditional approval stage</x:v>
      </x:c>
      <x:c r="G89" s="48" t="str">
        <x:v>governance_architecture</x:v>
      </x:c>
      <x:c r="H89" s="48" t="str">
        <x:v>IC_RECOMMENDS_SEPARATE_FINAL_AUTHORITY</x:v>
      </x:c>
      <x:c r="I89" s="48" t="str">
        <x:v>3</x:v>
      </x:c>
      <x:c r="J89" s="48" t="str">
        <x:v>3</x:v>
      </x:c>
      <x:c r="K89" s="48" t="str">
        <x:v>0</x:v>
      </x:c>
      <x:c r="L89" s="48" t="str">
        <x:v>0</x:v>
      </x:c>
      <x:c r="M89" s="48" t="str">
        <x:v>3</x:v>
      </x:c>
      <x:c r="N89" s="48" t="str">
        <x:v>0</x:v>
      </x:c>
      <x:c r="O89" s="48" t="str">
        <x:v>0</x:v>
      </x:c>
      <x:c r="P89" s="48" t="str">
        <x:v>0</x:v>
      </x:c>
      <x:c r="Q89" s="48" t="str">
        <x:v>1.000</x:v>
      </x:c>
      <x:c r="R89" s="48" t="str">
        <x:v>N TOO SMALL</x:v>
      </x:c>
      <x:c r="S89" s="48" t="str"/>
      <x:c r="T89" s="48" t="str">
        <x:v>IC_FINAL_OR_DE_FACTO:N=26,p=0.923</x:v>
      </x:c>
      <x:c r="U89" s="48" t="str">
        <x:v>Fewer than two driver groups have at least 5 observable manager families.</x:v>
      </x:c>
      <x:c r="V89" s="48" t="str">
        <x:v>At least 5 observable manager families in at least 2 driver groups</x:v>
      </x:c>
      <x:c r="W89" s="48" t="str">
        <x:v>&gt;=0.35 separates; &lt;=0.15 does not separate; intermediate is inconclusive/confounded; direct driver-definition tests are CIRCULAR</x:v>
      </x:c>
      <x:c r="X89" s="48" t="str">
        <x:v>MANAGER_SELF_DESCRIPTION; NOT BEHAVIOURAL FREQUENCY</x:v>
      </x:c>
    </x:row>
    <x:row r="90">
      <x:c r="A90" s="48" t="str">
        <x:v>B_GOVERNANCE_SEGMENTATION</x:v>
      </x:c>
      <x:c r="B90" s="48" t="str">
        <x:v>Tier B v1.1 - N=29 rerun</x:v>
      </x:c>
      <x:c r="C90" s="48" t="str">
        <x:v>2026-07-16</x:v>
      </x:c>
      <x:c r="D90" s="48" t="str">
        <x:v>G05</x:v>
      </x:c>
      <x:c r="E90" s="48" t="str">
        <x:v>GATING_DECISION</x:v>
      </x:c>
      <x:c r="F90" s="48" t="str">
        <x:v>Interim or conditional approval stage</x:v>
      </x:c>
      <x:c r="G90" s="48" t="str">
        <x:v>dedicated_operating_team</x:v>
      </x:c>
      <x:c r="H90" s="48" t="str">
        <x:v>NO_OR_LIMITED</x:v>
      </x:c>
      <x:c r="I90" s="48" t="str">
        <x:v>6</x:v>
      </x:c>
      <x:c r="J90" s="48" t="str">
        <x:v>6</x:v>
      </x:c>
      <x:c r="K90" s="48" t="str">
        <x:v>1</x:v>
      </x:c>
      <x:c r="L90" s="48" t="str">
        <x:v>0</x:v>
      </x:c>
      <x:c r="M90" s="48" t="str">
        <x:v>6</x:v>
      </x:c>
      <x:c r="N90" s="48" t="str">
        <x:v>0</x:v>
      </x:c>
      <x:c r="O90" s="48" t="str">
        <x:v>0</x:v>
      </x:c>
      <x:c r="P90" s="48" t="str">
        <x:v>0</x:v>
      </x:c>
      <x:c r="Q90" s="48" t="str">
        <x:v>1.000</x:v>
      </x:c>
      <x:c r="R90" s="48" t="str">
        <x:v>DRIVER DOES NOT SEPARATE</x:v>
      </x:c>
      <x:c r="S90" s="48" t="str">
        <x:v>0.087</x:v>
      </x:c>
      <x:c r="T90" s="48" t="str">
        <x:v>NO_OR_LIMITED:N=6,p=1.000; YES_DEDICATED:N=23,p=0.913</x:v>
      </x:c>
      <x:c r="U90" s="48" t="str">
        <x:v>Maximum-minus-minimum prevalence among adequately observed groups is no more than 0.15.</x:v>
      </x:c>
      <x:c r="V90" s="48" t="str">
        <x:v>At least 5 observable manager families in at least 2 driver groups</x:v>
      </x:c>
      <x:c r="W90" s="48" t="str">
        <x:v>&gt;=0.35 separates; &lt;=0.15 does not separate; intermediate is inconclusive/confounded; direct driver-definition tests are CIRCULAR</x:v>
      </x:c>
      <x:c r="X90" s="48" t="str">
        <x:v>MANAGER_SELF_DESCRIPTION; NOT BEHAVIOURAL FREQUENCY</x:v>
      </x:c>
    </x:row>
    <x:row r="91">
      <x:c r="A91" s="48" t="str">
        <x:v>B_GOVERNANCE_SEGMENTATION</x:v>
      </x:c>
      <x:c r="B91" s="48" t="str">
        <x:v>Tier B v1.1 - N=29 rerun</x:v>
      </x:c>
      <x:c r="C91" s="48" t="str">
        <x:v>2026-07-16</x:v>
      </x:c>
      <x:c r="D91" s="48" t="str">
        <x:v>G05</x:v>
      </x:c>
      <x:c r="E91" s="48" t="str">
        <x:v>GATING_DECISION</x:v>
      </x:c>
      <x:c r="F91" s="48" t="str">
        <x:v>Interim or conditional approval stage</x:v>
      </x:c>
      <x:c r="G91" s="48" t="str">
        <x:v>dedicated_operating_team</x:v>
      </x:c>
      <x:c r="H91" s="48" t="str">
        <x:v>YES_DEDICATED</x:v>
      </x:c>
      <x:c r="I91" s="48" t="str">
        <x:v>23</x:v>
      </x:c>
      <x:c r="J91" s="48" t="str">
        <x:v>21</x:v>
      </x:c>
      <x:c r="K91" s="48" t="str">
        <x:v>1</x:v>
      </x:c>
      <x:c r="L91" s="48" t="str">
        <x:v>2</x:v>
      </x:c>
      <x:c r="M91" s="48" t="str">
        <x:v>23</x:v>
      </x:c>
      <x:c r="N91" s="48" t="str">
        <x:v>0</x:v>
      </x:c>
      <x:c r="O91" s="48" t="str">
        <x:v>0</x:v>
      </x:c>
      <x:c r="P91" s="48" t="str">
        <x:v>0</x:v>
      </x:c>
      <x:c r="Q91" s="48" t="str">
        <x:v>0.913</x:v>
      </x:c>
      <x:c r="R91" s="48" t="str">
        <x:v>DRIVER DOES NOT SEPARATE</x:v>
      </x:c>
      <x:c r="S91" s="48" t="str">
        <x:v>0.087</x:v>
      </x:c>
      <x:c r="T91" s="48" t="str">
        <x:v>NO_OR_LIMITED:N=6,p=1.000; YES_DEDICATED:N=23,p=0.913</x:v>
      </x:c>
      <x:c r="U91" s="48" t="str">
        <x:v>Maximum-minus-minimum prevalence among adequately observed groups is no more than 0.15.</x:v>
      </x:c>
      <x:c r="V91" s="48" t="str">
        <x:v>At least 5 observable manager families in at least 2 driver groups</x:v>
      </x:c>
      <x:c r="W91" s="48" t="str">
        <x:v>&gt;=0.35 separates; &lt;=0.15 does not separate; intermediate is inconclusive/confounded; direct driver-definition tests are CIRCULAR</x:v>
      </x:c>
      <x:c r="X91" s="48" t="str">
        <x:v>MANAGER_SELF_DESCRIPTION; NOT BEHAVIOURAL FREQUENCY</x:v>
      </x:c>
    </x:row>
    <x:row r="92">
      <x:c r="A92" s="48" t="str">
        <x:v>B_GOVERNANCE_SEGMENTATION</x:v>
      </x:c>
      <x:c r="B92" s="48" t="str">
        <x:v>Tier B v1.1 - N=29 rerun</x:v>
      </x:c>
      <x:c r="C92" s="48" t="str">
        <x:v>2026-07-16</x:v>
      </x:c>
      <x:c r="D92" s="48" t="str">
        <x:v>G06</x:v>
      </x:c>
      <x:c r="E92" s="48" t="str">
        <x:v>GATING_DECISION</x:v>
      </x:c>
      <x:c r="F92" s="48" t="str">
        <x:v>Three or more formal pre-investment gates</x:v>
      </x:c>
      <x:c r="G92" s="48" t="str">
        <x:v>fund_size_archetype</x:v>
      </x:c>
      <x:c r="H92" s="48" t="str">
        <x:v>LARGE_2_TO_LT_5B</x:v>
      </x:c>
      <x:c r="I92" s="48" t="str">
        <x:v>9</x:v>
      </x:c>
      <x:c r="J92" s="48" t="str">
        <x:v>8</x:v>
      </x:c>
      <x:c r="K92" s="48" t="str">
        <x:v>0</x:v>
      </x:c>
      <x:c r="L92" s="48" t="str">
        <x:v>1</x:v>
      </x:c>
      <x:c r="M92" s="48" t="str">
        <x:v>9</x:v>
      </x:c>
      <x:c r="N92" s="48" t="str">
        <x:v>0</x:v>
      </x:c>
      <x:c r="O92" s="48" t="str">
        <x:v>0</x:v>
      </x:c>
      <x:c r="P92" s="48" t="str">
        <x:v>0</x:v>
      </x:c>
      <x:c r="Q92" s="48" t="str">
        <x:v>0.889</x:v>
      </x:c>
      <x:c r="R92" s="48" t="str">
        <x:v>DRIVER DOES NOT SEPARATE</x:v>
      </x:c>
      <x:c r="S92" s="48" t="str">
        <x:v>0.034</x:v>
      </x:c>
      <x:c r="T92" s="48" t="str">
        <x:v>LARGE_2_TO_LT_5B:N=9,p=0.889; LOWER_MID_LT_2B:N=8,p=0.875; MEGA_GE_5B:N=11,p=0.909</x:v>
      </x:c>
      <x:c r="U92" s="48" t="str">
        <x:v>Maximum-minus-minimum prevalence among adequately observed groups is no more than 0.15.</x:v>
      </x:c>
      <x:c r="V92" s="48" t="str">
        <x:v>At least 5 observable manager families in at least 2 driver groups</x:v>
      </x:c>
      <x:c r="W92" s="48" t="str">
        <x:v>&gt;=0.35 separates; &lt;=0.15 does not separate; intermediate is inconclusive/confounded; direct driver-definition tests are CIRCULAR</x:v>
      </x:c>
      <x:c r="X92" s="48" t="str">
        <x:v>MANAGER_SELF_DESCRIPTION; NOT BEHAVIOURAL FREQUENCY</x:v>
      </x:c>
    </x:row>
    <x:row r="93">
      <x:c r="A93" s="48" t="str">
        <x:v>B_GOVERNANCE_SEGMENTATION</x:v>
      </x:c>
      <x:c r="B93" s="48" t="str">
        <x:v>Tier B v1.1 - N=29 rerun</x:v>
      </x:c>
      <x:c r="C93" s="48" t="str">
        <x:v>2026-07-16</x:v>
      </x:c>
      <x:c r="D93" s="48" t="str">
        <x:v>G06</x:v>
      </x:c>
      <x:c r="E93" s="48" t="str">
        <x:v>GATING_DECISION</x:v>
      </x:c>
      <x:c r="F93" s="48" t="str">
        <x:v>Three or more formal pre-investment gates</x:v>
      </x:c>
      <x:c r="G93" s="48" t="str">
        <x:v>fund_size_archetype</x:v>
      </x:c>
      <x:c r="H93" s="48" t="str">
        <x:v>LOWER_MID_LT_2B</x:v>
      </x:c>
      <x:c r="I93" s="48" t="str">
        <x:v>8</x:v>
      </x:c>
      <x:c r="J93" s="48" t="str">
        <x:v>7</x:v>
      </x:c>
      <x:c r="K93" s="48" t="str">
        <x:v>0</x:v>
      </x:c>
      <x:c r="L93" s="48" t="str">
        <x:v>1</x:v>
      </x:c>
      <x:c r="M93" s="48" t="str">
        <x:v>8</x:v>
      </x:c>
      <x:c r="N93" s="48" t="str">
        <x:v>0</x:v>
      </x:c>
      <x:c r="O93" s="48" t="str">
        <x:v>0</x:v>
      </x:c>
      <x:c r="P93" s="48" t="str">
        <x:v>0</x:v>
      </x:c>
      <x:c r="Q93" s="48" t="str">
        <x:v>0.875</x:v>
      </x:c>
      <x:c r="R93" s="48" t="str">
        <x:v>DRIVER DOES NOT SEPARATE</x:v>
      </x:c>
      <x:c r="S93" s="48" t="str">
        <x:v>0.034</x:v>
      </x:c>
      <x:c r="T93" s="48" t="str">
        <x:v>LARGE_2_TO_LT_5B:N=9,p=0.889; LOWER_MID_LT_2B:N=8,p=0.875; MEGA_GE_5B:N=11,p=0.909</x:v>
      </x:c>
      <x:c r="U93" s="48" t="str">
        <x:v>Maximum-minus-minimum prevalence among adequately observed groups is no more than 0.15.</x:v>
      </x:c>
      <x:c r="V93" s="48" t="str">
        <x:v>At least 5 observable manager families in at least 2 driver groups</x:v>
      </x:c>
      <x:c r="W93" s="48" t="str">
        <x:v>&gt;=0.35 separates; &lt;=0.15 does not separate; intermediate is inconclusive/confounded; direct driver-definition tests are CIRCULAR</x:v>
      </x:c>
      <x:c r="X93" s="48" t="str">
        <x:v>MANAGER_SELF_DESCRIPTION; NOT BEHAVIOURAL FREQUENCY</x:v>
      </x:c>
    </x:row>
    <x:row r="94">
      <x:c r="A94" s="48" t="str">
        <x:v>B_GOVERNANCE_SEGMENTATION</x:v>
      </x:c>
      <x:c r="B94" s="48" t="str">
        <x:v>Tier B v1.1 - N=29 rerun</x:v>
      </x:c>
      <x:c r="C94" s="48" t="str">
        <x:v>2026-07-16</x:v>
      </x:c>
      <x:c r="D94" s="48" t="str">
        <x:v>G06</x:v>
      </x:c>
      <x:c r="E94" s="48" t="str">
        <x:v>GATING_DECISION</x:v>
      </x:c>
      <x:c r="F94" s="48" t="str">
        <x:v>Three or more formal pre-investment gates</x:v>
      </x:c>
      <x:c r="G94" s="48" t="str">
        <x:v>fund_size_archetype</x:v>
      </x:c>
      <x:c r="H94" s="48" t="str">
        <x:v>MEGA_GE_5B</x:v>
      </x:c>
      <x:c r="I94" s="48" t="str">
        <x:v>11</x:v>
      </x:c>
      <x:c r="J94" s="48" t="str">
        <x:v>10</x:v>
      </x:c>
      <x:c r="K94" s="48" t="str">
        <x:v>1</x:v>
      </x:c>
      <x:c r="L94" s="48" t="str">
        <x:v>1</x:v>
      </x:c>
      <x:c r="M94" s="48" t="str">
        <x:v>11</x:v>
      </x:c>
      <x:c r="N94" s="48" t="str">
        <x:v>0</x:v>
      </x:c>
      <x:c r="O94" s="48" t="str">
        <x:v>0</x:v>
      </x:c>
      <x:c r="P94" s="48" t="str">
        <x:v>0</x:v>
      </x:c>
      <x:c r="Q94" s="48" t="str">
        <x:v>0.909</x:v>
      </x:c>
      <x:c r="R94" s="48" t="str">
        <x:v>DRIVER DOES NOT SEPARATE</x:v>
      </x:c>
      <x:c r="S94" s="48" t="str">
        <x:v>0.034</x:v>
      </x:c>
      <x:c r="T94" s="48" t="str">
        <x:v>LARGE_2_TO_LT_5B:N=9,p=0.889; LOWER_MID_LT_2B:N=8,p=0.875; MEGA_GE_5B:N=11,p=0.909</x:v>
      </x:c>
      <x:c r="U94" s="48" t="str">
        <x:v>Maximum-minus-minimum prevalence among adequately observed groups is no more than 0.15.</x:v>
      </x:c>
      <x:c r="V94" s="48" t="str">
        <x:v>At least 5 observable manager families in at least 2 driver groups</x:v>
      </x:c>
      <x:c r="W94" s="48" t="str">
        <x:v>&gt;=0.35 separates; &lt;=0.15 does not separate; intermediate is inconclusive/confounded; direct driver-definition tests are CIRCULAR</x:v>
      </x:c>
      <x:c r="X94" s="48" t="str">
        <x:v>MANAGER_SELF_DESCRIPTION; NOT BEHAVIOURAL FREQUENCY</x:v>
      </x:c>
    </x:row>
    <x:row r="95">
      <x:c r="A95" s="48" t="str">
        <x:v>B_GOVERNANCE_SEGMENTATION</x:v>
      </x:c>
      <x:c r="B95" s="48" t="str">
        <x:v>Tier B v1.1 - N=29 rerun</x:v>
      </x:c>
      <x:c r="C95" s="48" t="str">
        <x:v>2026-07-16</x:v>
      </x:c>
      <x:c r="D95" s="48" t="str">
        <x:v>G06</x:v>
      </x:c>
      <x:c r="E95" s="48" t="str">
        <x:v>GATING_DECISION</x:v>
      </x:c>
      <x:c r="F95" s="48" t="str">
        <x:v>Three or more formal pre-investment gates</x:v>
      </x:c>
      <x:c r="G95" s="48" t="str">
        <x:v>fund_size_archetype</x:v>
      </x:c>
      <x:c r="H95" s="48" t="str">
        <x:v>NOT_APPLICABLE</x:v>
      </x:c>
      <x:c r="I95" s="48" t="str">
        <x:v>1</x:v>
      </x:c>
      <x:c r="J95" s="48" t="str">
        <x:v>1</x:v>
      </x:c>
      <x:c r="K95" s="48" t="str">
        <x:v>0</x:v>
      </x:c>
      <x:c r="L95" s="48" t="str">
        <x:v>0</x:v>
      </x:c>
      <x:c r="M95" s="48" t="str">
        <x:v>1</x:v>
      </x:c>
      <x:c r="N95" s="48" t="str">
        <x:v>0</x:v>
      </x:c>
      <x:c r="O95" s="48" t="str">
        <x:v>0</x:v>
      </x:c>
      <x:c r="P95" s="48" t="str">
        <x:v>0</x:v>
      </x:c>
      <x:c r="Q95" s="48" t="str">
        <x:v>1.000</x:v>
      </x:c>
      <x:c r="R95" s="48" t="str">
        <x:v>DRIVER DOES NOT SEPARATE</x:v>
      </x:c>
      <x:c r="S95" s="48" t="str">
        <x:v>0.034</x:v>
      </x:c>
      <x:c r="T95" s="48" t="str">
        <x:v>LARGE_2_TO_LT_5B:N=9,p=0.889; LOWER_MID_LT_2B:N=8,p=0.875; MEGA_GE_5B:N=11,p=0.909</x:v>
      </x:c>
      <x:c r="U95" s="48" t="str">
        <x:v>Maximum-minus-minimum prevalence among adequately observed groups is no more than 0.15.</x:v>
      </x:c>
      <x:c r="V95" s="48" t="str">
        <x:v>At least 5 observable manager families in at least 2 driver groups</x:v>
      </x:c>
      <x:c r="W95" s="48" t="str">
        <x:v>&gt;=0.35 separates; &lt;=0.15 does not separate; intermediate is inconclusive/confounded; direct driver-definition tests are CIRCULAR</x:v>
      </x:c>
      <x:c r="X95" s="48" t="str">
        <x:v>MANAGER_SELF_DESCRIPTION; NOT BEHAVIOURAL FREQUENCY</x:v>
      </x:c>
    </x:row>
    <x:row r="96">
      <x:c r="A96" s="48" t="str">
        <x:v>B_GOVERNANCE_SEGMENTATION</x:v>
      </x:c>
      <x:c r="B96" s="48" t="str">
        <x:v>Tier B v1.1 - N=29 rerun</x:v>
      </x:c>
      <x:c r="C96" s="48" t="str">
        <x:v>2026-07-16</x:v>
      </x:c>
      <x:c r="D96" s="48" t="str">
        <x:v>G06</x:v>
      </x:c>
      <x:c r="E96" s="48" t="str">
        <x:v>GATING_DECISION</x:v>
      </x:c>
      <x:c r="F96" s="48" t="str">
        <x:v>Three or more formal pre-investment gates</x:v>
      </x:c>
      <x:c r="G96" s="48" t="str">
        <x:v>strategy</x:v>
      </x:c>
      <x:c r="H96" s="48" t="str">
        <x:v>CONTROL_BUYOUT</x:v>
      </x:c>
      <x:c r="I96" s="48" t="str">
        <x:v>22</x:v>
      </x:c>
      <x:c r="J96" s="48" t="str">
        <x:v>20</x:v>
      </x:c>
      <x:c r="K96" s="48" t="str">
        <x:v>0</x:v>
      </x:c>
      <x:c r="L96" s="48" t="str">
        <x:v>2</x:v>
      </x:c>
      <x:c r="M96" s="48" t="str">
        <x:v>22</x:v>
      </x:c>
      <x:c r="N96" s="48" t="str">
        <x:v>0</x:v>
      </x:c>
      <x:c r="O96" s="48" t="str">
        <x:v>0</x:v>
      </x:c>
      <x:c r="P96" s="48" t="str">
        <x:v>0</x:v>
      </x:c>
      <x:c r="Q96" s="48" t="str">
        <x:v>0.909</x:v>
      </x:c>
      <x:c r="R96" s="48" t="str">
        <x:v>DRIVER DOES NOT SEPARATE</x:v>
      </x:c>
      <x:c r="S96" s="48" t="str">
        <x:v>0.076</x:v>
      </x:c>
      <x:c r="T96" s="48" t="str">
        <x:v>CONTROL_BUYOUT:N=22,p=0.909; GROWTH_CONTROL_HYBRID:N=6,p=0.833</x:v>
      </x:c>
      <x:c r="U96" s="48" t="str">
        <x:v>Maximum-minus-minimum prevalence among adequately observed groups is no more than 0.15.</x:v>
      </x:c>
      <x:c r="V96" s="48" t="str">
        <x:v>At least 5 observable manager families in at least 2 driver groups</x:v>
      </x:c>
      <x:c r="W96" s="48" t="str">
        <x:v>&gt;=0.35 separates; &lt;=0.15 does not separate; intermediate is inconclusive/confounded; direct driver-definition tests are CIRCULAR</x:v>
      </x:c>
      <x:c r="X96" s="48" t="str">
        <x:v>MANAGER_SELF_DESCRIPTION; NOT BEHAVIOURAL FREQUENCY</x:v>
      </x:c>
    </x:row>
    <x:row r="97">
      <x:c r="A97" s="48" t="str">
        <x:v>B_GOVERNANCE_SEGMENTATION</x:v>
      </x:c>
      <x:c r="B97" s="48" t="str">
        <x:v>Tier B v1.1 - N=29 rerun</x:v>
      </x:c>
      <x:c r="C97" s="48" t="str">
        <x:v>2026-07-16</x:v>
      </x:c>
      <x:c r="D97" s="48" t="str">
        <x:v>G06</x:v>
      </x:c>
      <x:c r="E97" s="48" t="str">
        <x:v>GATING_DECISION</x:v>
      </x:c>
      <x:c r="F97" s="48" t="str">
        <x:v>Three or more formal pre-investment gates</x:v>
      </x:c>
      <x:c r="G97" s="48" t="str">
        <x:v>strategy</x:v>
      </x:c>
      <x:c r="H97" s="48" t="str">
        <x:v>GROWTH_CONTROL_HYBRID</x:v>
      </x:c>
      <x:c r="I97" s="48" t="str">
        <x:v>6</x:v>
      </x:c>
      <x:c r="J97" s="48" t="str">
        <x:v>5</x:v>
      </x:c>
      <x:c r="K97" s="48" t="str">
        <x:v>1</x:v>
      </x:c>
      <x:c r="L97" s="48" t="str">
        <x:v>1</x:v>
      </x:c>
      <x:c r="M97" s="48" t="str">
        <x:v>6</x:v>
      </x:c>
      <x:c r="N97" s="48" t="str">
        <x:v>0</x:v>
      </x:c>
      <x:c r="O97" s="48" t="str">
        <x:v>0</x:v>
      </x:c>
      <x:c r="P97" s="48" t="str">
        <x:v>0</x:v>
      </x:c>
      <x:c r="Q97" s="48" t="str">
        <x:v>0.833</x:v>
      </x:c>
      <x:c r="R97" s="48" t="str">
        <x:v>DRIVER DOES NOT SEPARATE</x:v>
      </x:c>
      <x:c r="S97" s="48" t="str">
        <x:v>0.076</x:v>
      </x:c>
      <x:c r="T97" s="48" t="str">
        <x:v>CONTROL_BUYOUT:N=22,p=0.909; GROWTH_CONTROL_HYBRID:N=6,p=0.833</x:v>
      </x:c>
      <x:c r="U97" s="48" t="str">
        <x:v>Maximum-minus-minimum prevalence among adequately observed groups is no more than 0.15.</x:v>
      </x:c>
      <x:c r="V97" s="48" t="str">
        <x:v>At least 5 observable manager families in at least 2 driver groups</x:v>
      </x:c>
      <x:c r="W97" s="48" t="str">
        <x:v>&gt;=0.35 separates; &lt;=0.15 does not separate; intermediate is inconclusive/confounded; direct driver-definition tests are CIRCULAR</x:v>
      </x:c>
      <x:c r="X97" s="48" t="str">
        <x:v>MANAGER_SELF_DESCRIPTION; NOT BEHAVIOURAL FREQUENCY</x:v>
      </x:c>
    </x:row>
    <x:row r="98">
      <x:c r="A98" s="48" t="str">
        <x:v>B_GOVERNANCE_SEGMENTATION</x:v>
      </x:c>
      <x:c r="B98" s="48" t="str">
        <x:v>Tier B v1.1 - N=29 rerun</x:v>
      </x:c>
      <x:c r="C98" s="48" t="str">
        <x:v>2026-07-16</x:v>
      </x:c>
      <x:c r="D98" s="48" t="str">
        <x:v>G06</x:v>
      </x:c>
      <x:c r="E98" s="48" t="str">
        <x:v>GATING_DECISION</x:v>
      </x:c>
      <x:c r="F98" s="48" t="str">
        <x:v>Three or more formal pre-investment gates</x:v>
      </x:c>
      <x:c r="G98" s="48" t="str">
        <x:v>strategy</x:v>
      </x:c>
      <x:c r="H98" s="48" t="str">
        <x:v>OPPORTUNISTIC_CONTROL</x:v>
      </x:c>
      <x:c r="I98" s="48" t="str">
        <x:v>1</x:v>
      </x:c>
      <x:c r="J98" s="48" t="str">
        <x:v>1</x:v>
      </x:c>
      <x:c r="K98" s="48" t="str">
        <x:v>0</x:v>
      </x:c>
      <x:c r="L98" s="48" t="str">
        <x:v>0</x:v>
      </x:c>
      <x:c r="M98" s="48" t="str">
        <x:v>1</x:v>
      </x:c>
      <x:c r="N98" s="48" t="str">
        <x:v>0</x:v>
      </x:c>
      <x:c r="O98" s="48" t="str">
        <x:v>0</x:v>
      </x:c>
      <x:c r="P98" s="48" t="str">
        <x:v>0</x:v>
      </x:c>
      <x:c r="Q98" s="48" t="str">
        <x:v>1.000</x:v>
      </x:c>
      <x:c r="R98" s="48" t="str">
        <x:v>DRIVER DOES NOT SEPARATE</x:v>
      </x:c>
      <x:c r="S98" s="48" t="str">
        <x:v>0.076</x:v>
      </x:c>
      <x:c r="T98" s="48" t="str">
        <x:v>CONTROL_BUYOUT:N=22,p=0.909; GROWTH_CONTROL_HYBRID:N=6,p=0.833</x:v>
      </x:c>
      <x:c r="U98" s="48" t="str">
        <x:v>Maximum-minus-minimum prevalence among adequately observed groups is no more than 0.15.</x:v>
      </x:c>
      <x:c r="V98" s="48" t="str">
        <x:v>At least 5 observable manager families in at least 2 driver groups</x:v>
      </x:c>
      <x:c r="W98" s="48" t="str">
        <x:v>&gt;=0.35 separates; &lt;=0.15 does not separate; intermediate is inconclusive/confounded; direct driver-definition tests are CIRCULAR</x:v>
      </x:c>
      <x:c r="X98" s="48" t="str">
        <x:v>MANAGER_SELF_DESCRIPTION; NOT BEHAVIOURAL FREQUENCY</x:v>
      </x:c>
    </x:row>
    <x:row r="99">
      <x:c r="A99" s="48" t="str">
        <x:v>B_GOVERNANCE_SEGMENTATION</x:v>
      </x:c>
      <x:c r="B99" s="48" t="str">
        <x:v>Tier B v1.1 - N=29 rerun</x:v>
      </x:c>
      <x:c r="C99" s="48" t="str">
        <x:v>2026-07-16</x:v>
      </x:c>
      <x:c r="D99" s="48" t="str">
        <x:v>G06</x:v>
      </x:c>
      <x:c r="E99" s="48" t="str">
        <x:v>GATING_DECISION</x:v>
      </x:c>
      <x:c r="F99" s="48" t="str">
        <x:v>Three or more formal pre-investment gates</x:v>
      </x:c>
      <x:c r="G99" s="48" t="str">
        <x:v>geography</x:v>
      </x:c>
      <x:c r="H99" s="48" t="str">
        <x:v>ASIA_PACIFIC</x:v>
      </x:c>
      <x:c r="I99" s="48" t="str">
        <x:v>4</x:v>
      </x:c>
      <x:c r="J99" s="48" t="str">
        <x:v>4</x:v>
      </x:c>
      <x:c r="K99" s="48" t="str">
        <x:v>0</x:v>
      </x:c>
      <x:c r="L99" s="48" t="str">
        <x:v>0</x:v>
      </x:c>
      <x:c r="M99" s="48" t="str">
        <x:v>4</x:v>
      </x:c>
      <x:c r="N99" s="48" t="str">
        <x:v>0</x:v>
      </x:c>
      <x:c r="O99" s="48" t="str">
        <x:v>0</x:v>
      </x:c>
      <x:c r="P99" s="48" t="str">
        <x:v>0</x:v>
      </x:c>
      <x:c r="Q99" s="48" t="str">
        <x:v>1.000</x:v>
      </x:c>
      <x:c r="R99" s="48" t="str">
        <x:v>DRIVER DOES NOT SEPARATE</x:v>
      </x:c>
      <x:c r="S99" s="48" t="str">
        <x:v>0.054</x:v>
      </x:c>
      <x:c r="T99" s="48" t="str">
        <x:v>GLOBAL_TRANSATLANTIC:N=10,p=0.900; NORTH_AMERICA:N=13,p=0.846</x:v>
      </x:c>
      <x:c r="U99" s="48" t="str">
        <x:v>Maximum-minus-minimum prevalence among adequately observed groups is no more than 0.15.</x:v>
      </x:c>
      <x:c r="V99" s="48" t="str">
        <x:v>At least 5 observable manager families in at least 2 driver groups</x:v>
      </x:c>
      <x:c r="W99" s="48" t="str">
        <x:v>&gt;=0.35 separates; &lt;=0.15 does not separate; intermediate is inconclusive/confounded; direct driver-definition tests are CIRCULAR</x:v>
      </x:c>
      <x:c r="X99" s="48" t="str">
        <x:v>MANAGER_SELF_DESCRIPTION; NOT BEHAVIOURAL FREQUENCY</x:v>
      </x:c>
    </x:row>
    <x:row r="100">
      <x:c r="A100" s="48" t="str">
        <x:v>B_GOVERNANCE_SEGMENTATION</x:v>
      </x:c>
      <x:c r="B100" s="48" t="str">
        <x:v>Tier B v1.1 - N=29 rerun</x:v>
      </x:c>
      <x:c r="C100" s="48" t="str">
        <x:v>2026-07-16</x:v>
      </x:c>
      <x:c r="D100" s="48" t="str">
        <x:v>G06</x:v>
      </x:c>
      <x:c r="E100" s="48" t="str">
        <x:v>GATING_DECISION</x:v>
      </x:c>
      <x:c r="F100" s="48" t="str">
        <x:v>Three or more formal pre-investment gates</x:v>
      </x:c>
      <x:c r="G100" s="48" t="str">
        <x:v>geography</x:v>
      </x:c>
      <x:c r="H100" s="48" t="str">
        <x:v>EUROPE</x:v>
      </x:c>
      <x:c r="I100" s="48" t="str">
        <x:v>2</x:v>
      </x:c>
      <x:c r="J100" s="48" t="str">
        <x:v>2</x:v>
      </x:c>
      <x:c r="K100" s="48" t="str">
        <x:v>0</x:v>
      </x:c>
      <x:c r="L100" s="48" t="str">
        <x:v>0</x:v>
      </x:c>
      <x:c r="M100" s="48" t="str">
        <x:v>2</x:v>
      </x:c>
      <x:c r="N100" s="48" t="str">
        <x:v>0</x:v>
      </x:c>
      <x:c r="O100" s="48" t="str">
        <x:v>0</x:v>
      </x:c>
      <x:c r="P100" s="48" t="str">
        <x:v>0</x:v>
      </x:c>
      <x:c r="Q100" s="48" t="str">
        <x:v>1.000</x:v>
      </x:c>
      <x:c r="R100" s="48" t="str">
        <x:v>DRIVER DOES NOT SEPARATE</x:v>
      </x:c>
      <x:c r="S100" s="48" t="str">
        <x:v>0.054</x:v>
      </x:c>
      <x:c r="T100" s="48" t="str">
        <x:v>GLOBAL_TRANSATLANTIC:N=10,p=0.900; NORTH_AMERICA:N=13,p=0.846</x:v>
      </x:c>
      <x:c r="U100" s="48" t="str">
        <x:v>Maximum-minus-minimum prevalence among adequately observed groups is no more than 0.15.</x:v>
      </x:c>
      <x:c r="V100" s="48" t="str">
        <x:v>At least 5 observable manager families in at least 2 driver groups</x:v>
      </x:c>
      <x:c r="W100" s="48" t="str">
        <x:v>&gt;=0.35 separates; &lt;=0.15 does not separate; intermediate is inconclusive/confounded; direct driver-definition tests are CIRCULAR</x:v>
      </x:c>
      <x:c r="X100" s="48" t="str">
        <x:v>MANAGER_SELF_DESCRIPTION; NOT BEHAVIOURAL FREQUENCY</x:v>
      </x:c>
    </x:row>
    <x:row r="101">
      <x:c r="A101" s="48" t="str">
        <x:v>B_GOVERNANCE_SEGMENTATION</x:v>
      </x:c>
      <x:c r="B101" s="48" t="str">
        <x:v>Tier B v1.1 - N=29 rerun</x:v>
      </x:c>
      <x:c r="C101" s="48" t="str">
        <x:v>2026-07-16</x:v>
      </x:c>
      <x:c r="D101" s="48" t="str">
        <x:v>G06</x:v>
      </x:c>
      <x:c r="E101" s="48" t="str">
        <x:v>GATING_DECISION</x:v>
      </x:c>
      <x:c r="F101" s="48" t="str">
        <x:v>Three or more formal pre-investment gates</x:v>
      </x:c>
      <x:c r="G101" s="48" t="str">
        <x:v>geography</x:v>
      </x:c>
      <x:c r="H101" s="48" t="str">
        <x:v>GLOBAL_TRANSATLANTIC</x:v>
      </x:c>
      <x:c r="I101" s="48" t="str">
        <x:v>10</x:v>
      </x:c>
      <x:c r="J101" s="48" t="str">
        <x:v>9</x:v>
      </x:c>
      <x:c r="K101" s="48" t="str">
        <x:v>1</x:v>
      </x:c>
      <x:c r="L101" s="48" t="str">
        <x:v>1</x:v>
      </x:c>
      <x:c r="M101" s="48" t="str">
        <x:v>10</x:v>
      </x:c>
      <x:c r="N101" s="48" t="str">
        <x:v>0</x:v>
      </x:c>
      <x:c r="O101" s="48" t="str">
        <x:v>0</x:v>
      </x:c>
      <x:c r="P101" s="48" t="str">
        <x:v>0</x:v>
      </x:c>
      <x:c r="Q101" s="48" t="str">
        <x:v>0.900</x:v>
      </x:c>
      <x:c r="R101" s="48" t="str">
        <x:v>DRIVER DOES NOT SEPARATE</x:v>
      </x:c>
      <x:c r="S101" s="48" t="str">
        <x:v>0.054</x:v>
      </x:c>
      <x:c r="T101" s="48" t="str">
        <x:v>GLOBAL_TRANSATLANTIC:N=10,p=0.900; NORTH_AMERICA:N=13,p=0.846</x:v>
      </x:c>
      <x:c r="U101" s="48" t="str">
        <x:v>Maximum-minus-minimum prevalence among adequately observed groups is no more than 0.15.</x:v>
      </x:c>
      <x:c r="V101" s="48" t="str">
        <x:v>At least 5 observable manager families in at least 2 driver groups</x:v>
      </x:c>
      <x:c r="W101" s="48" t="str">
        <x:v>&gt;=0.35 separates; &lt;=0.15 does not separate; intermediate is inconclusive/confounded; direct driver-definition tests are CIRCULAR</x:v>
      </x:c>
      <x:c r="X101" s="48" t="str">
        <x:v>MANAGER_SELF_DESCRIPTION; NOT BEHAVIOURAL FREQUENCY</x:v>
      </x:c>
    </x:row>
    <x:row r="102">
      <x:c r="A102" s="48" t="str">
        <x:v>B_GOVERNANCE_SEGMENTATION</x:v>
      </x:c>
      <x:c r="B102" s="48" t="str">
        <x:v>Tier B v1.1 - N=29 rerun</x:v>
      </x:c>
      <x:c r="C102" s="48" t="str">
        <x:v>2026-07-16</x:v>
      </x:c>
      <x:c r="D102" s="48" t="str">
        <x:v>G06</x:v>
      </x:c>
      <x:c r="E102" s="48" t="str">
        <x:v>GATING_DECISION</x:v>
      </x:c>
      <x:c r="F102" s="48" t="str">
        <x:v>Three or more formal pre-investment gates</x:v>
      </x:c>
      <x:c r="G102" s="48" t="str">
        <x:v>geography</x:v>
      </x:c>
      <x:c r="H102" s="48" t="str">
        <x:v>NORTH_AMERICA</x:v>
      </x:c>
      <x:c r="I102" s="48" t="str">
        <x:v>13</x:v>
      </x:c>
      <x:c r="J102" s="48" t="str">
        <x:v>11</x:v>
      </x:c>
      <x:c r="K102" s="48" t="str">
        <x:v>0</x:v>
      </x:c>
      <x:c r="L102" s="48" t="str">
        <x:v>2</x:v>
      </x:c>
      <x:c r="M102" s="48" t="str">
        <x:v>13</x:v>
      </x:c>
      <x:c r="N102" s="48" t="str">
        <x:v>0</x:v>
      </x:c>
      <x:c r="O102" s="48" t="str">
        <x:v>0</x:v>
      </x:c>
      <x:c r="P102" s="48" t="str">
        <x:v>0</x:v>
      </x:c>
      <x:c r="Q102" s="48" t="str">
        <x:v>0.846</x:v>
      </x:c>
      <x:c r="R102" s="48" t="str">
        <x:v>DRIVER DOES NOT SEPARATE</x:v>
      </x:c>
      <x:c r="S102" s="48" t="str">
        <x:v>0.054</x:v>
      </x:c>
      <x:c r="T102" s="48" t="str">
        <x:v>GLOBAL_TRANSATLANTIC:N=10,p=0.900; NORTH_AMERICA:N=13,p=0.846</x:v>
      </x:c>
      <x:c r="U102" s="48" t="str">
        <x:v>Maximum-minus-minimum prevalence among adequately observed groups is no more than 0.15.</x:v>
      </x:c>
      <x:c r="V102" s="48" t="str">
        <x:v>At least 5 observable manager families in at least 2 driver groups</x:v>
      </x:c>
      <x:c r="W102" s="48" t="str">
        <x:v>&gt;=0.35 separates; &lt;=0.15 does not separate; intermediate is inconclusive/confounded; direct driver-definition tests are CIRCULAR</x:v>
      </x:c>
      <x:c r="X102" s="48" t="str">
        <x:v>MANAGER_SELF_DESCRIPTION; NOT BEHAVIOURAL FREQUENCY</x:v>
      </x:c>
    </x:row>
    <x:row r="103">
      <x:c r="A103" s="48" t="str">
        <x:v>B_GOVERNANCE_SEGMENTATION</x:v>
      </x:c>
      <x:c r="B103" s="48" t="str">
        <x:v>Tier B v1.1 - N=29 rerun</x:v>
      </x:c>
      <x:c r="C103" s="48" t="str">
        <x:v>2026-07-16</x:v>
      </x:c>
      <x:c r="D103" s="48" t="str">
        <x:v>G06</x:v>
      </x:c>
      <x:c r="E103" s="48" t="str">
        <x:v>GATING_DECISION</x:v>
      </x:c>
      <x:c r="F103" s="48" t="str">
        <x:v>Three or more formal pre-investment gates</x:v>
      </x:c>
      <x:c r="G103" s="48" t="str">
        <x:v>source_vintage_bin</x:v>
      </x:c>
      <x:c r="H103" s="48" t="str">
        <x:v>2018_2020</x:v>
      </x:c>
      <x:c r="I103" s="48" t="str">
        <x:v>6</x:v>
      </x:c>
      <x:c r="J103" s="48" t="str">
        <x:v>6</x:v>
      </x:c>
      <x:c r="K103" s="48" t="str">
        <x:v>0</x:v>
      </x:c>
      <x:c r="L103" s="48" t="str">
        <x:v>0</x:v>
      </x:c>
      <x:c r="M103" s="48" t="str">
        <x:v>6</x:v>
      </x:c>
      <x:c r="N103" s="48" t="str">
        <x:v>0</x:v>
      </x:c>
      <x:c r="O103" s="48" t="str">
        <x:v>0</x:v>
      </x:c>
      <x:c r="P103" s="48" t="str">
        <x:v>0</x:v>
      </x:c>
      <x:c r="Q103" s="48" t="str">
        <x:v>1.000</x:v>
      </x:c>
      <x:c r="R103" s="48" t="str">
        <x:v>INCONCLUSIVE OR CONFOUNDED</x:v>
      </x:c>
      <x:c r="S103" s="48" t="str">
        <x:v>0.167</x:v>
      </x:c>
      <x:c r="T103" s="48" t="str">
        <x:v>2018_2020:N=6,p=1.000; 2021_2023:N=11,p=0.909; 2024_2026:N=12,p=0.833</x:v>
      </x:c>
      <x:c r="U103" s="48" t="str">
        <x:v>Adequate groups differ, but the maximum-minus-minimum prevalence lies between 0.15 and 0.35.</x:v>
      </x:c>
      <x:c r="V103" s="48" t="str">
        <x:v>At least 5 observable manager families in at least 2 driver groups</x:v>
      </x:c>
      <x:c r="W103" s="48" t="str">
        <x:v>&gt;=0.35 separates; &lt;=0.15 does not separate; intermediate is inconclusive/confounded; direct driver-definition tests are CIRCULAR</x:v>
      </x:c>
      <x:c r="X103" s="48" t="str">
        <x:v>MANAGER_SELF_DESCRIPTION; NOT BEHAVIOURAL FREQUENCY</x:v>
      </x:c>
    </x:row>
    <x:row r="104">
      <x:c r="A104" s="48" t="str">
        <x:v>B_GOVERNANCE_SEGMENTATION</x:v>
      </x:c>
      <x:c r="B104" s="48" t="str">
        <x:v>Tier B v1.1 - N=29 rerun</x:v>
      </x:c>
      <x:c r="C104" s="48" t="str">
        <x:v>2026-07-16</x:v>
      </x:c>
      <x:c r="D104" s="48" t="str">
        <x:v>G06</x:v>
      </x:c>
      <x:c r="E104" s="48" t="str">
        <x:v>GATING_DECISION</x:v>
      </x:c>
      <x:c r="F104" s="48" t="str">
        <x:v>Three or more formal pre-investment gates</x:v>
      </x:c>
      <x:c r="G104" s="48" t="str">
        <x:v>source_vintage_bin</x:v>
      </x:c>
      <x:c r="H104" s="48" t="str">
        <x:v>2021_2023</x:v>
      </x:c>
      <x:c r="I104" s="48" t="str">
        <x:v>11</x:v>
      </x:c>
      <x:c r="J104" s="48" t="str">
        <x:v>10</x:v>
      </x:c>
      <x:c r="K104" s="48" t="str">
        <x:v>0</x:v>
      </x:c>
      <x:c r="L104" s="48" t="str">
        <x:v>1</x:v>
      </x:c>
      <x:c r="M104" s="48" t="str">
        <x:v>11</x:v>
      </x:c>
      <x:c r="N104" s="48" t="str">
        <x:v>0</x:v>
      </x:c>
      <x:c r="O104" s="48" t="str">
        <x:v>0</x:v>
      </x:c>
      <x:c r="P104" s="48" t="str">
        <x:v>0</x:v>
      </x:c>
      <x:c r="Q104" s="48" t="str">
        <x:v>0.909</x:v>
      </x:c>
      <x:c r="R104" s="48" t="str">
        <x:v>INCONCLUSIVE OR CONFOUNDED</x:v>
      </x:c>
      <x:c r="S104" s="48" t="str">
        <x:v>0.167</x:v>
      </x:c>
      <x:c r="T104" s="48" t="str">
        <x:v>2018_2020:N=6,p=1.000; 2021_2023:N=11,p=0.909; 2024_2026:N=12,p=0.833</x:v>
      </x:c>
      <x:c r="U104" s="48" t="str">
        <x:v>Adequate groups differ, but the maximum-minus-minimum prevalence lies between 0.15 and 0.35.</x:v>
      </x:c>
      <x:c r="V104" s="48" t="str">
        <x:v>At least 5 observable manager families in at least 2 driver groups</x:v>
      </x:c>
      <x:c r="W104" s="48" t="str">
        <x:v>&gt;=0.35 separates; &lt;=0.15 does not separate; intermediate is inconclusive/confounded; direct driver-definition tests are CIRCULAR</x:v>
      </x:c>
      <x:c r="X104" s="48" t="str">
        <x:v>MANAGER_SELF_DESCRIPTION; NOT BEHAVIOURAL FREQUENCY</x:v>
      </x:c>
    </x:row>
    <x:row r="105">
      <x:c r="A105" s="48" t="str">
        <x:v>B_GOVERNANCE_SEGMENTATION</x:v>
      </x:c>
      <x:c r="B105" s="48" t="str">
        <x:v>Tier B v1.1 - N=29 rerun</x:v>
      </x:c>
      <x:c r="C105" s="48" t="str">
        <x:v>2026-07-16</x:v>
      </x:c>
      <x:c r="D105" s="48" t="str">
        <x:v>G06</x:v>
      </x:c>
      <x:c r="E105" s="48" t="str">
        <x:v>GATING_DECISION</x:v>
      </x:c>
      <x:c r="F105" s="48" t="str">
        <x:v>Three or more formal pre-investment gates</x:v>
      </x:c>
      <x:c r="G105" s="48" t="str">
        <x:v>source_vintage_bin</x:v>
      </x:c>
      <x:c r="H105" s="48" t="str">
        <x:v>2024_2026</x:v>
      </x:c>
      <x:c r="I105" s="48" t="str">
        <x:v>12</x:v>
      </x:c>
      <x:c r="J105" s="48" t="str">
        <x:v>10</x:v>
      </x:c>
      <x:c r="K105" s="48" t="str">
        <x:v>1</x:v>
      </x:c>
      <x:c r="L105" s="48" t="str">
        <x:v>2</x:v>
      </x:c>
      <x:c r="M105" s="48" t="str">
        <x:v>12</x:v>
      </x:c>
      <x:c r="N105" s="48" t="str">
        <x:v>0</x:v>
      </x:c>
      <x:c r="O105" s="48" t="str">
        <x:v>0</x:v>
      </x:c>
      <x:c r="P105" s="48" t="str">
        <x:v>0</x:v>
      </x:c>
      <x:c r="Q105" s="48" t="str">
        <x:v>0.833</x:v>
      </x:c>
      <x:c r="R105" s="48" t="str">
        <x:v>INCONCLUSIVE OR CONFOUNDED</x:v>
      </x:c>
      <x:c r="S105" s="48" t="str">
        <x:v>0.167</x:v>
      </x:c>
      <x:c r="T105" s="48" t="str">
        <x:v>2018_2020:N=6,p=1.000; 2021_2023:N=11,p=0.909; 2024_2026:N=12,p=0.833</x:v>
      </x:c>
      <x:c r="U105" s="48" t="str">
        <x:v>Adequate groups differ, but the maximum-minus-minimum prevalence lies between 0.15 and 0.35.</x:v>
      </x:c>
      <x:c r="V105" s="48" t="str">
        <x:v>At least 5 observable manager families in at least 2 driver groups</x:v>
      </x:c>
      <x:c r="W105" s="48" t="str">
        <x:v>&gt;=0.35 separates; &lt;=0.15 does not separate; intermediate is inconclusive/confounded; direct driver-definition tests are CIRCULAR</x:v>
      </x:c>
      <x:c r="X105" s="48" t="str">
        <x:v>MANAGER_SELF_DESCRIPTION; NOT BEHAVIOURAL FREQUENCY</x:v>
      </x:c>
    </x:row>
    <x:row r="106">
      <x:c r="A106" s="48" t="str">
        <x:v>B_GOVERNANCE_SEGMENTATION</x:v>
      </x:c>
      <x:c r="B106" s="48" t="str">
        <x:v>Tier B v1.1 - N=29 rerun</x:v>
      </x:c>
      <x:c r="C106" s="48" t="str">
        <x:v>2026-07-16</x:v>
      </x:c>
      <x:c r="D106" s="48" t="str">
        <x:v>G06</x:v>
      </x:c>
      <x:c r="E106" s="48" t="str">
        <x:v>GATING_DECISION</x:v>
      </x:c>
      <x:c r="F106" s="48" t="str">
        <x:v>Three or more formal pre-investment gates</x:v>
      </x:c>
      <x:c r="G106" s="48" t="str">
        <x:v>governance_architecture</x:v>
      </x:c>
      <x:c r="H106" s="48" t="str">
        <x:v>IC_FINAL_OR_DE_FACTO</x:v>
      </x:c>
      <x:c r="I106" s="48" t="str">
        <x:v>26</x:v>
      </x:c>
      <x:c r="J106" s="48" t="str">
        <x:v>23</x:v>
      </x:c>
      <x:c r="K106" s="48" t="str">
        <x:v>1</x:v>
      </x:c>
      <x:c r="L106" s="48" t="str">
        <x:v>3</x:v>
      </x:c>
      <x:c r="M106" s="48" t="str">
        <x:v>26</x:v>
      </x:c>
      <x:c r="N106" s="48" t="str">
        <x:v>0</x:v>
      </x:c>
      <x:c r="O106" s="48" t="str">
        <x:v>0</x:v>
      </x:c>
      <x:c r="P106" s="48" t="str">
        <x:v>0</x:v>
      </x:c>
      <x:c r="Q106" s="48" t="str">
        <x:v>0.885</x:v>
      </x:c>
      <x:c r="R106" s="48" t="str">
        <x:v>N TOO SMALL</x:v>
      </x:c>
      <x:c r="S106" s="48" t="str"/>
      <x:c r="T106" s="48" t="str">
        <x:v>IC_FINAL_OR_DE_FACTO:N=26,p=0.885</x:v>
      </x:c>
      <x:c r="U106" s="48" t="str">
        <x:v>Fewer than two driver groups have at least 5 observable manager families.</x:v>
      </x:c>
      <x:c r="V106" s="48" t="str">
        <x:v>At least 5 observable manager families in at least 2 driver groups</x:v>
      </x:c>
      <x:c r="W106" s="48" t="str">
        <x:v>&gt;=0.35 separates; &lt;=0.15 does not separate; intermediate is inconclusive/confounded; direct driver-definition tests are CIRCULAR</x:v>
      </x:c>
      <x:c r="X106" s="48" t="str">
        <x:v>MANAGER_SELF_DESCRIPTION; NOT BEHAVIOURAL FREQUENCY</x:v>
      </x:c>
    </x:row>
    <x:row r="107">
      <x:c r="A107" s="48" t="str">
        <x:v>B_GOVERNANCE_SEGMENTATION</x:v>
      </x:c>
      <x:c r="B107" s="48" t="str">
        <x:v>Tier B v1.1 - N=29 rerun</x:v>
      </x:c>
      <x:c r="C107" s="48" t="str">
        <x:v>2026-07-16</x:v>
      </x:c>
      <x:c r="D107" s="48" t="str">
        <x:v>G06</x:v>
      </x:c>
      <x:c r="E107" s="48" t="str">
        <x:v>GATING_DECISION</x:v>
      </x:c>
      <x:c r="F107" s="48" t="str">
        <x:v>Three or more formal pre-investment gates</x:v>
      </x:c>
      <x:c r="G107" s="48" t="str">
        <x:v>governance_architecture</x:v>
      </x:c>
      <x:c r="H107" s="48" t="str">
        <x:v>IC_RECOMMENDS_SEPARATE_FINAL_AUTHORITY</x:v>
      </x:c>
      <x:c r="I107" s="48" t="str">
        <x:v>3</x:v>
      </x:c>
      <x:c r="J107" s="48" t="str">
        <x:v>3</x:v>
      </x:c>
      <x:c r="K107" s="48" t="str">
        <x:v>0</x:v>
      </x:c>
      <x:c r="L107" s="48" t="str">
        <x:v>0</x:v>
      </x:c>
      <x:c r="M107" s="48" t="str">
        <x:v>3</x:v>
      </x:c>
      <x:c r="N107" s="48" t="str">
        <x:v>0</x:v>
      </x:c>
      <x:c r="O107" s="48" t="str">
        <x:v>0</x:v>
      </x:c>
      <x:c r="P107" s="48" t="str">
        <x:v>0</x:v>
      </x:c>
      <x:c r="Q107" s="48" t="str">
        <x:v>1.000</x:v>
      </x:c>
      <x:c r="R107" s="48" t="str">
        <x:v>N TOO SMALL</x:v>
      </x:c>
      <x:c r="S107" s="48" t="str"/>
      <x:c r="T107" s="48" t="str">
        <x:v>IC_FINAL_OR_DE_FACTO:N=26,p=0.885</x:v>
      </x:c>
      <x:c r="U107" s="48" t="str">
        <x:v>Fewer than two driver groups have at least 5 observable manager families.</x:v>
      </x:c>
      <x:c r="V107" s="48" t="str">
        <x:v>At least 5 observable manager families in at least 2 driver groups</x:v>
      </x:c>
      <x:c r="W107" s="48" t="str">
        <x:v>&gt;=0.35 separates; &lt;=0.15 does not separate; intermediate is inconclusive/confounded; direct driver-definition tests are CIRCULAR</x:v>
      </x:c>
      <x:c r="X107" s="48" t="str">
        <x:v>MANAGER_SELF_DESCRIPTION; NOT BEHAVIOURAL FREQUENCY</x:v>
      </x:c>
    </x:row>
    <x:row r="108">
      <x:c r="A108" s="48" t="str">
        <x:v>B_GOVERNANCE_SEGMENTATION</x:v>
      </x:c>
      <x:c r="B108" s="48" t="str">
        <x:v>Tier B v1.1 - N=29 rerun</x:v>
      </x:c>
      <x:c r="C108" s="48" t="str">
        <x:v>2026-07-16</x:v>
      </x:c>
      <x:c r="D108" s="48" t="str">
        <x:v>G06</x:v>
      </x:c>
      <x:c r="E108" s="48" t="str">
        <x:v>GATING_DECISION</x:v>
      </x:c>
      <x:c r="F108" s="48" t="str">
        <x:v>Three or more formal pre-investment gates</x:v>
      </x:c>
      <x:c r="G108" s="48" t="str">
        <x:v>dedicated_operating_team</x:v>
      </x:c>
      <x:c r="H108" s="48" t="str">
        <x:v>NO_OR_LIMITED</x:v>
      </x:c>
      <x:c r="I108" s="48" t="str">
        <x:v>6</x:v>
      </x:c>
      <x:c r="J108" s="48" t="str">
        <x:v>5</x:v>
      </x:c>
      <x:c r="K108" s="48" t="str">
        <x:v>0</x:v>
      </x:c>
      <x:c r="L108" s="48" t="str">
        <x:v>1</x:v>
      </x:c>
      <x:c r="M108" s="48" t="str">
        <x:v>6</x:v>
      </x:c>
      <x:c r="N108" s="48" t="str">
        <x:v>0</x:v>
      </x:c>
      <x:c r="O108" s="48" t="str">
        <x:v>0</x:v>
      </x:c>
      <x:c r="P108" s="48" t="str">
        <x:v>0</x:v>
      </x:c>
      <x:c r="Q108" s="48" t="str">
        <x:v>0.833</x:v>
      </x:c>
      <x:c r="R108" s="48" t="str">
        <x:v>DRIVER DOES NOT SEPARATE</x:v>
      </x:c>
      <x:c r="S108" s="48" t="str">
        <x:v>0.080</x:v>
      </x:c>
      <x:c r="T108" s="48" t="str">
        <x:v>NO_OR_LIMITED:N=6,p=0.833; YES_DEDICATED:N=23,p=0.913</x:v>
      </x:c>
      <x:c r="U108" s="48" t="str">
        <x:v>Maximum-minus-minimum prevalence among adequately observed groups is no more than 0.15.</x:v>
      </x:c>
      <x:c r="V108" s="48" t="str">
        <x:v>At least 5 observable manager families in at least 2 driver groups</x:v>
      </x:c>
      <x:c r="W108" s="48" t="str">
        <x:v>&gt;=0.35 separates; &lt;=0.15 does not separate; intermediate is inconclusive/confounded; direct driver-definition tests are CIRCULAR</x:v>
      </x:c>
      <x:c r="X108" s="48" t="str">
        <x:v>MANAGER_SELF_DESCRIPTION; NOT BEHAVIOURAL FREQUENCY</x:v>
      </x:c>
    </x:row>
    <x:row r="109">
      <x:c r="A109" s="48" t="str">
        <x:v>B_GOVERNANCE_SEGMENTATION</x:v>
      </x:c>
      <x:c r="B109" s="48" t="str">
        <x:v>Tier B v1.1 - N=29 rerun</x:v>
      </x:c>
      <x:c r="C109" s="48" t="str">
        <x:v>2026-07-16</x:v>
      </x:c>
      <x:c r="D109" s="48" t="str">
        <x:v>G06</x:v>
      </x:c>
      <x:c r="E109" s="48" t="str">
        <x:v>GATING_DECISION</x:v>
      </x:c>
      <x:c r="F109" s="48" t="str">
        <x:v>Three or more formal pre-investment gates</x:v>
      </x:c>
      <x:c r="G109" s="48" t="str">
        <x:v>dedicated_operating_team</x:v>
      </x:c>
      <x:c r="H109" s="48" t="str">
        <x:v>YES_DEDICATED</x:v>
      </x:c>
      <x:c r="I109" s="48" t="str">
        <x:v>23</x:v>
      </x:c>
      <x:c r="J109" s="48" t="str">
        <x:v>21</x:v>
      </x:c>
      <x:c r="K109" s="48" t="str">
        <x:v>1</x:v>
      </x:c>
      <x:c r="L109" s="48" t="str">
        <x:v>2</x:v>
      </x:c>
      <x:c r="M109" s="48" t="str">
        <x:v>23</x:v>
      </x:c>
      <x:c r="N109" s="48" t="str">
        <x:v>0</x:v>
      </x:c>
      <x:c r="O109" s="48" t="str">
        <x:v>0</x:v>
      </x:c>
      <x:c r="P109" s="48" t="str">
        <x:v>0</x:v>
      </x:c>
      <x:c r="Q109" s="48" t="str">
        <x:v>0.913</x:v>
      </x:c>
      <x:c r="R109" s="48" t="str">
        <x:v>DRIVER DOES NOT SEPARATE</x:v>
      </x:c>
      <x:c r="S109" s="48" t="str">
        <x:v>0.080</x:v>
      </x:c>
      <x:c r="T109" s="48" t="str">
        <x:v>NO_OR_LIMITED:N=6,p=0.833; YES_DEDICATED:N=23,p=0.913</x:v>
      </x:c>
      <x:c r="U109" s="48" t="str">
        <x:v>Maximum-minus-minimum prevalence among adequately observed groups is no more than 0.15.</x:v>
      </x:c>
      <x:c r="V109" s="48" t="str">
        <x:v>At least 5 observable manager families in at least 2 driver groups</x:v>
      </x:c>
      <x:c r="W109" s="48" t="str">
        <x:v>&gt;=0.35 separates; &lt;=0.15 does not separate; intermediate is inconclusive/confounded; direct driver-definition tests are CIRCULAR</x:v>
      </x:c>
      <x:c r="X109" s="48" t="str">
        <x:v>MANAGER_SELF_DESCRIPTION; NOT BEHAVIOURAL FREQUENCY</x:v>
      </x:c>
    </x:row>
    <x:row r="110">
      <x:c r="A110" s="48" t="str">
        <x:v>B_GOVERNANCE_SEGMENTATION</x:v>
      </x:c>
      <x:c r="B110" s="48" t="str">
        <x:v>Tier B v1.1 - N=29 rerun</x:v>
      </x:c>
      <x:c r="C110" s="48" t="str">
        <x:v>2026-07-16</x:v>
      </x:c>
      <x:c r="D110" s="48" t="str">
        <x:v>G07</x:v>
      </x:c>
      <x:c r="E110" s="48" t="str">
        <x:v>GATING_DECISION</x:v>
      </x:c>
      <x:c r="F110" s="48" t="str">
        <x:v>Investment Committee is final investment authority</x:v>
      </x:c>
      <x:c r="G110" s="48" t="str">
        <x:v>fund_size_archetype</x:v>
      </x:c>
      <x:c r="H110" s="48" t="str">
        <x:v>LARGE_2_TO_LT_5B</x:v>
      </x:c>
      <x:c r="I110" s="48" t="str">
        <x:v>9</x:v>
      </x:c>
      <x:c r="J110" s="48" t="str">
        <x:v>8</x:v>
      </x:c>
      <x:c r="K110" s="48" t="str">
        <x:v>0</x:v>
      </x:c>
      <x:c r="L110" s="48" t="str">
        <x:v>1</x:v>
      </x:c>
      <x:c r="M110" s="48" t="str">
        <x:v>9</x:v>
      </x:c>
      <x:c r="N110" s="48" t="str">
        <x:v>0</x:v>
      </x:c>
      <x:c r="O110" s="48" t="str">
        <x:v>0</x:v>
      </x:c>
      <x:c r="P110" s="48" t="str">
        <x:v>0</x:v>
      </x:c>
      <x:c r="Q110" s="48" t="str">
        <x:v>0.889</x:v>
      </x:c>
      <x:c r="R110" s="48" t="str">
        <x:v>DRIVER DOES NOT SEPARATE</x:v>
      </x:c>
      <x:c r="S110" s="48" t="str">
        <x:v>0.111</x:v>
      </x:c>
      <x:c r="T110" s="48" t="str">
        <x:v>LARGE_2_TO_LT_5B:N=9,p=0.889; LOWER_MID_LT_2B:N=8,p=1.000; MEGA_GE_5B:N=11,p=0.909</x:v>
      </x:c>
      <x:c r="U110" s="48" t="str">
        <x:v>Maximum-minus-minimum prevalence among adequately observed groups is no more than 0.15.</x:v>
      </x:c>
      <x:c r="V110" s="48" t="str">
        <x:v>At least 5 observable manager families in at least 2 driver groups</x:v>
      </x:c>
      <x:c r="W110" s="48" t="str">
        <x:v>&gt;=0.35 separates; &lt;=0.15 does not separate; intermediate is inconclusive/confounded; direct driver-definition tests are CIRCULAR</x:v>
      </x:c>
      <x:c r="X110" s="48" t="str">
        <x:v>MANAGER_SELF_DESCRIPTION; NOT BEHAVIOURAL FREQUENCY</x:v>
      </x:c>
    </x:row>
    <x:row r="111">
      <x:c r="A111" s="48" t="str">
        <x:v>B_GOVERNANCE_SEGMENTATION</x:v>
      </x:c>
      <x:c r="B111" s="48" t="str">
        <x:v>Tier B v1.1 - N=29 rerun</x:v>
      </x:c>
      <x:c r="C111" s="48" t="str">
        <x:v>2026-07-16</x:v>
      </x:c>
      <x:c r="D111" s="48" t="str">
        <x:v>G07</x:v>
      </x:c>
      <x:c r="E111" s="48" t="str">
        <x:v>GATING_DECISION</x:v>
      </x:c>
      <x:c r="F111" s="48" t="str">
        <x:v>Investment Committee is final investment authority</x:v>
      </x:c>
      <x:c r="G111" s="48" t="str">
        <x:v>fund_size_archetype</x:v>
      </x:c>
      <x:c r="H111" s="48" t="str">
        <x:v>LOWER_MID_LT_2B</x:v>
      </x:c>
      <x:c r="I111" s="48" t="str">
        <x:v>8</x:v>
      </x:c>
      <x:c r="J111" s="48" t="str">
        <x:v>8</x:v>
      </x:c>
      <x:c r="K111" s="48" t="str">
        <x:v>0</x:v>
      </x:c>
      <x:c r="L111" s="48" t="str">
        <x:v>0</x:v>
      </x:c>
      <x:c r="M111" s="48" t="str">
        <x:v>8</x:v>
      </x:c>
      <x:c r="N111" s="48" t="str">
        <x:v>0</x:v>
      </x:c>
      <x:c r="O111" s="48" t="str">
        <x:v>0</x:v>
      </x:c>
      <x:c r="P111" s="48" t="str">
        <x:v>0</x:v>
      </x:c>
      <x:c r="Q111" s="48" t="str">
        <x:v>1.000</x:v>
      </x:c>
      <x:c r="R111" s="48" t="str">
        <x:v>DRIVER DOES NOT SEPARATE</x:v>
      </x:c>
      <x:c r="S111" s="48" t="str">
        <x:v>0.111</x:v>
      </x:c>
      <x:c r="T111" s="48" t="str">
        <x:v>LARGE_2_TO_LT_5B:N=9,p=0.889; LOWER_MID_LT_2B:N=8,p=1.000; MEGA_GE_5B:N=11,p=0.909</x:v>
      </x:c>
      <x:c r="U111" s="48" t="str">
        <x:v>Maximum-minus-minimum prevalence among adequately observed groups is no more than 0.15.</x:v>
      </x:c>
      <x:c r="V111" s="48" t="str">
        <x:v>At least 5 observable manager families in at least 2 driver groups</x:v>
      </x:c>
      <x:c r="W111" s="48" t="str">
        <x:v>&gt;=0.35 separates; &lt;=0.15 does not separate; intermediate is inconclusive/confounded; direct driver-definition tests are CIRCULAR</x:v>
      </x:c>
      <x:c r="X111" s="48" t="str">
        <x:v>MANAGER_SELF_DESCRIPTION; NOT BEHAVIOURAL FREQUENCY</x:v>
      </x:c>
    </x:row>
    <x:row r="112">
      <x:c r="A112" s="48" t="str">
        <x:v>B_GOVERNANCE_SEGMENTATION</x:v>
      </x:c>
      <x:c r="B112" s="48" t="str">
        <x:v>Tier B v1.1 - N=29 rerun</x:v>
      </x:c>
      <x:c r="C112" s="48" t="str">
        <x:v>2026-07-16</x:v>
      </x:c>
      <x:c r="D112" s="48" t="str">
        <x:v>G07</x:v>
      </x:c>
      <x:c r="E112" s="48" t="str">
        <x:v>GATING_DECISION</x:v>
      </x:c>
      <x:c r="F112" s="48" t="str">
        <x:v>Investment Committee is final investment authority</x:v>
      </x:c>
      <x:c r="G112" s="48" t="str">
        <x:v>fund_size_archetype</x:v>
      </x:c>
      <x:c r="H112" s="48" t="str">
        <x:v>MEGA_GE_5B</x:v>
      </x:c>
      <x:c r="I112" s="48" t="str">
        <x:v>11</x:v>
      </x:c>
      <x:c r="J112" s="48" t="str">
        <x:v>10</x:v>
      </x:c>
      <x:c r="K112" s="48" t="str">
        <x:v>0</x:v>
      </x:c>
      <x:c r="L112" s="48" t="str">
        <x:v>1</x:v>
      </x:c>
      <x:c r="M112" s="48" t="str">
        <x:v>11</x:v>
      </x:c>
      <x:c r="N112" s="48" t="str">
        <x:v>0</x:v>
      </x:c>
      <x:c r="O112" s="48" t="str">
        <x:v>0</x:v>
      </x:c>
      <x:c r="P112" s="48" t="str">
        <x:v>0</x:v>
      </x:c>
      <x:c r="Q112" s="48" t="str">
        <x:v>0.909</x:v>
      </x:c>
      <x:c r="R112" s="48" t="str">
        <x:v>DRIVER DOES NOT SEPARATE</x:v>
      </x:c>
      <x:c r="S112" s="48" t="str">
        <x:v>0.111</x:v>
      </x:c>
      <x:c r="T112" s="48" t="str">
        <x:v>LARGE_2_TO_LT_5B:N=9,p=0.889; LOWER_MID_LT_2B:N=8,p=1.000; MEGA_GE_5B:N=11,p=0.909</x:v>
      </x:c>
      <x:c r="U112" s="48" t="str">
        <x:v>Maximum-minus-minimum prevalence among adequately observed groups is no more than 0.15.</x:v>
      </x:c>
      <x:c r="V112" s="48" t="str">
        <x:v>At least 5 observable manager families in at least 2 driver groups</x:v>
      </x:c>
      <x:c r="W112" s="48" t="str">
        <x:v>&gt;=0.35 separates; &lt;=0.15 does not separate; intermediate is inconclusive/confounded; direct driver-definition tests are CIRCULAR</x:v>
      </x:c>
      <x:c r="X112" s="48" t="str">
        <x:v>MANAGER_SELF_DESCRIPTION; NOT BEHAVIOURAL FREQUENCY</x:v>
      </x:c>
    </x:row>
    <x:row r="113">
      <x:c r="A113" s="48" t="str">
        <x:v>B_GOVERNANCE_SEGMENTATION</x:v>
      </x:c>
      <x:c r="B113" s="48" t="str">
        <x:v>Tier B v1.1 - N=29 rerun</x:v>
      </x:c>
      <x:c r="C113" s="48" t="str">
        <x:v>2026-07-16</x:v>
      </x:c>
      <x:c r="D113" s="48" t="str">
        <x:v>G07</x:v>
      </x:c>
      <x:c r="E113" s="48" t="str">
        <x:v>GATING_DECISION</x:v>
      </x:c>
      <x:c r="F113" s="48" t="str">
        <x:v>Investment Committee is final investment authority</x:v>
      </x:c>
      <x:c r="G113" s="48" t="str">
        <x:v>fund_size_archetype</x:v>
      </x:c>
      <x:c r="H113" s="48" t="str">
        <x:v>NOT_APPLICABLE</x:v>
      </x:c>
      <x:c r="I113" s="48" t="str">
        <x:v>1</x:v>
      </x:c>
      <x:c r="J113" s="48" t="str">
        <x:v>0</x:v>
      </x:c>
      <x:c r="K113" s="48" t="str">
        <x:v>0</x:v>
      </x:c>
      <x:c r="L113" s="48" t="str">
        <x:v>1</x:v>
      </x:c>
      <x:c r="M113" s="48" t="str">
        <x:v>1</x:v>
      </x:c>
      <x:c r="N113" s="48" t="str">
        <x:v>0</x:v>
      </x:c>
      <x:c r="O113" s="48" t="str">
        <x:v>0</x:v>
      </x:c>
      <x:c r="P113" s="48" t="str">
        <x:v>0</x:v>
      </x:c>
      <x:c r="Q113" s="48" t="str">
        <x:v>0.000</x:v>
      </x:c>
      <x:c r="R113" s="48" t="str">
        <x:v>DRIVER DOES NOT SEPARATE</x:v>
      </x:c>
      <x:c r="S113" s="48" t="str">
        <x:v>0.111</x:v>
      </x:c>
      <x:c r="T113" s="48" t="str">
        <x:v>LARGE_2_TO_LT_5B:N=9,p=0.889; LOWER_MID_LT_2B:N=8,p=1.000; MEGA_GE_5B:N=11,p=0.909</x:v>
      </x:c>
      <x:c r="U113" s="48" t="str">
        <x:v>Maximum-minus-minimum prevalence among adequately observed groups is no more than 0.15.</x:v>
      </x:c>
      <x:c r="V113" s="48" t="str">
        <x:v>At least 5 observable manager families in at least 2 driver groups</x:v>
      </x:c>
      <x:c r="W113" s="48" t="str">
        <x:v>&gt;=0.35 separates; &lt;=0.15 does not separate; intermediate is inconclusive/confounded; direct driver-definition tests are CIRCULAR</x:v>
      </x:c>
      <x:c r="X113" s="48" t="str">
        <x:v>MANAGER_SELF_DESCRIPTION; NOT BEHAVIOURAL FREQUENCY</x:v>
      </x:c>
    </x:row>
    <x:row r="114">
      <x:c r="A114" s="48" t="str">
        <x:v>B_GOVERNANCE_SEGMENTATION</x:v>
      </x:c>
      <x:c r="B114" s="48" t="str">
        <x:v>Tier B v1.1 - N=29 rerun</x:v>
      </x:c>
      <x:c r="C114" s="48" t="str">
        <x:v>2026-07-16</x:v>
      </x:c>
      <x:c r="D114" s="48" t="str">
        <x:v>G07</x:v>
      </x:c>
      <x:c r="E114" s="48" t="str">
        <x:v>GATING_DECISION</x:v>
      </x:c>
      <x:c r="F114" s="48" t="str">
        <x:v>Investment Committee is final investment authority</x:v>
      </x:c>
      <x:c r="G114" s="48" t="str">
        <x:v>strategy</x:v>
      </x:c>
      <x:c r="H114" s="48" t="str">
        <x:v>CONTROL_BUYOUT</x:v>
      </x:c>
      <x:c r="I114" s="48" t="str">
        <x:v>22</x:v>
      </x:c>
      <x:c r="J114" s="48" t="str">
        <x:v>20</x:v>
      </x:c>
      <x:c r="K114" s="48" t="str">
        <x:v>0</x:v>
      </x:c>
      <x:c r="L114" s="48" t="str">
        <x:v>2</x:v>
      </x:c>
      <x:c r="M114" s="48" t="str">
        <x:v>22</x:v>
      </x:c>
      <x:c r="N114" s="48" t="str">
        <x:v>0</x:v>
      </x:c>
      <x:c r="O114" s="48" t="str">
        <x:v>0</x:v>
      </x:c>
      <x:c r="P114" s="48" t="str">
        <x:v>0</x:v>
      </x:c>
      <x:c r="Q114" s="48" t="str">
        <x:v>0.909</x:v>
      </x:c>
      <x:c r="R114" s="48" t="str">
        <x:v>DRIVER DOES NOT SEPARATE</x:v>
      </x:c>
      <x:c r="S114" s="48" t="str">
        <x:v>0.076</x:v>
      </x:c>
      <x:c r="T114" s="48" t="str">
        <x:v>CONTROL_BUYOUT:N=22,p=0.909; GROWTH_CONTROL_HYBRID:N=6,p=0.833</x:v>
      </x:c>
      <x:c r="U114" s="48" t="str">
        <x:v>Maximum-minus-minimum prevalence among adequately observed groups is no more than 0.15.</x:v>
      </x:c>
      <x:c r="V114" s="48" t="str">
        <x:v>At least 5 observable manager families in at least 2 driver groups</x:v>
      </x:c>
      <x:c r="W114" s="48" t="str">
        <x:v>&gt;=0.35 separates; &lt;=0.15 does not separate; intermediate is inconclusive/confounded; direct driver-definition tests are CIRCULAR</x:v>
      </x:c>
      <x:c r="X114" s="48" t="str">
        <x:v>MANAGER_SELF_DESCRIPTION; NOT BEHAVIOURAL FREQUENCY</x:v>
      </x:c>
    </x:row>
    <x:row r="115">
      <x:c r="A115" s="48" t="str">
        <x:v>B_GOVERNANCE_SEGMENTATION</x:v>
      </x:c>
      <x:c r="B115" s="48" t="str">
        <x:v>Tier B v1.1 - N=29 rerun</x:v>
      </x:c>
      <x:c r="C115" s="48" t="str">
        <x:v>2026-07-16</x:v>
      </x:c>
      <x:c r="D115" s="48" t="str">
        <x:v>G07</x:v>
      </x:c>
      <x:c r="E115" s="48" t="str">
        <x:v>GATING_DECISION</x:v>
      </x:c>
      <x:c r="F115" s="48" t="str">
        <x:v>Investment Committee is final investment authority</x:v>
      </x:c>
      <x:c r="G115" s="48" t="str">
        <x:v>strategy</x:v>
      </x:c>
      <x:c r="H115" s="48" t="str">
        <x:v>GROWTH_CONTROL_HYBRID</x:v>
      </x:c>
      <x:c r="I115" s="48" t="str">
        <x:v>6</x:v>
      </x:c>
      <x:c r="J115" s="48" t="str">
        <x:v>5</x:v>
      </x:c>
      <x:c r="K115" s="48" t="str">
        <x:v>0</x:v>
      </x:c>
      <x:c r="L115" s="48" t="str">
        <x:v>1</x:v>
      </x:c>
      <x:c r="M115" s="48" t="str">
        <x:v>6</x:v>
      </x:c>
      <x:c r="N115" s="48" t="str">
        <x:v>0</x:v>
      </x:c>
      <x:c r="O115" s="48" t="str">
        <x:v>0</x:v>
      </x:c>
      <x:c r="P115" s="48" t="str">
        <x:v>0</x:v>
      </x:c>
      <x:c r="Q115" s="48" t="str">
        <x:v>0.833</x:v>
      </x:c>
      <x:c r="R115" s="48" t="str">
        <x:v>DRIVER DOES NOT SEPARATE</x:v>
      </x:c>
      <x:c r="S115" s="48" t="str">
        <x:v>0.076</x:v>
      </x:c>
      <x:c r="T115" s="48" t="str">
        <x:v>CONTROL_BUYOUT:N=22,p=0.909; GROWTH_CONTROL_HYBRID:N=6,p=0.833</x:v>
      </x:c>
      <x:c r="U115" s="48" t="str">
        <x:v>Maximum-minus-minimum prevalence among adequately observed groups is no more than 0.15.</x:v>
      </x:c>
      <x:c r="V115" s="48" t="str">
        <x:v>At least 5 observable manager families in at least 2 driver groups</x:v>
      </x:c>
      <x:c r="W115" s="48" t="str">
        <x:v>&gt;=0.35 separates; &lt;=0.15 does not separate; intermediate is inconclusive/confounded; direct driver-definition tests are CIRCULAR</x:v>
      </x:c>
      <x:c r="X115" s="48" t="str">
        <x:v>MANAGER_SELF_DESCRIPTION; NOT BEHAVIOURAL FREQUENCY</x:v>
      </x:c>
    </x:row>
    <x:row r="116">
      <x:c r="A116" s="48" t="str">
        <x:v>B_GOVERNANCE_SEGMENTATION</x:v>
      </x:c>
      <x:c r="B116" s="48" t="str">
        <x:v>Tier B v1.1 - N=29 rerun</x:v>
      </x:c>
      <x:c r="C116" s="48" t="str">
        <x:v>2026-07-16</x:v>
      </x:c>
      <x:c r="D116" s="48" t="str">
        <x:v>G07</x:v>
      </x:c>
      <x:c r="E116" s="48" t="str">
        <x:v>GATING_DECISION</x:v>
      </x:c>
      <x:c r="F116" s="48" t="str">
        <x:v>Investment Committee is final investment authority</x:v>
      </x:c>
      <x:c r="G116" s="48" t="str">
        <x:v>strategy</x:v>
      </x:c>
      <x:c r="H116" s="48" t="str">
        <x:v>OPPORTUNISTIC_CONTROL</x:v>
      </x:c>
      <x:c r="I116" s="48" t="str">
        <x:v>1</x:v>
      </x:c>
      <x:c r="J116" s="48" t="str">
        <x:v>1</x:v>
      </x:c>
      <x:c r="K116" s="48" t="str">
        <x:v>0</x:v>
      </x:c>
      <x:c r="L116" s="48" t="str">
        <x:v>0</x:v>
      </x:c>
      <x:c r="M116" s="48" t="str">
        <x:v>1</x:v>
      </x:c>
      <x:c r="N116" s="48" t="str">
        <x:v>0</x:v>
      </x:c>
      <x:c r="O116" s="48" t="str">
        <x:v>0</x:v>
      </x:c>
      <x:c r="P116" s="48" t="str">
        <x:v>0</x:v>
      </x:c>
      <x:c r="Q116" s="48" t="str">
        <x:v>1.000</x:v>
      </x:c>
      <x:c r="R116" s="48" t="str">
        <x:v>DRIVER DOES NOT SEPARATE</x:v>
      </x:c>
      <x:c r="S116" s="48" t="str">
        <x:v>0.076</x:v>
      </x:c>
      <x:c r="T116" s="48" t="str">
        <x:v>CONTROL_BUYOUT:N=22,p=0.909; GROWTH_CONTROL_HYBRID:N=6,p=0.833</x:v>
      </x:c>
      <x:c r="U116" s="48" t="str">
        <x:v>Maximum-minus-minimum prevalence among adequately observed groups is no more than 0.15.</x:v>
      </x:c>
      <x:c r="V116" s="48" t="str">
        <x:v>At least 5 observable manager families in at least 2 driver groups</x:v>
      </x:c>
      <x:c r="W116" s="48" t="str">
        <x:v>&gt;=0.35 separates; &lt;=0.15 does not separate; intermediate is inconclusive/confounded; direct driver-definition tests are CIRCULAR</x:v>
      </x:c>
      <x:c r="X116" s="48" t="str">
        <x:v>MANAGER_SELF_DESCRIPTION; NOT BEHAVIOURAL FREQUENCY</x:v>
      </x:c>
    </x:row>
    <x:row r="117">
      <x:c r="A117" s="48" t="str">
        <x:v>B_GOVERNANCE_SEGMENTATION</x:v>
      </x:c>
      <x:c r="B117" s="48" t="str">
        <x:v>Tier B v1.1 - N=29 rerun</x:v>
      </x:c>
      <x:c r="C117" s="48" t="str">
        <x:v>2026-07-16</x:v>
      </x:c>
      <x:c r="D117" s="48" t="str">
        <x:v>G07</x:v>
      </x:c>
      <x:c r="E117" s="48" t="str">
        <x:v>GATING_DECISION</x:v>
      </x:c>
      <x:c r="F117" s="48" t="str">
        <x:v>Investment Committee is final investment authority</x:v>
      </x:c>
      <x:c r="G117" s="48" t="str">
        <x:v>geography</x:v>
      </x:c>
      <x:c r="H117" s="48" t="str">
        <x:v>ASIA_PACIFIC</x:v>
      </x:c>
      <x:c r="I117" s="48" t="str">
        <x:v>4</x:v>
      </x:c>
      <x:c r="J117" s="48" t="str">
        <x:v>3</x:v>
      </x:c>
      <x:c r="K117" s="48" t="str">
        <x:v>0</x:v>
      </x:c>
      <x:c r="L117" s="48" t="str">
        <x:v>1</x:v>
      </x:c>
      <x:c r="M117" s="48" t="str">
        <x:v>4</x:v>
      </x:c>
      <x:c r="N117" s="48" t="str">
        <x:v>0</x:v>
      </x:c>
      <x:c r="O117" s="48" t="str">
        <x:v>0</x:v>
      </x:c>
      <x:c r="P117" s="48" t="str">
        <x:v>0</x:v>
      </x:c>
      <x:c r="Q117" s="48" t="str">
        <x:v>0.750</x:v>
      </x:c>
      <x:c r="R117" s="48" t="str">
        <x:v>DRIVER DOES NOT SEPARATE</x:v>
      </x:c>
      <x:c r="S117" s="48" t="str">
        <x:v>0.100</x:v>
      </x:c>
      <x:c r="T117" s="48" t="str">
        <x:v>GLOBAL_TRANSATLANTIC:N=10,p=0.900; NORTH_AMERICA:N=13,p=1.000</x:v>
      </x:c>
      <x:c r="U117" s="48" t="str">
        <x:v>Maximum-minus-minimum prevalence among adequately observed groups is no more than 0.15.</x:v>
      </x:c>
      <x:c r="V117" s="48" t="str">
        <x:v>At least 5 observable manager families in at least 2 driver groups</x:v>
      </x:c>
      <x:c r="W117" s="48" t="str">
        <x:v>&gt;=0.35 separates; &lt;=0.15 does not separate; intermediate is inconclusive/confounded; direct driver-definition tests are CIRCULAR</x:v>
      </x:c>
      <x:c r="X117" s="48" t="str">
        <x:v>MANAGER_SELF_DESCRIPTION; NOT BEHAVIOURAL FREQUENCY</x:v>
      </x:c>
    </x:row>
    <x:row r="118">
      <x:c r="A118" s="48" t="str">
        <x:v>B_GOVERNANCE_SEGMENTATION</x:v>
      </x:c>
      <x:c r="B118" s="48" t="str">
        <x:v>Tier B v1.1 - N=29 rerun</x:v>
      </x:c>
      <x:c r="C118" s="48" t="str">
        <x:v>2026-07-16</x:v>
      </x:c>
      <x:c r="D118" s="48" t="str">
        <x:v>G07</x:v>
      </x:c>
      <x:c r="E118" s="48" t="str">
        <x:v>GATING_DECISION</x:v>
      </x:c>
      <x:c r="F118" s="48" t="str">
        <x:v>Investment Committee is final investment authority</x:v>
      </x:c>
      <x:c r="G118" s="48" t="str">
        <x:v>geography</x:v>
      </x:c>
      <x:c r="H118" s="48" t="str">
        <x:v>EUROPE</x:v>
      </x:c>
      <x:c r="I118" s="48" t="str">
        <x:v>2</x:v>
      </x:c>
      <x:c r="J118" s="48" t="str">
        <x:v>1</x:v>
      </x:c>
      <x:c r="K118" s="48" t="str">
        <x:v>0</x:v>
      </x:c>
      <x:c r="L118" s="48" t="str">
        <x:v>1</x:v>
      </x:c>
      <x:c r="M118" s="48" t="str">
        <x:v>2</x:v>
      </x:c>
      <x:c r="N118" s="48" t="str">
        <x:v>0</x:v>
      </x:c>
      <x:c r="O118" s="48" t="str">
        <x:v>0</x:v>
      </x:c>
      <x:c r="P118" s="48" t="str">
        <x:v>0</x:v>
      </x:c>
      <x:c r="Q118" s="48" t="str">
        <x:v>0.500</x:v>
      </x:c>
      <x:c r="R118" s="48" t="str">
        <x:v>DRIVER DOES NOT SEPARATE</x:v>
      </x:c>
      <x:c r="S118" s="48" t="str">
        <x:v>0.100</x:v>
      </x:c>
      <x:c r="T118" s="48" t="str">
        <x:v>GLOBAL_TRANSATLANTIC:N=10,p=0.900; NORTH_AMERICA:N=13,p=1.000</x:v>
      </x:c>
      <x:c r="U118" s="48" t="str">
        <x:v>Maximum-minus-minimum prevalence among adequately observed groups is no more than 0.15.</x:v>
      </x:c>
      <x:c r="V118" s="48" t="str">
        <x:v>At least 5 observable manager families in at least 2 driver groups</x:v>
      </x:c>
      <x:c r="W118" s="48" t="str">
        <x:v>&gt;=0.35 separates; &lt;=0.15 does not separate; intermediate is inconclusive/confounded; direct driver-definition tests are CIRCULAR</x:v>
      </x:c>
      <x:c r="X118" s="48" t="str">
        <x:v>MANAGER_SELF_DESCRIPTION; NOT BEHAVIOURAL FREQUENCY</x:v>
      </x:c>
    </x:row>
    <x:row r="119">
      <x:c r="A119" s="48" t="str">
        <x:v>B_GOVERNANCE_SEGMENTATION</x:v>
      </x:c>
      <x:c r="B119" s="48" t="str">
        <x:v>Tier B v1.1 - N=29 rerun</x:v>
      </x:c>
      <x:c r="C119" s="48" t="str">
        <x:v>2026-07-16</x:v>
      </x:c>
      <x:c r="D119" s="48" t="str">
        <x:v>G07</x:v>
      </x:c>
      <x:c r="E119" s="48" t="str">
        <x:v>GATING_DECISION</x:v>
      </x:c>
      <x:c r="F119" s="48" t="str">
        <x:v>Investment Committee is final investment authority</x:v>
      </x:c>
      <x:c r="G119" s="48" t="str">
        <x:v>geography</x:v>
      </x:c>
      <x:c r="H119" s="48" t="str">
        <x:v>GLOBAL_TRANSATLANTIC</x:v>
      </x:c>
      <x:c r="I119" s="48" t="str">
        <x:v>10</x:v>
      </x:c>
      <x:c r="J119" s="48" t="str">
        <x:v>9</x:v>
      </x:c>
      <x:c r="K119" s="48" t="str">
        <x:v>0</x:v>
      </x:c>
      <x:c r="L119" s="48" t="str">
        <x:v>1</x:v>
      </x:c>
      <x:c r="M119" s="48" t="str">
        <x:v>10</x:v>
      </x:c>
      <x:c r="N119" s="48" t="str">
        <x:v>0</x:v>
      </x:c>
      <x:c r="O119" s="48" t="str">
        <x:v>0</x:v>
      </x:c>
      <x:c r="P119" s="48" t="str">
        <x:v>0</x:v>
      </x:c>
      <x:c r="Q119" s="48" t="str">
        <x:v>0.900</x:v>
      </x:c>
      <x:c r="R119" s="48" t="str">
        <x:v>DRIVER DOES NOT SEPARATE</x:v>
      </x:c>
      <x:c r="S119" s="48" t="str">
        <x:v>0.100</x:v>
      </x:c>
      <x:c r="T119" s="48" t="str">
        <x:v>GLOBAL_TRANSATLANTIC:N=10,p=0.900; NORTH_AMERICA:N=13,p=1.000</x:v>
      </x:c>
      <x:c r="U119" s="48" t="str">
        <x:v>Maximum-minus-minimum prevalence among adequately observed groups is no more than 0.15.</x:v>
      </x:c>
      <x:c r="V119" s="48" t="str">
        <x:v>At least 5 observable manager families in at least 2 driver groups</x:v>
      </x:c>
      <x:c r="W119" s="48" t="str">
        <x:v>&gt;=0.35 separates; &lt;=0.15 does not separate; intermediate is inconclusive/confounded; direct driver-definition tests are CIRCULAR</x:v>
      </x:c>
      <x:c r="X119" s="48" t="str">
        <x:v>MANAGER_SELF_DESCRIPTION; NOT BEHAVIOURAL FREQUENCY</x:v>
      </x:c>
    </x:row>
    <x:row r="120">
      <x:c r="A120" s="48" t="str">
        <x:v>B_GOVERNANCE_SEGMENTATION</x:v>
      </x:c>
      <x:c r="B120" s="48" t="str">
        <x:v>Tier B v1.1 - N=29 rerun</x:v>
      </x:c>
      <x:c r="C120" s="48" t="str">
        <x:v>2026-07-16</x:v>
      </x:c>
      <x:c r="D120" s="48" t="str">
        <x:v>G07</x:v>
      </x:c>
      <x:c r="E120" s="48" t="str">
        <x:v>GATING_DECISION</x:v>
      </x:c>
      <x:c r="F120" s="48" t="str">
        <x:v>Investment Committee is final investment authority</x:v>
      </x:c>
      <x:c r="G120" s="48" t="str">
        <x:v>geography</x:v>
      </x:c>
      <x:c r="H120" s="48" t="str">
        <x:v>NORTH_AMERICA</x:v>
      </x:c>
      <x:c r="I120" s="48" t="str">
        <x:v>13</x:v>
      </x:c>
      <x:c r="J120" s="48" t="str">
        <x:v>13</x:v>
      </x:c>
      <x:c r="K120" s="48" t="str">
        <x:v>0</x:v>
      </x:c>
      <x:c r="L120" s="48" t="str">
        <x:v>0</x:v>
      </x:c>
      <x:c r="M120" s="48" t="str">
        <x:v>13</x:v>
      </x:c>
      <x:c r="N120" s="48" t="str">
        <x:v>0</x:v>
      </x:c>
      <x:c r="O120" s="48" t="str">
        <x:v>0</x:v>
      </x:c>
      <x:c r="P120" s="48" t="str">
        <x:v>0</x:v>
      </x:c>
      <x:c r="Q120" s="48" t="str">
        <x:v>1.000</x:v>
      </x:c>
      <x:c r="R120" s="48" t="str">
        <x:v>DRIVER DOES NOT SEPARATE</x:v>
      </x:c>
      <x:c r="S120" s="48" t="str">
        <x:v>0.100</x:v>
      </x:c>
      <x:c r="T120" s="48" t="str">
        <x:v>GLOBAL_TRANSATLANTIC:N=10,p=0.900; NORTH_AMERICA:N=13,p=1.000</x:v>
      </x:c>
      <x:c r="U120" s="48" t="str">
        <x:v>Maximum-minus-minimum prevalence among adequately observed groups is no more than 0.15.</x:v>
      </x:c>
      <x:c r="V120" s="48" t="str">
        <x:v>At least 5 observable manager families in at least 2 driver groups</x:v>
      </x:c>
      <x:c r="W120" s="48" t="str">
        <x:v>&gt;=0.35 separates; &lt;=0.15 does not separate; intermediate is inconclusive/confounded; direct driver-definition tests are CIRCULAR</x:v>
      </x:c>
      <x:c r="X120" s="48" t="str">
        <x:v>MANAGER_SELF_DESCRIPTION; NOT BEHAVIOURAL FREQUENCY</x:v>
      </x:c>
    </x:row>
    <x:row r="121">
      <x:c r="A121" s="48" t="str">
        <x:v>B_GOVERNANCE_SEGMENTATION</x:v>
      </x:c>
      <x:c r="B121" s="48" t="str">
        <x:v>Tier B v1.1 - N=29 rerun</x:v>
      </x:c>
      <x:c r="C121" s="48" t="str">
        <x:v>2026-07-16</x:v>
      </x:c>
      <x:c r="D121" s="48" t="str">
        <x:v>G07</x:v>
      </x:c>
      <x:c r="E121" s="48" t="str">
        <x:v>GATING_DECISION</x:v>
      </x:c>
      <x:c r="F121" s="48" t="str">
        <x:v>Investment Committee is final investment authority</x:v>
      </x:c>
      <x:c r="G121" s="48" t="str">
        <x:v>source_vintage_bin</x:v>
      </x:c>
      <x:c r="H121" s="48" t="str">
        <x:v>2018_2020</x:v>
      </x:c>
      <x:c r="I121" s="48" t="str">
        <x:v>6</x:v>
      </x:c>
      <x:c r="J121" s="48" t="str">
        <x:v>4</x:v>
      </x:c>
      <x:c r="K121" s="48" t="str">
        <x:v>0</x:v>
      </x:c>
      <x:c r="L121" s="48" t="str">
        <x:v>2</x:v>
      </x:c>
      <x:c r="M121" s="48" t="str">
        <x:v>6</x:v>
      </x:c>
      <x:c r="N121" s="48" t="str">
        <x:v>0</x:v>
      </x:c>
      <x:c r="O121" s="48" t="str">
        <x:v>0</x:v>
      </x:c>
      <x:c r="P121" s="48" t="str">
        <x:v>0</x:v>
      </x:c>
      <x:c r="Q121" s="48" t="str">
        <x:v>0.667</x:v>
      </x:c>
      <x:c r="R121" s="48" t="str">
        <x:v>INCONCLUSIVE OR CONFOUNDED</x:v>
      </x:c>
      <x:c r="S121" s="48" t="str">
        <x:v>0.333</x:v>
      </x:c>
      <x:c r="T121" s="48" t="str">
        <x:v>2018_2020:N=6,p=0.667; 2021_2023:N=11,p=0.909; 2024_2026:N=12,p=1.000</x:v>
      </x:c>
      <x:c r="U121" s="48" t="str">
        <x:v>Adequate groups differ, but the maximum-minus-minimum prevalence lies between 0.15 and 0.35.</x:v>
      </x:c>
      <x:c r="V121" s="48" t="str">
        <x:v>At least 5 observable manager families in at least 2 driver groups</x:v>
      </x:c>
      <x:c r="W121" s="48" t="str">
        <x:v>&gt;=0.35 separates; &lt;=0.15 does not separate; intermediate is inconclusive/confounded; direct driver-definition tests are CIRCULAR</x:v>
      </x:c>
      <x:c r="X121" s="48" t="str">
        <x:v>MANAGER_SELF_DESCRIPTION; NOT BEHAVIOURAL FREQUENCY</x:v>
      </x:c>
    </x:row>
    <x:row r="122">
      <x:c r="A122" s="48" t="str">
        <x:v>B_GOVERNANCE_SEGMENTATION</x:v>
      </x:c>
      <x:c r="B122" s="48" t="str">
        <x:v>Tier B v1.1 - N=29 rerun</x:v>
      </x:c>
      <x:c r="C122" s="48" t="str">
        <x:v>2026-07-16</x:v>
      </x:c>
      <x:c r="D122" s="48" t="str">
        <x:v>G07</x:v>
      </x:c>
      <x:c r="E122" s="48" t="str">
        <x:v>GATING_DECISION</x:v>
      </x:c>
      <x:c r="F122" s="48" t="str">
        <x:v>Investment Committee is final investment authority</x:v>
      </x:c>
      <x:c r="G122" s="48" t="str">
        <x:v>source_vintage_bin</x:v>
      </x:c>
      <x:c r="H122" s="48" t="str">
        <x:v>2021_2023</x:v>
      </x:c>
      <x:c r="I122" s="48" t="str">
        <x:v>11</x:v>
      </x:c>
      <x:c r="J122" s="48" t="str">
        <x:v>10</x:v>
      </x:c>
      <x:c r="K122" s="48" t="str">
        <x:v>0</x:v>
      </x:c>
      <x:c r="L122" s="48" t="str">
        <x:v>1</x:v>
      </x:c>
      <x:c r="M122" s="48" t="str">
        <x:v>11</x:v>
      </x:c>
      <x:c r="N122" s="48" t="str">
        <x:v>0</x:v>
      </x:c>
      <x:c r="O122" s="48" t="str">
        <x:v>0</x:v>
      </x:c>
      <x:c r="P122" s="48" t="str">
        <x:v>0</x:v>
      </x:c>
      <x:c r="Q122" s="48" t="str">
        <x:v>0.909</x:v>
      </x:c>
      <x:c r="R122" s="48" t="str">
        <x:v>INCONCLUSIVE OR CONFOUNDED</x:v>
      </x:c>
      <x:c r="S122" s="48" t="str">
        <x:v>0.333</x:v>
      </x:c>
      <x:c r="T122" s="48" t="str">
        <x:v>2018_2020:N=6,p=0.667; 2021_2023:N=11,p=0.909; 2024_2026:N=12,p=1.000</x:v>
      </x:c>
      <x:c r="U122" s="48" t="str">
        <x:v>Adequate groups differ, but the maximum-minus-minimum prevalence lies between 0.15 and 0.35.</x:v>
      </x:c>
      <x:c r="V122" s="48" t="str">
        <x:v>At least 5 observable manager families in at least 2 driver groups</x:v>
      </x:c>
      <x:c r="W122" s="48" t="str">
        <x:v>&gt;=0.35 separates; &lt;=0.15 does not separate; intermediate is inconclusive/confounded; direct driver-definition tests are CIRCULAR</x:v>
      </x:c>
      <x:c r="X122" s="48" t="str">
        <x:v>MANAGER_SELF_DESCRIPTION; NOT BEHAVIOURAL FREQUENCY</x:v>
      </x:c>
    </x:row>
    <x:row r="123">
      <x:c r="A123" s="48" t="str">
        <x:v>B_GOVERNANCE_SEGMENTATION</x:v>
      </x:c>
      <x:c r="B123" s="48" t="str">
        <x:v>Tier B v1.1 - N=29 rerun</x:v>
      </x:c>
      <x:c r="C123" s="48" t="str">
        <x:v>2026-07-16</x:v>
      </x:c>
      <x:c r="D123" s="48" t="str">
        <x:v>G07</x:v>
      </x:c>
      <x:c r="E123" s="48" t="str">
        <x:v>GATING_DECISION</x:v>
      </x:c>
      <x:c r="F123" s="48" t="str">
        <x:v>Investment Committee is final investment authority</x:v>
      </x:c>
      <x:c r="G123" s="48" t="str">
        <x:v>source_vintage_bin</x:v>
      </x:c>
      <x:c r="H123" s="48" t="str">
        <x:v>2024_2026</x:v>
      </x:c>
      <x:c r="I123" s="48" t="str">
        <x:v>12</x:v>
      </x:c>
      <x:c r="J123" s="48" t="str">
        <x:v>12</x:v>
      </x:c>
      <x:c r="K123" s="48" t="str">
        <x:v>0</x:v>
      </x:c>
      <x:c r="L123" s="48" t="str">
        <x:v>0</x:v>
      </x:c>
      <x:c r="M123" s="48" t="str">
        <x:v>12</x:v>
      </x:c>
      <x:c r="N123" s="48" t="str">
        <x:v>0</x:v>
      </x:c>
      <x:c r="O123" s="48" t="str">
        <x:v>0</x:v>
      </x:c>
      <x:c r="P123" s="48" t="str">
        <x:v>0</x:v>
      </x:c>
      <x:c r="Q123" s="48" t="str">
        <x:v>1.000</x:v>
      </x:c>
      <x:c r="R123" s="48" t="str">
        <x:v>INCONCLUSIVE OR CONFOUNDED</x:v>
      </x:c>
      <x:c r="S123" s="48" t="str">
        <x:v>0.333</x:v>
      </x:c>
      <x:c r="T123" s="48" t="str">
        <x:v>2018_2020:N=6,p=0.667; 2021_2023:N=11,p=0.909; 2024_2026:N=12,p=1.000</x:v>
      </x:c>
      <x:c r="U123" s="48" t="str">
        <x:v>Adequate groups differ, but the maximum-minus-minimum prevalence lies between 0.15 and 0.35.</x:v>
      </x:c>
      <x:c r="V123" s="48" t="str">
        <x:v>At least 5 observable manager families in at least 2 driver groups</x:v>
      </x:c>
      <x:c r="W123" s="48" t="str">
        <x:v>&gt;=0.35 separates; &lt;=0.15 does not separate; intermediate is inconclusive/confounded; direct driver-definition tests are CIRCULAR</x:v>
      </x:c>
      <x:c r="X123" s="48" t="str">
        <x:v>MANAGER_SELF_DESCRIPTION; NOT BEHAVIOURAL FREQUENCY</x:v>
      </x:c>
    </x:row>
    <x:row r="124">
      <x:c r="A124" s="48" t="str">
        <x:v>B_GOVERNANCE_SEGMENTATION</x:v>
      </x:c>
      <x:c r="B124" s="48" t="str">
        <x:v>Tier B v1.1 - N=29 rerun</x:v>
      </x:c>
      <x:c r="C124" s="48" t="str">
        <x:v>2026-07-16</x:v>
      </x:c>
      <x:c r="D124" s="48" t="str">
        <x:v>G07</x:v>
      </x:c>
      <x:c r="E124" s="48" t="str">
        <x:v>GATING_DECISION</x:v>
      </x:c>
      <x:c r="F124" s="48" t="str">
        <x:v>Investment Committee is final investment authority</x:v>
      </x:c>
      <x:c r="G124" s="48" t="str">
        <x:v>governance_architecture</x:v>
      </x:c>
      <x:c r="H124" s="48" t="str">
        <x:v>IC_FINAL_OR_DE_FACTO</x:v>
      </x:c>
      <x:c r="I124" s="48" t="str">
        <x:v>26</x:v>
      </x:c>
      <x:c r="J124" s="48" t="str">
        <x:v>26</x:v>
      </x:c>
      <x:c r="K124" s="48" t="str">
        <x:v>0</x:v>
      </x:c>
      <x:c r="L124" s="48" t="str">
        <x:v>0</x:v>
      </x:c>
      <x:c r="M124" s="48" t="str">
        <x:v>26</x:v>
      </x:c>
      <x:c r="N124" s="48" t="str">
        <x:v>0</x:v>
      </x:c>
      <x:c r="O124" s="48" t="str">
        <x:v>0</x:v>
      </x:c>
      <x:c r="P124" s="48" t="str">
        <x:v>0</x:v>
      </x:c>
      <x:c r="Q124" s="48" t="str">
        <x:v>1.000</x:v>
      </x:c>
      <x:c r="R124" s="48" t="str">
        <x:v>N TOO SMALL</x:v>
      </x:c>
      <x:c r="S124" s="48" t="str"/>
      <x:c r="T124" s="48" t="str">
        <x:v>IC_FINAL_OR_DE_FACTO:N=26,p=1.000</x:v>
      </x:c>
      <x:c r="U124" s="48" t="str">
        <x:v>Fewer than two driver groups have at least 5 observable manager families.</x:v>
      </x:c>
      <x:c r="V124" s="48" t="str">
        <x:v>At least 5 observable manager families in at least 2 driver groups</x:v>
      </x:c>
      <x:c r="W124" s="48" t="str">
        <x:v>&gt;=0.35 separates; &lt;=0.15 does not separate; intermediate is inconclusive/confounded; direct driver-definition tests are CIRCULAR</x:v>
      </x:c>
      <x:c r="X124" s="48" t="str">
        <x:v>MANAGER_SELF_DESCRIPTION; NOT BEHAVIOURAL FREQUENCY</x:v>
      </x:c>
    </x:row>
    <x:row r="125">
      <x:c r="A125" s="48" t="str">
        <x:v>B_GOVERNANCE_SEGMENTATION</x:v>
      </x:c>
      <x:c r="B125" s="48" t="str">
        <x:v>Tier B v1.1 - N=29 rerun</x:v>
      </x:c>
      <x:c r="C125" s="48" t="str">
        <x:v>2026-07-16</x:v>
      </x:c>
      <x:c r="D125" s="48" t="str">
        <x:v>G07</x:v>
      </x:c>
      <x:c r="E125" s="48" t="str">
        <x:v>GATING_DECISION</x:v>
      </x:c>
      <x:c r="F125" s="48" t="str">
        <x:v>Investment Committee is final investment authority</x:v>
      </x:c>
      <x:c r="G125" s="48" t="str">
        <x:v>governance_architecture</x:v>
      </x:c>
      <x:c r="H125" s="48" t="str">
        <x:v>IC_RECOMMENDS_SEPARATE_FINAL_AUTHORITY</x:v>
      </x:c>
      <x:c r="I125" s="48" t="str">
        <x:v>3</x:v>
      </x:c>
      <x:c r="J125" s="48" t="str">
        <x:v>0</x:v>
      </x:c>
      <x:c r="K125" s="48" t="str">
        <x:v>0</x:v>
      </x:c>
      <x:c r="L125" s="48" t="str">
        <x:v>3</x:v>
      </x:c>
      <x:c r="M125" s="48" t="str">
        <x:v>3</x:v>
      </x:c>
      <x:c r="N125" s="48" t="str">
        <x:v>0</x:v>
      </x:c>
      <x:c r="O125" s="48" t="str">
        <x:v>0</x:v>
      </x:c>
      <x:c r="P125" s="48" t="str">
        <x:v>0</x:v>
      </x:c>
      <x:c r="Q125" s="48" t="str">
        <x:v>0.000</x:v>
      </x:c>
      <x:c r="R125" s="48" t="str">
        <x:v>N TOO SMALL</x:v>
      </x:c>
      <x:c r="S125" s="48" t="str"/>
      <x:c r="T125" s="48" t="str">
        <x:v>IC_FINAL_OR_DE_FACTO:N=26,p=1.000</x:v>
      </x:c>
      <x:c r="U125" s="48" t="str">
        <x:v>Fewer than two driver groups have at least 5 observable manager families.</x:v>
      </x:c>
      <x:c r="V125" s="48" t="str">
        <x:v>At least 5 observable manager families in at least 2 driver groups</x:v>
      </x:c>
      <x:c r="W125" s="48" t="str">
        <x:v>&gt;=0.35 separates; &lt;=0.15 does not separate; intermediate is inconclusive/confounded; direct driver-definition tests are CIRCULAR</x:v>
      </x:c>
      <x:c r="X125" s="48" t="str">
        <x:v>MANAGER_SELF_DESCRIPTION; NOT BEHAVIOURAL FREQUENCY</x:v>
      </x:c>
    </x:row>
    <x:row r="126">
      <x:c r="A126" s="48" t="str">
        <x:v>B_GOVERNANCE_SEGMENTATION</x:v>
      </x:c>
      <x:c r="B126" s="48" t="str">
        <x:v>Tier B v1.1 - N=29 rerun</x:v>
      </x:c>
      <x:c r="C126" s="48" t="str">
        <x:v>2026-07-16</x:v>
      </x:c>
      <x:c r="D126" s="48" t="str">
        <x:v>G07</x:v>
      </x:c>
      <x:c r="E126" s="48" t="str">
        <x:v>GATING_DECISION</x:v>
      </x:c>
      <x:c r="F126" s="48" t="str">
        <x:v>Investment Committee is final investment authority</x:v>
      </x:c>
      <x:c r="G126" s="48" t="str">
        <x:v>dedicated_operating_team</x:v>
      </x:c>
      <x:c r="H126" s="48" t="str">
        <x:v>NO_OR_LIMITED</x:v>
      </x:c>
      <x:c r="I126" s="48" t="str">
        <x:v>6</x:v>
      </x:c>
      <x:c r="J126" s="48" t="str">
        <x:v>5</x:v>
      </x:c>
      <x:c r="K126" s="48" t="str">
        <x:v>0</x:v>
      </x:c>
      <x:c r="L126" s="48" t="str">
        <x:v>1</x:v>
      </x:c>
      <x:c r="M126" s="48" t="str">
        <x:v>6</x:v>
      </x:c>
      <x:c r="N126" s="48" t="str">
        <x:v>0</x:v>
      </x:c>
      <x:c r="O126" s="48" t="str">
        <x:v>0</x:v>
      </x:c>
      <x:c r="P126" s="48" t="str">
        <x:v>0</x:v>
      </x:c>
      <x:c r="Q126" s="48" t="str">
        <x:v>0.833</x:v>
      </x:c>
      <x:c r="R126" s="48" t="str">
        <x:v>DRIVER DOES NOT SEPARATE</x:v>
      </x:c>
      <x:c r="S126" s="48" t="str">
        <x:v>0.080</x:v>
      </x:c>
      <x:c r="T126" s="48" t="str">
        <x:v>NO_OR_LIMITED:N=6,p=0.833; YES_DEDICATED:N=23,p=0.913</x:v>
      </x:c>
      <x:c r="U126" s="48" t="str">
        <x:v>Maximum-minus-minimum prevalence among adequately observed groups is no more than 0.15.</x:v>
      </x:c>
      <x:c r="V126" s="48" t="str">
        <x:v>At least 5 observable manager families in at least 2 driver groups</x:v>
      </x:c>
      <x:c r="W126" s="48" t="str">
        <x:v>&gt;=0.35 separates; &lt;=0.15 does not separate; intermediate is inconclusive/confounded; direct driver-definition tests are CIRCULAR</x:v>
      </x:c>
      <x:c r="X126" s="48" t="str">
        <x:v>MANAGER_SELF_DESCRIPTION; NOT BEHAVIOURAL FREQUENCY</x:v>
      </x:c>
    </x:row>
    <x:row r="127">
      <x:c r="A127" s="48" t="str">
        <x:v>B_GOVERNANCE_SEGMENTATION</x:v>
      </x:c>
      <x:c r="B127" s="48" t="str">
        <x:v>Tier B v1.1 - N=29 rerun</x:v>
      </x:c>
      <x:c r="C127" s="48" t="str">
        <x:v>2026-07-16</x:v>
      </x:c>
      <x:c r="D127" s="48" t="str">
        <x:v>G07</x:v>
      </x:c>
      <x:c r="E127" s="48" t="str">
        <x:v>GATING_DECISION</x:v>
      </x:c>
      <x:c r="F127" s="48" t="str">
        <x:v>Investment Committee is final investment authority</x:v>
      </x:c>
      <x:c r="G127" s="48" t="str">
        <x:v>dedicated_operating_team</x:v>
      </x:c>
      <x:c r="H127" s="48" t="str">
        <x:v>YES_DEDICATED</x:v>
      </x:c>
      <x:c r="I127" s="48" t="str">
        <x:v>23</x:v>
      </x:c>
      <x:c r="J127" s="48" t="str">
        <x:v>21</x:v>
      </x:c>
      <x:c r="K127" s="48" t="str">
        <x:v>0</x:v>
      </x:c>
      <x:c r="L127" s="48" t="str">
        <x:v>2</x:v>
      </x:c>
      <x:c r="M127" s="48" t="str">
        <x:v>23</x:v>
      </x:c>
      <x:c r="N127" s="48" t="str">
        <x:v>0</x:v>
      </x:c>
      <x:c r="O127" s="48" t="str">
        <x:v>0</x:v>
      </x:c>
      <x:c r="P127" s="48" t="str">
        <x:v>0</x:v>
      </x:c>
      <x:c r="Q127" s="48" t="str">
        <x:v>0.913</x:v>
      </x:c>
      <x:c r="R127" s="48" t="str">
        <x:v>DRIVER DOES NOT SEPARATE</x:v>
      </x:c>
      <x:c r="S127" s="48" t="str">
        <x:v>0.080</x:v>
      </x:c>
      <x:c r="T127" s="48" t="str">
        <x:v>NO_OR_LIMITED:N=6,p=0.833; YES_DEDICATED:N=23,p=0.913</x:v>
      </x:c>
      <x:c r="U127" s="48" t="str">
        <x:v>Maximum-minus-minimum prevalence among adequately observed groups is no more than 0.15.</x:v>
      </x:c>
      <x:c r="V127" s="48" t="str">
        <x:v>At least 5 observable manager families in at least 2 driver groups</x:v>
      </x:c>
      <x:c r="W127" s="48" t="str">
        <x:v>&gt;=0.35 separates; &lt;=0.15 does not separate; intermediate is inconclusive/confounded; direct driver-definition tests are CIRCULAR</x:v>
      </x:c>
      <x:c r="X127" s="48" t="str">
        <x:v>MANAGER_SELF_DESCRIPTION; NOT BEHAVIOURAL FREQUENCY</x:v>
      </x:c>
    </x:row>
    <x:row r="128">
      <x:c r="A128" s="48" t="str">
        <x:v>B_GOVERNANCE_SEGMENTATION</x:v>
      </x:c>
      <x:c r="B128" s="48" t="str">
        <x:v>Tier B v1.1 - N=29 rerun</x:v>
      </x:c>
      <x:c r="C128" s="48" t="str">
        <x:v>2026-07-16</x:v>
      </x:c>
      <x:c r="D128" s="48" t="str">
        <x:v>G08</x:v>
      </x:c>
      <x:c r="E128" s="48" t="str">
        <x:v>GATING_DECISION</x:v>
      </x:c>
      <x:c r="F128" s="48" t="str">
        <x:v>IC recommendation followed by separate final authority</x:v>
      </x:c>
      <x:c r="G128" s="48" t="str">
        <x:v>fund_size_archetype</x:v>
      </x:c>
      <x:c r="H128" s="48" t="str">
        <x:v>LARGE_2_TO_LT_5B</x:v>
      </x:c>
      <x:c r="I128" s="48" t="str">
        <x:v>9</x:v>
      </x:c>
      <x:c r="J128" s="48" t="str">
        <x:v>1</x:v>
      </x:c>
      <x:c r="K128" s="48" t="str">
        <x:v>0</x:v>
      </x:c>
      <x:c r="L128" s="48" t="str">
        <x:v>8</x:v>
      </x:c>
      <x:c r="M128" s="48" t="str">
        <x:v>9</x:v>
      </x:c>
      <x:c r="N128" s="48" t="str">
        <x:v>0</x:v>
      </x:c>
      <x:c r="O128" s="48" t="str">
        <x:v>0</x:v>
      </x:c>
      <x:c r="P128" s="48" t="str">
        <x:v>0</x:v>
      </x:c>
      <x:c r="Q128" s="48" t="str">
        <x:v>0.111</x:v>
      </x:c>
      <x:c r="R128" s="48" t="str">
        <x:v>DRIVER DOES NOT SEPARATE</x:v>
      </x:c>
      <x:c r="S128" s="48" t="str">
        <x:v>0.111</x:v>
      </x:c>
      <x:c r="T128" s="48" t="str">
        <x:v>LARGE_2_TO_LT_5B:N=9,p=0.111; LOWER_MID_LT_2B:N=8,p=0.000; MEGA_GE_5B:N=11,p=0.091</x:v>
      </x:c>
      <x:c r="U128" s="48" t="str">
        <x:v>Maximum-minus-minimum prevalence among adequately observed groups is no more than 0.15.</x:v>
      </x:c>
      <x:c r="V128" s="48" t="str">
        <x:v>At least 5 observable manager families in at least 2 driver groups</x:v>
      </x:c>
      <x:c r="W128" s="48" t="str">
        <x:v>&gt;=0.35 separates; &lt;=0.15 does not separate; intermediate is inconclusive/confounded; direct driver-definition tests are CIRCULAR</x:v>
      </x:c>
      <x:c r="X128" s="48" t="str">
        <x:v>MANAGER_SELF_DESCRIPTION; NOT BEHAVIOURAL FREQUENCY</x:v>
      </x:c>
    </x:row>
    <x:row r="129">
      <x:c r="A129" s="48" t="str">
        <x:v>B_GOVERNANCE_SEGMENTATION</x:v>
      </x:c>
      <x:c r="B129" s="48" t="str">
        <x:v>Tier B v1.1 - N=29 rerun</x:v>
      </x:c>
      <x:c r="C129" s="48" t="str">
        <x:v>2026-07-16</x:v>
      </x:c>
      <x:c r="D129" s="48" t="str">
        <x:v>G08</x:v>
      </x:c>
      <x:c r="E129" s="48" t="str">
        <x:v>GATING_DECISION</x:v>
      </x:c>
      <x:c r="F129" s="48" t="str">
        <x:v>IC recommendation followed by separate final authority</x:v>
      </x:c>
      <x:c r="G129" s="48" t="str">
        <x:v>fund_size_archetype</x:v>
      </x:c>
      <x:c r="H129" s="48" t="str">
        <x:v>LOWER_MID_LT_2B</x:v>
      </x:c>
      <x:c r="I129" s="48" t="str">
        <x:v>8</x:v>
      </x:c>
      <x:c r="J129" s="48" t="str">
        <x:v>0</x:v>
      </x:c>
      <x:c r="K129" s="48" t="str">
        <x:v>0</x:v>
      </x:c>
      <x:c r="L129" s="48" t="str">
        <x:v>8</x:v>
      </x:c>
      <x:c r="M129" s="48" t="str">
        <x:v>8</x:v>
      </x:c>
      <x:c r="N129" s="48" t="str">
        <x:v>0</x:v>
      </x:c>
      <x:c r="O129" s="48" t="str">
        <x:v>0</x:v>
      </x:c>
      <x:c r="P129" s="48" t="str">
        <x:v>0</x:v>
      </x:c>
      <x:c r="Q129" s="48" t="str">
        <x:v>0.000</x:v>
      </x:c>
      <x:c r="R129" s="48" t="str">
        <x:v>DRIVER DOES NOT SEPARATE</x:v>
      </x:c>
      <x:c r="S129" s="48" t="str">
        <x:v>0.111</x:v>
      </x:c>
      <x:c r="T129" s="48" t="str">
        <x:v>LARGE_2_TO_LT_5B:N=9,p=0.111; LOWER_MID_LT_2B:N=8,p=0.000; MEGA_GE_5B:N=11,p=0.091</x:v>
      </x:c>
      <x:c r="U129" s="48" t="str">
        <x:v>Maximum-minus-minimum prevalence among adequately observed groups is no more than 0.15.</x:v>
      </x:c>
      <x:c r="V129" s="48" t="str">
        <x:v>At least 5 observable manager families in at least 2 driver groups</x:v>
      </x:c>
      <x:c r="W129" s="48" t="str">
        <x:v>&gt;=0.35 separates; &lt;=0.15 does not separate; intermediate is inconclusive/confounded; direct driver-definition tests are CIRCULAR</x:v>
      </x:c>
      <x:c r="X129" s="48" t="str">
        <x:v>MANAGER_SELF_DESCRIPTION; NOT BEHAVIOURAL FREQUENCY</x:v>
      </x:c>
    </x:row>
    <x:row r="130">
      <x:c r="A130" s="48" t="str">
        <x:v>B_GOVERNANCE_SEGMENTATION</x:v>
      </x:c>
      <x:c r="B130" s="48" t="str">
        <x:v>Tier B v1.1 - N=29 rerun</x:v>
      </x:c>
      <x:c r="C130" s="48" t="str">
        <x:v>2026-07-16</x:v>
      </x:c>
      <x:c r="D130" s="48" t="str">
        <x:v>G08</x:v>
      </x:c>
      <x:c r="E130" s="48" t="str">
        <x:v>GATING_DECISION</x:v>
      </x:c>
      <x:c r="F130" s="48" t="str">
        <x:v>IC recommendation followed by separate final authority</x:v>
      </x:c>
      <x:c r="G130" s="48" t="str">
        <x:v>fund_size_archetype</x:v>
      </x:c>
      <x:c r="H130" s="48" t="str">
        <x:v>MEGA_GE_5B</x:v>
      </x:c>
      <x:c r="I130" s="48" t="str">
        <x:v>11</x:v>
      </x:c>
      <x:c r="J130" s="48" t="str">
        <x:v>1</x:v>
      </x:c>
      <x:c r="K130" s="48" t="str">
        <x:v>0</x:v>
      </x:c>
      <x:c r="L130" s="48" t="str">
        <x:v>10</x:v>
      </x:c>
      <x:c r="M130" s="48" t="str">
        <x:v>11</x:v>
      </x:c>
      <x:c r="N130" s="48" t="str">
        <x:v>0</x:v>
      </x:c>
      <x:c r="O130" s="48" t="str">
        <x:v>0</x:v>
      </x:c>
      <x:c r="P130" s="48" t="str">
        <x:v>0</x:v>
      </x:c>
      <x:c r="Q130" s="48" t="str">
        <x:v>0.091</x:v>
      </x:c>
      <x:c r="R130" s="48" t="str">
        <x:v>DRIVER DOES NOT SEPARATE</x:v>
      </x:c>
      <x:c r="S130" s="48" t="str">
        <x:v>0.111</x:v>
      </x:c>
      <x:c r="T130" s="48" t="str">
        <x:v>LARGE_2_TO_LT_5B:N=9,p=0.111; LOWER_MID_LT_2B:N=8,p=0.000; MEGA_GE_5B:N=11,p=0.091</x:v>
      </x:c>
      <x:c r="U130" s="48" t="str">
        <x:v>Maximum-minus-minimum prevalence among adequately observed groups is no more than 0.15.</x:v>
      </x:c>
      <x:c r="V130" s="48" t="str">
        <x:v>At least 5 observable manager families in at least 2 driver groups</x:v>
      </x:c>
      <x:c r="W130" s="48" t="str">
        <x:v>&gt;=0.35 separates; &lt;=0.15 does not separate; intermediate is inconclusive/confounded; direct driver-definition tests are CIRCULAR</x:v>
      </x:c>
      <x:c r="X130" s="48" t="str">
        <x:v>MANAGER_SELF_DESCRIPTION; NOT BEHAVIOURAL FREQUENCY</x:v>
      </x:c>
    </x:row>
    <x:row r="131">
      <x:c r="A131" s="48" t="str">
        <x:v>B_GOVERNANCE_SEGMENTATION</x:v>
      </x:c>
      <x:c r="B131" s="48" t="str">
        <x:v>Tier B v1.1 - N=29 rerun</x:v>
      </x:c>
      <x:c r="C131" s="48" t="str">
        <x:v>2026-07-16</x:v>
      </x:c>
      <x:c r="D131" s="48" t="str">
        <x:v>G08</x:v>
      </x:c>
      <x:c r="E131" s="48" t="str">
        <x:v>GATING_DECISION</x:v>
      </x:c>
      <x:c r="F131" s="48" t="str">
        <x:v>IC recommendation followed by separate final authority</x:v>
      </x:c>
      <x:c r="G131" s="48" t="str">
        <x:v>fund_size_archetype</x:v>
      </x:c>
      <x:c r="H131" s="48" t="str">
        <x:v>NOT_APPLICABLE</x:v>
      </x:c>
      <x:c r="I131" s="48" t="str">
        <x:v>1</x:v>
      </x:c>
      <x:c r="J131" s="48" t="str">
        <x:v>1</x:v>
      </x:c>
      <x:c r="K131" s="48" t="str">
        <x:v>0</x:v>
      </x:c>
      <x:c r="L131" s="48" t="str">
        <x:v>0</x:v>
      </x:c>
      <x:c r="M131" s="48" t="str">
        <x:v>1</x:v>
      </x:c>
      <x:c r="N131" s="48" t="str">
        <x:v>0</x:v>
      </x:c>
      <x:c r="O131" s="48" t="str">
        <x:v>0</x:v>
      </x:c>
      <x:c r="P131" s="48" t="str">
        <x:v>0</x:v>
      </x:c>
      <x:c r="Q131" s="48" t="str">
        <x:v>1.000</x:v>
      </x:c>
      <x:c r="R131" s="48" t="str">
        <x:v>DRIVER DOES NOT SEPARATE</x:v>
      </x:c>
      <x:c r="S131" s="48" t="str">
        <x:v>0.111</x:v>
      </x:c>
      <x:c r="T131" s="48" t="str">
        <x:v>LARGE_2_TO_LT_5B:N=9,p=0.111; LOWER_MID_LT_2B:N=8,p=0.000; MEGA_GE_5B:N=11,p=0.091</x:v>
      </x:c>
      <x:c r="U131" s="48" t="str">
        <x:v>Maximum-minus-minimum prevalence among adequately observed groups is no more than 0.15.</x:v>
      </x:c>
      <x:c r="V131" s="48" t="str">
        <x:v>At least 5 observable manager families in at least 2 driver groups</x:v>
      </x:c>
      <x:c r="W131" s="48" t="str">
        <x:v>&gt;=0.35 separates; &lt;=0.15 does not separate; intermediate is inconclusive/confounded; direct driver-definition tests are CIRCULAR</x:v>
      </x:c>
      <x:c r="X131" s="48" t="str">
        <x:v>MANAGER_SELF_DESCRIPTION; NOT BEHAVIOURAL FREQUENCY</x:v>
      </x:c>
    </x:row>
    <x:row r="132">
      <x:c r="A132" s="48" t="str">
        <x:v>B_GOVERNANCE_SEGMENTATION</x:v>
      </x:c>
      <x:c r="B132" s="48" t="str">
        <x:v>Tier B v1.1 - N=29 rerun</x:v>
      </x:c>
      <x:c r="C132" s="48" t="str">
        <x:v>2026-07-16</x:v>
      </x:c>
      <x:c r="D132" s="48" t="str">
        <x:v>G08</x:v>
      </x:c>
      <x:c r="E132" s="48" t="str">
        <x:v>GATING_DECISION</x:v>
      </x:c>
      <x:c r="F132" s="48" t="str">
        <x:v>IC recommendation followed by separate final authority</x:v>
      </x:c>
      <x:c r="G132" s="48" t="str">
        <x:v>strategy</x:v>
      </x:c>
      <x:c r="H132" s="48" t="str">
        <x:v>CONTROL_BUYOUT</x:v>
      </x:c>
      <x:c r="I132" s="48" t="str">
        <x:v>22</x:v>
      </x:c>
      <x:c r="J132" s="48" t="str">
        <x:v>2</x:v>
      </x:c>
      <x:c r="K132" s="48" t="str">
        <x:v>0</x:v>
      </x:c>
      <x:c r="L132" s="48" t="str">
        <x:v>20</x:v>
      </x:c>
      <x:c r="M132" s="48" t="str">
        <x:v>22</x:v>
      </x:c>
      <x:c r="N132" s="48" t="str">
        <x:v>0</x:v>
      </x:c>
      <x:c r="O132" s="48" t="str">
        <x:v>0</x:v>
      </x:c>
      <x:c r="P132" s="48" t="str">
        <x:v>0</x:v>
      </x:c>
      <x:c r="Q132" s="48" t="str">
        <x:v>0.091</x:v>
      </x:c>
      <x:c r="R132" s="48" t="str">
        <x:v>DRIVER DOES NOT SEPARATE</x:v>
      </x:c>
      <x:c r="S132" s="48" t="str">
        <x:v>0.076</x:v>
      </x:c>
      <x:c r="T132" s="48" t="str">
        <x:v>CONTROL_BUYOUT:N=22,p=0.091; GROWTH_CONTROL_HYBRID:N=6,p=0.167</x:v>
      </x:c>
      <x:c r="U132" s="48" t="str">
        <x:v>Maximum-minus-minimum prevalence among adequately observed groups is no more than 0.15.</x:v>
      </x:c>
      <x:c r="V132" s="48" t="str">
        <x:v>At least 5 observable manager families in at least 2 driver groups</x:v>
      </x:c>
      <x:c r="W132" s="48" t="str">
        <x:v>&gt;=0.35 separates; &lt;=0.15 does not separate; intermediate is inconclusive/confounded; direct driver-definition tests are CIRCULAR</x:v>
      </x:c>
      <x:c r="X132" s="48" t="str">
        <x:v>MANAGER_SELF_DESCRIPTION; NOT BEHAVIOURAL FREQUENCY</x:v>
      </x:c>
    </x:row>
    <x:row r="133">
      <x:c r="A133" s="48" t="str">
        <x:v>B_GOVERNANCE_SEGMENTATION</x:v>
      </x:c>
      <x:c r="B133" s="48" t="str">
        <x:v>Tier B v1.1 - N=29 rerun</x:v>
      </x:c>
      <x:c r="C133" s="48" t="str">
        <x:v>2026-07-16</x:v>
      </x:c>
      <x:c r="D133" s="48" t="str">
        <x:v>G08</x:v>
      </x:c>
      <x:c r="E133" s="48" t="str">
        <x:v>GATING_DECISION</x:v>
      </x:c>
      <x:c r="F133" s="48" t="str">
        <x:v>IC recommendation followed by separate final authority</x:v>
      </x:c>
      <x:c r="G133" s="48" t="str">
        <x:v>strategy</x:v>
      </x:c>
      <x:c r="H133" s="48" t="str">
        <x:v>GROWTH_CONTROL_HYBRID</x:v>
      </x:c>
      <x:c r="I133" s="48" t="str">
        <x:v>6</x:v>
      </x:c>
      <x:c r="J133" s="48" t="str">
        <x:v>1</x:v>
      </x:c>
      <x:c r="K133" s="48" t="str">
        <x:v>0</x:v>
      </x:c>
      <x:c r="L133" s="48" t="str">
        <x:v>5</x:v>
      </x:c>
      <x:c r="M133" s="48" t="str">
        <x:v>6</x:v>
      </x:c>
      <x:c r="N133" s="48" t="str">
        <x:v>0</x:v>
      </x:c>
      <x:c r="O133" s="48" t="str">
        <x:v>0</x:v>
      </x:c>
      <x:c r="P133" s="48" t="str">
        <x:v>0</x:v>
      </x:c>
      <x:c r="Q133" s="48" t="str">
        <x:v>0.167</x:v>
      </x:c>
      <x:c r="R133" s="48" t="str">
        <x:v>DRIVER DOES NOT SEPARATE</x:v>
      </x:c>
      <x:c r="S133" s="48" t="str">
        <x:v>0.076</x:v>
      </x:c>
      <x:c r="T133" s="48" t="str">
        <x:v>CONTROL_BUYOUT:N=22,p=0.091; GROWTH_CONTROL_HYBRID:N=6,p=0.167</x:v>
      </x:c>
      <x:c r="U133" s="48" t="str">
        <x:v>Maximum-minus-minimum prevalence among adequately observed groups is no more than 0.15.</x:v>
      </x:c>
      <x:c r="V133" s="48" t="str">
        <x:v>At least 5 observable manager families in at least 2 driver groups</x:v>
      </x:c>
      <x:c r="W133" s="48" t="str">
        <x:v>&gt;=0.35 separates; &lt;=0.15 does not separate; intermediate is inconclusive/confounded; direct driver-definition tests are CIRCULAR</x:v>
      </x:c>
      <x:c r="X133" s="48" t="str">
        <x:v>MANAGER_SELF_DESCRIPTION; NOT BEHAVIOURAL FREQUENCY</x:v>
      </x:c>
    </x:row>
    <x:row r="134">
      <x:c r="A134" s="48" t="str">
        <x:v>B_GOVERNANCE_SEGMENTATION</x:v>
      </x:c>
      <x:c r="B134" s="48" t="str">
        <x:v>Tier B v1.1 - N=29 rerun</x:v>
      </x:c>
      <x:c r="C134" s="48" t="str">
        <x:v>2026-07-16</x:v>
      </x:c>
      <x:c r="D134" s="48" t="str">
        <x:v>G08</x:v>
      </x:c>
      <x:c r="E134" s="48" t="str">
        <x:v>GATING_DECISION</x:v>
      </x:c>
      <x:c r="F134" s="48" t="str">
        <x:v>IC recommendation followed by separate final authority</x:v>
      </x:c>
      <x:c r="G134" s="48" t="str">
        <x:v>strategy</x:v>
      </x:c>
      <x:c r="H134" s="48" t="str">
        <x:v>OPPORTUNISTIC_CONTROL</x:v>
      </x:c>
      <x:c r="I134" s="48" t="str">
        <x:v>1</x:v>
      </x:c>
      <x:c r="J134" s="48" t="str">
        <x:v>0</x:v>
      </x:c>
      <x:c r="K134" s="48" t="str">
        <x:v>0</x:v>
      </x:c>
      <x:c r="L134" s="48" t="str">
        <x:v>1</x:v>
      </x:c>
      <x:c r="M134" s="48" t="str">
        <x:v>1</x:v>
      </x:c>
      <x:c r="N134" s="48" t="str">
        <x:v>0</x:v>
      </x:c>
      <x:c r="O134" s="48" t="str">
        <x:v>0</x:v>
      </x:c>
      <x:c r="P134" s="48" t="str">
        <x:v>0</x:v>
      </x:c>
      <x:c r="Q134" s="48" t="str">
        <x:v>0.000</x:v>
      </x:c>
      <x:c r="R134" s="48" t="str">
        <x:v>DRIVER DOES NOT SEPARATE</x:v>
      </x:c>
      <x:c r="S134" s="48" t="str">
        <x:v>0.076</x:v>
      </x:c>
      <x:c r="T134" s="48" t="str">
        <x:v>CONTROL_BUYOUT:N=22,p=0.091; GROWTH_CONTROL_HYBRID:N=6,p=0.167</x:v>
      </x:c>
      <x:c r="U134" s="48" t="str">
        <x:v>Maximum-minus-minimum prevalence among adequately observed groups is no more than 0.15.</x:v>
      </x:c>
      <x:c r="V134" s="48" t="str">
        <x:v>At least 5 observable manager families in at least 2 driver groups</x:v>
      </x:c>
      <x:c r="W134" s="48" t="str">
        <x:v>&gt;=0.35 separates; &lt;=0.15 does not separate; intermediate is inconclusive/confounded; direct driver-definition tests are CIRCULAR</x:v>
      </x:c>
      <x:c r="X134" s="48" t="str">
        <x:v>MANAGER_SELF_DESCRIPTION; NOT BEHAVIOURAL FREQUENCY</x:v>
      </x:c>
    </x:row>
    <x:row r="135">
      <x:c r="A135" s="48" t="str">
        <x:v>B_GOVERNANCE_SEGMENTATION</x:v>
      </x:c>
      <x:c r="B135" s="48" t="str">
        <x:v>Tier B v1.1 - N=29 rerun</x:v>
      </x:c>
      <x:c r="C135" s="48" t="str">
        <x:v>2026-07-16</x:v>
      </x:c>
      <x:c r="D135" s="48" t="str">
        <x:v>G08</x:v>
      </x:c>
      <x:c r="E135" s="48" t="str">
        <x:v>GATING_DECISION</x:v>
      </x:c>
      <x:c r="F135" s="48" t="str">
        <x:v>IC recommendation followed by separate final authority</x:v>
      </x:c>
      <x:c r="G135" s="48" t="str">
        <x:v>geography</x:v>
      </x:c>
      <x:c r="H135" s="48" t="str">
        <x:v>ASIA_PACIFIC</x:v>
      </x:c>
      <x:c r="I135" s="48" t="str">
        <x:v>4</x:v>
      </x:c>
      <x:c r="J135" s="48" t="str">
        <x:v>1</x:v>
      </x:c>
      <x:c r="K135" s="48" t="str">
        <x:v>0</x:v>
      </x:c>
      <x:c r="L135" s="48" t="str">
        <x:v>3</x:v>
      </x:c>
      <x:c r="M135" s="48" t="str">
        <x:v>4</x:v>
      </x:c>
      <x:c r="N135" s="48" t="str">
        <x:v>0</x:v>
      </x:c>
      <x:c r="O135" s="48" t="str">
        <x:v>0</x:v>
      </x:c>
      <x:c r="P135" s="48" t="str">
        <x:v>0</x:v>
      </x:c>
      <x:c r="Q135" s="48" t="str">
        <x:v>0.250</x:v>
      </x:c>
      <x:c r="R135" s="48" t="str">
        <x:v>DRIVER DOES NOT SEPARATE</x:v>
      </x:c>
      <x:c r="S135" s="48" t="str">
        <x:v>0.100</x:v>
      </x:c>
      <x:c r="T135" s="48" t="str">
        <x:v>GLOBAL_TRANSATLANTIC:N=10,p=0.100; NORTH_AMERICA:N=13,p=0.000</x:v>
      </x:c>
      <x:c r="U135" s="48" t="str">
        <x:v>Maximum-minus-minimum prevalence among adequately observed groups is no more than 0.15.</x:v>
      </x:c>
      <x:c r="V135" s="48" t="str">
        <x:v>At least 5 observable manager families in at least 2 driver groups</x:v>
      </x:c>
      <x:c r="W135" s="48" t="str">
        <x:v>&gt;=0.35 separates; &lt;=0.15 does not separate; intermediate is inconclusive/confounded; direct driver-definition tests are CIRCULAR</x:v>
      </x:c>
      <x:c r="X135" s="48" t="str">
        <x:v>MANAGER_SELF_DESCRIPTION; NOT BEHAVIOURAL FREQUENCY</x:v>
      </x:c>
    </x:row>
    <x:row r="136">
      <x:c r="A136" s="48" t="str">
        <x:v>B_GOVERNANCE_SEGMENTATION</x:v>
      </x:c>
      <x:c r="B136" s="48" t="str">
        <x:v>Tier B v1.1 - N=29 rerun</x:v>
      </x:c>
      <x:c r="C136" s="48" t="str">
        <x:v>2026-07-16</x:v>
      </x:c>
      <x:c r="D136" s="48" t="str">
        <x:v>G08</x:v>
      </x:c>
      <x:c r="E136" s="48" t="str">
        <x:v>GATING_DECISION</x:v>
      </x:c>
      <x:c r="F136" s="48" t="str">
        <x:v>IC recommendation followed by separate final authority</x:v>
      </x:c>
      <x:c r="G136" s="48" t="str">
        <x:v>geography</x:v>
      </x:c>
      <x:c r="H136" s="48" t="str">
        <x:v>EUROPE</x:v>
      </x:c>
      <x:c r="I136" s="48" t="str">
        <x:v>2</x:v>
      </x:c>
      <x:c r="J136" s="48" t="str">
        <x:v>1</x:v>
      </x:c>
      <x:c r="K136" s="48" t="str">
        <x:v>0</x:v>
      </x:c>
      <x:c r="L136" s="48" t="str">
        <x:v>1</x:v>
      </x:c>
      <x:c r="M136" s="48" t="str">
        <x:v>2</x:v>
      </x:c>
      <x:c r="N136" s="48" t="str">
        <x:v>0</x:v>
      </x:c>
      <x:c r="O136" s="48" t="str">
        <x:v>0</x:v>
      </x:c>
      <x:c r="P136" s="48" t="str">
        <x:v>0</x:v>
      </x:c>
      <x:c r="Q136" s="48" t="str">
        <x:v>0.500</x:v>
      </x:c>
      <x:c r="R136" s="48" t="str">
        <x:v>DRIVER DOES NOT SEPARATE</x:v>
      </x:c>
      <x:c r="S136" s="48" t="str">
        <x:v>0.100</x:v>
      </x:c>
      <x:c r="T136" s="48" t="str">
        <x:v>GLOBAL_TRANSATLANTIC:N=10,p=0.100; NORTH_AMERICA:N=13,p=0.000</x:v>
      </x:c>
      <x:c r="U136" s="48" t="str">
        <x:v>Maximum-minus-minimum prevalence among adequately observed groups is no more than 0.15.</x:v>
      </x:c>
      <x:c r="V136" s="48" t="str">
        <x:v>At least 5 observable manager families in at least 2 driver groups</x:v>
      </x:c>
      <x:c r="W136" s="48" t="str">
        <x:v>&gt;=0.35 separates; &lt;=0.15 does not separate; intermediate is inconclusive/confounded; direct driver-definition tests are CIRCULAR</x:v>
      </x:c>
      <x:c r="X136" s="48" t="str">
        <x:v>MANAGER_SELF_DESCRIPTION; NOT BEHAVIOURAL FREQUENCY</x:v>
      </x:c>
    </x:row>
    <x:row r="137">
      <x:c r="A137" s="48" t="str">
        <x:v>B_GOVERNANCE_SEGMENTATION</x:v>
      </x:c>
      <x:c r="B137" s="48" t="str">
        <x:v>Tier B v1.1 - N=29 rerun</x:v>
      </x:c>
      <x:c r="C137" s="48" t="str">
        <x:v>2026-07-16</x:v>
      </x:c>
      <x:c r="D137" s="48" t="str">
        <x:v>G08</x:v>
      </x:c>
      <x:c r="E137" s="48" t="str">
        <x:v>GATING_DECISION</x:v>
      </x:c>
      <x:c r="F137" s="48" t="str">
        <x:v>IC recommendation followed by separate final authority</x:v>
      </x:c>
      <x:c r="G137" s="48" t="str">
        <x:v>geography</x:v>
      </x:c>
      <x:c r="H137" s="48" t="str">
        <x:v>GLOBAL_TRANSATLANTIC</x:v>
      </x:c>
      <x:c r="I137" s="48" t="str">
        <x:v>10</x:v>
      </x:c>
      <x:c r="J137" s="48" t="str">
        <x:v>1</x:v>
      </x:c>
      <x:c r="K137" s="48" t="str">
        <x:v>0</x:v>
      </x:c>
      <x:c r="L137" s="48" t="str">
        <x:v>9</x:v>
      </x:c>
      <x:c r="M137" s="48" t="str">
        <x:v>10</x:v>
      </x:c>
      <x:c r="N137" s="48" t="str">
        <x:v>0</x:v>
      </x:c>
      <x:c r="O137" s="48" t="str">
        <x:v>0</x:v>
      </x:c>
      <x:c r="P137" s="48" t="str">
        <x:v>0</x:v>
      </x:c>
      <x:c r="Q137" s="48" t="str">
        <x:v>0.100</x:v>
      </x:c>
      <x:c r="R137" s="48" t="str">
        <x:v>DRIVER DOES NOT SEPARATE</x:v>
      </x:c>
      <x:c r="S137" s="48" t="str">
        <x:v>0.100</x:v>
      </x:c>
      <x:c r="T137" s="48" t="str">
        <x:v>GLOBAL_TRANSATLANTIC:N=10,p=0.100; NORTH_AMERICA:N=13,p=0.000</x:v>
      </x:c>
      <x:c r="U137" s="48" t="str">
        <x:v>Maximum-minus-minimum prevalence among adequately observed groups is no more than 0.15.</x:v>
      </x:c>
      <x:c r="V137" s="48" t="str">
        <x:v>At least 5 observable manager families in at least 2 driver groups</x:v>
      </x:c>
      <x:c r="W137" s="48" t="str">
        <x:v>&gt;=0.35 separates; &lt;=0.15 does not separate; intermediate is inconclusive/confounded; direct driver-definition tests are CIRCULAR</x:v>
      </x:c>
      <x:c r="X137" s="48" t="str">
        <x:v>MANAGER_SELF_DESCRIPTION; NOT BEHAVIOURAL FREQUENCY</x:v>
      </x:c>
    </x:row>
    <x:row r="138">
      <x:c r="A138" s="48" t="str">
        <x:v>B_GOVERNANCE_SEGMENTATION</x:v>
      </x:c>
      <x:c r="B138" s="48" t="str">
        <x:v>Tier B v1.1 - N=29 rerun</x:v>
      </x:c>
      <x:c r="C138" s="48" t="str">
        <x:v>2026-07-16</x:v>
      </x:c>
      <x:c r="D138" s="48" t="str">
        <x:v>G08</x:v>
      </x:c>
      <x:c r="E138" s="48" t="str">
        <x:v>GATING_DECISION</x:v>
      </x:c>
      <x:c r="F138" s="48" t="str">
        <x:v>IC recommendation followed by separate final authority</x:v>
      </x:c>
      <x:c r="G138" s="48" t="str">
        <x:v>geography</x:v>
      </x:c>
      <x:c r="H138" s="48" t="str">
        <x:v>NORTH_AMERICA</x:v>
      </x:c>
      <x:c r="I138" s="48" t="str">
        <x:v>13</x:v>
      </x:c>
      <x:c r="J138" s="48" t="str">
        <x:v>0</x:v>
      </x:c>
      <x:c r="K138" s="48" t="str">
        <x:v>0</x:v>
      </x:c>
      <x:c r="L138" s="48" t="str">
        <x:v>13</x:v>
      </x:c>
      <x:c r="M138" s="48" t="str">
        <x:v>13</x:v>
      </x:c>
      <x:c r="N138" s="48" t="str">
        <x:v>0</x:v>
      </x:c>
      <x:c r="O138" s="48" t="str">
        <x:v>0</x:v>
      </x:c>
      <x:c r="P138" s="48" t="str">
        <x:v>0</x:v>
      </x:c>
      <x:c r="Q138" s="48" t="str">
        <x:v>0.000</x:v>
      </x:c>
      <x:c r="R138" s="48" t="str">
        <x:v>DRIVER DOES NOT SEPARATE</x:v>
      </x:c>
      <x:c r="S138" s="48" t="str">
        <x:v>0.100</x:v>
      </x:c>
      <x:c r="T138" s="48" t="str">
        <x:v>GLOBAL_TRANSATLANTIC:N=10,p=0.100; NORTH_AMERICA:N=13,p=0.000</x:v>
      </x:c>
      <x:c r="U138" s="48" t="str">
        <x:v>Maximum-minus-minimum prevalence among adequately observed groups is no more than 0.15.</x:v>
      </x:c>
      <x:c r="V138" s="48" t="str">
        <x:v>At least 5 observable manager families in at least 2 driver groups</x:v>
      </x:c>
      <x:c r="W138" s="48" t="str">
        <x:v>&gt;=0.35 separates; &lt;=0.15 does not separate; intermediate is inconclusive/confounded; direct driver-definition tests are CIRCULAR</x:v>
      </x:c>
      <x:c r="X138" s="48" t="str">
        <x:v>MANAGER_SELF_DESCRIPTION; NOT BEHAVIOURAL FREQUENCY</x:v>
      </x:c>
    </x:row>
    <x:row r="139">
      <x:c r="A139" s="48" t="str">
        <x:v>B_GOVERNANCE_SEGMENTATION</x:v>
      </x:c>
      <x:c r="B139" s="48" t="str">
        <x:v>Tier B v1.1 - N=29 rerun</x:v>
      </x:c>
      <x:c r="C139" s="48" t="str">
        <x:v>2026-07-16</x:v>
      </x:c>
      <x:c r="D139" s="48" t="str">
        <x:v>G08</x:v>
      </x:c>
      <x:c r="E139" s="48" t="str">
        <x:v>GATING_DECISION</x:v>
      </x:c>
      <x:c r="F139" s="48" t="str">
        <x:v>IC recommendation followed by separate final authority</x:v>
      </x:c>
      <x:c r="G139" s="48" t="str">
        <x:v>source_vintage_bin</x:v>
      </x:c>
      <x:c r="H139" s="48" t="str">
        <x:v>2018_2020</x:v>
      </x:c>
      <x:c r="I139" s="48" t="str">
        <x:v>6</x:v>
      </x:c>
      <x:c r="J139" s="48" t="str">
        <x:v>2</x:v>
      </x:c>
      <x:c r="K139" s="48" t="str">
        <x:v>0</x:v>
      </x:c>
      <x:c r="L139" s="48" t="str">
        <x:v>4</x:v>
      </x:c>
      <x:c r="M139" s="48" t="str">
        <x:v>6</x:v>
      </x:c>
      <x:c r="N139" s="48" t="str">
        <x:v>0</x:v>
      </x:c>
      <x:c r="O139" s="48" t="str">
        <x:v>0</x:v>
      </x:c>
      <x:c r="P139" s="48" t="str">
        <x:v>0</x:v>
      </x:c>
      <x:c r="Q139" s="48" t="str">
        <x:v>0.333</x:v>
      </x:c>
      <x:c r="R139" s="48" t="str">
        <x:v>INCONCLUSIVE OR CONFOUNDED</x:v>
      </x:c>
      <x:c r="S139" s="48" t="str">
        <x:v>0.333</x:v>
      </x:c>
      <x:c r="T139" s="48" t="str">
        <x:v>2018_2020:N=6,p=0.333; 2021_2023:N=11,p=0.091; 2024_2026:N=12,p=0.000</x:v>
      </x:c>
      <x:c r="U139" s="48" t="str">
        <x:v>Adequate groups differ, but the maximum-minus-minimum prevalence lies between 0.15 and 0.35.</x:v>
      </x:c>
      <x:c r="V139" s="48" t="str">
        <x:v>At least 5 observable manager families in at least 2 driver groups</x:v>
      </x:c>
      <x:c r="W139" s="48" t="str">
        <x:v>&gt;=0.35 separates; &lt;=0.15 does not separate; intermediate is inconclusive/confounded; direct driver-definition tests are CIRCULAR</x:v>
      </x:c>
      <x:c r="X139" s="48" t="str">
        <x:v>MANAGER_SELF_DESCRIPTION; NOT BEHAVIOURAL FREQUENCY</x:v>
      </x:c>
    </x:row>
    <x:row r="140">
      <x:c r="A140" s="48" t="str">
        <x:v>B_GOVERNANCE_SEGMENTATION</x:v>
      </x:c>
      <x:c r="B140" s="48" t="str">
        <x:v>Tier B v1.1 - N=29 rerun</x:v>
      </x:c>
      <x:c r="C140" s="48" t="str">
        <x:v>2026-07-16</x:v>
      </x:c>
      <x:c r="D140" s="48" t="str">
        <x:v>G08</x:v>
      </x:c>
      <x:c r="E140" s="48" t="str">
        <x:v>GATING_DECISION</x:v>
      </x:c>
      <x:c r="F140" s="48" t="str">
        <x:v>IC recommendation followed by separate final authority</x:v>
      </x:c>
      <x:c r="G140" s="48" t="str">
        <x:v>source_vintage_bin</x:v>
      </x:c>
      <x:c r="H140" s="48" t="str">
        <x:v>2021_2023</x:v>
      </x:c>
      <x:c r="I140" s="48" t="str">
        <x:v>11</x:v>
      </x:c>
      <x:c r="J140" s="48" t="str">
        <x:v>1</x:v>
      </x:c>
      <x:c r="K140" s="48" t="str">
        <x:v>0</x:v>
      </x:c>
      <x:c r="L140" s="48" t="str">
        <x:v>10</x:v>
      </x:c>
      <x:c r="M140" s="48" t="str">
        <x:v>11</x:v>
      </x:c>
      <x:c r="N140" s="48" t="str">
        <x:v>0</x:v>
      </x:c>
      <x:c r="O140" s="48" t="str">
        <x:v>0</x:v>
      </x:c>
      <x:c r="P140" s="48" t="str">
        <x:v>0</x:v>
      </x:c>
      <x:c r="Q140" s="48" t="str">
        <x:v>0.091</x:v>
      </x:c>
      <x:c r="R140" s="48" t="str">
        <x:v>INCONCLUSIVE OR CONFOUNDED</x:v>
      </x:c>
      <x:c r="S140" s="48" t="str">
        <x:v>0.333</x:v>
      </x:c>
      <x:c r="T140" s="48" t="str">
        <x:v>2018_2020:N=6,p=0.333; 2021_2023:N=11,p=0.091; 2024_2026:N=12,p=0.000</x:v>
      </x:c>
      <x:c r="U140" s="48" t="str">
        <x:v>Adequate groups differ, but the maximum-minus-minimum prevalence lies between 0.15 and 0.35.</x:v>
      </x:c>
      <x:c r="V140" s="48" t="str">
        <x:v>At least 5 observable manager families in at least 2 driver groups</x:v>
      </x:c>
      <x:c r="W140" s="48" t="str">
        <x:v>&gt;=0.35 separates; &lt;=0.15 does not separate; intermediate is inconclusive/confounded; direct driver-definition tests are CIRCULAR</x:v>
      </x:c>
      <x:c r="X140" s="48" t="str">
        <x:v>MANAGER_SELF_DESCRIPTION; NOT BEHAVIOURAL FREQUENCY</x:v>
      </x:c>
    </x:row>
    <x:row r="141">
      <x:c r="A141" s="48" t="str">
        <x:v>B_GOVERNANCE_SEGMENTATION</x:v>
      </x:c>
      <x:c r="B141" s="48" t="str">
        <x:v>Tier B v1.1 - N=29 rerun</x:v>
      </x:c>
      <x:c r="C141" s="48" t="str">
        <x:v>2026-07-16</x:v>
      </x:c>
      <x:c r="D141" s="48" t="str">
        <x:v>G08</x:v>
      </x:c>
      <x:c r="E141" s="48" t="str">
        <x:v>GATING_DECISION</x:v>
      </x:c>
      <x:c r="F141" s="48" t="str">
        <x:v>IC recommendation followed by separate final authority</x:v>
      </x:c>
      <x:c r="G141" s="48" t="str">
        <x:v>source_vintage_bin</x:v>
      </x:c>
      <x:c r="H141" s="48" t="str">
        <x:v>2024_2026</x:v>
      </x:c>
      <x:c r="I141" s="48" t="str">
        <x:v>12</x:v>
      </x:c>
      <x:c r="J141" s="48" t="str">
        <x:v>0</x:v>
      </x:c>
      <x:c r="K141" s="48" t="str">
        <x:v>0</x:v>
      </x:c>
      <x:c r="L141" s="48" t="str">
        <x:v>12</x:v>
      </x:c>
      <x:c r="M141" s="48" t="str">
        <x:v>12</x:v>
      </x:c>
      <x:c r="N141" s="48" t="str">
        <x:v>0</x:v>
      </x:c>
      <x:c r="O141" s="48" t="str">
        <x:v>0</x:v>
      </x:c>
      <x:c r="P141" s="48" t="str">
        <x:v>0</x:v>
      </x:c>
      <x:c r="Q141" s="48" t="str">
        <x:v>0.000</x:v>
      </x:c>
      <x:c r="R141" s="48" t="str">
        <x:v>INCONCLUSIVE OR CONFOUNDED</x:v>
      </x:c>
      <x:c r="S141" s="48" t="str">
        <x:v>0.333</x:v>
      </x:c>
      <x:c r="T141" s="48" t="str">
        <x:v>2018_2020:N=6,p=0.333; 2021_2023:N=11,p=0.091; 2024_2026:N=12,p=0.000</x:v>
      </x:c>
      <x:c r="U141" s="48" t="str">
        <x:v>Adequate groups differ, but the maximum-minus-minimum prevalence lies between 0.15 and 0.35.</x:v>
      </x:c>
      <x:c r="V141" s="48" t="str">
        <x:v>At least 5 observable manager families in at least 2 driver groups</x:v>
      </x:c>
      <x:c r="W141" s="48" t="str">
        <x:v>&gt;=0.35 separates; &lt;=0.15 does not separate; intermediate is inconclusive/confounded; direct driver-definition tests are CIRCULAR</x:v>
      </x:c>
      <x:c r="X141" s="48" t="str">
        <x:v>MANAGER_SELF_DESCRIPTION; NOT BEHAVIOURAL FREQUENCY</x:v>
      </x:c>
    </x:row>
    <x:row r="142">
      <x:c r="A142" s="48" t="str">
        <x:v>B_GOVERNANCE_SEGMENTATION</x:v>
      </x:c>
      <x:c r="B142" s="48" t="str">
        <x:v>Tier B v1.1 - N=29 rerun</x:v>
      </x:c>
      <x:c r="C142" s="48" t="str">
        <x:v>2026-07-16</x:v>
      </x:c>
      <x:c r="D142" s="48" t="str">
        <x:v>G08</x:v>
      </x:c>
      <x:c r="E142" s="48" t="str">
        <x:v>GATING_DECISION</x:v>
      </x:c>
      <x:c r="F142" s="48" t="str">
        <x:v>IC recommendation followed by separate final authority</x:v>
      </x:c>
      <x:c r="G142" s="48" t="str">
        <x:v>governance_architecture</x:v>
      </x:c>
      <x:c r="H142" s="48" t="str">
        <x:v>IC_FINAL_OR_DE_FACTO</x:v>
      </x:c>
      <x:c r="I142" s="48" t="str">
        <x:v>26</x:v>
      </x:c>
      <x:c r="J142" s="48" t="str">
        <x:v>0</x:v>
      </x:c>
      <x:c r="K142" s="48" t="str">
        <x:v>0</x:v>
      </x:c>
      <x:c r="L142" s="48" t="str">
        <x:v>26</x:v>
      </x:c>
      <x:c r="M142" s="48" t="str">
        <x:v>26</x:v>
      </x:c>
      <x:c r="N142" s="48" t="str">
        <x:v>0</x:v>
      </x:c>
      <x:c r="O142" s="48" t="str">
        <x:v>0</x:v>
      </x:c>
      <x:c r="P142" s="48" t="str">
        <x:v>0</x:v>
      </x:c>
      <x:c r="Q142" s="48" t="str">
        <x:v>0.000</x:v>
      </x:c>
      <x:c r="R142" s="48" t="str">
        <x:v>N TOO SMALL</x:v>
      </x:c>
      <x:c r="S142" s="48" t="str"/>
      <x:c r="T142" s="48" t="str">
        <x:v>IC_FINAL_OR_DE_FACTO:N=26,p=0.000</x:v>
      </x:c>
      <x:c r="U142" s="48" t="str">
        <x:v>Fewer than two driver groups have at least 5 observable manager families.</x:v>
      </x:c>
      <x:c r="V142" s="48" t="str">
        <x:v>At least 5 observable manager families in at least 2 driver groups</x:v>
      </x:c>
      <x:c r="W142" s="48" t="str">
        <x:v>&gt;=0.35 separates; &lt;=0.15 does not separate; intermediate is inconclusive/confounded; direct driver-definition tests are CIRCULAR</x:v>
      </x:c>
      <x:c r="X142" s="48" t="str">
        <x:v>MANAGER_SELF_DESCRIPTION; NOT BEHAVIOURAL FREQUENCY</x:v>
      </x:c>
    </x:row>
    <x:row r="143">
      <x:c r="A143" s="48" t="str">
        <x:v>B_GOVERNANCE_SEGMENTATION</x:v>
      </x:c>
      <x:c r="B143" s="48" t="str">
        <x:v>Tier B v1.1 - N=29 rerun</x:v>
      </x:c>
      <x:c r="C143" s="48" t="str">
        <x:v>2026-07-16</x:v>
      </x:c>
      <x:c r="D143" s="48" t="str">
        <x:v>G08</x:v>
      </x:c>
      <x:c r="E143" s="48" t="str">
        <x:v>GATING_DECISION</x:v>
      </x:c>
      <x:c r="F143" s="48" t="str">
        <x:v>IC recommendation followed by separate final authority</x:v>
      </x:c>
      <x:c r="G143" s="48" t="str">
        <x:v>governance_architecture</x:v>
      </x:c>
      <x:c r="H143" s="48" t="str">
        <x:v>IC_RECOMMENDS_SEPARATE_FINAL_AUTHORITY</x:v>
      </x:c>
      <x:c r="I143" s="48" t="str">
        <x:v>3</x:v>
      </x:c>
      <x:c r="J143" s="48" t="str">
        <x:v>3</x:v>
      </x:c>
      <x:c r="K143" s="48" t="str">
        <x:v>0</x:v>
      </x:c>
      <x:c r="L143" s="48" t="str">
        <x:v>0</x:v>
      </x:c>
      <x:c r="M143" s="48" t="str">
        <x:v>3</x:v>
      </x:c>
      <x:c r="N143" s="48" t="str">
        <x:v>0</x:v>
      </x:c>
      <x:c r="O143" s="48" t="str">
        <x:v>0</x:v>
      </x:c>
      <x:c r="P143" s="48" t="str">
        <x:v>0</x:v>
      </x:c>
      <x:c r="Q143" s="48" t="str">
        <x:v>1.000</x:v>
      </x:c>
      <x:c r="R143" s="48" t="str">
        <x:v>N TOO SMALL</x:v>
      </x:c>
      <x:c r="S143" s="48" t="str"/>
      <x:c r="T143" s="48" t="str">
        <x:v>IC_FINAL_OR_DE_FACTO:N=26,p=0.000</x:v>
      </x:c>
      <x:c r="U143" s="48" t="str">
        <x:v>Fewer than two driver groups have at least 5 observable manager families.</x:v>
      </x:c>
      <x:c r="V143" s="48" t="str">
        <x:v>At least 5 observable manager families in at least 2 driver groups</x:v>
      </x:c>
      <x:c r="W143" s="48" t="str">
        <x:v>&gt;=0.35 separates; &lt;=0.15 does not separate; intermediate is inconclusive/confounded; direct driver-definition tests are CIRCULAR</x:v>
      </x:c>
      <x:c r="X143" s="48" t="str">
        <x:v>MANAGER_SELF_DESCRIPTION; NOT BEHAVIOURAL FREQUENCY</x:v>
      </x:c>
    </x:row>
    <x:row r="144">
      <x:c r="A144" s="48" t="str">
        <x:v>B_GOVERNANCE_SEGMENTATION</x:v>
      </x:c>
      <x:c r="B144" s="48" t="str">
        <x:v>Tier B v1.1 - N=29 rerun</x:v>
      </x:c>
      <x:c r="C144" s="48" t="str">
        <x:v>2026-07-16</x:v>
      </x:c>
      <x:c r="D144" s="48" t="str">
        <x:v>G08</x:v>
      </x:c>
      <x:c r="E144" s="48" t="str">
        <x:v>GATING_DECISION</x:v>
      </x:c>
      <x:c r="F144" s="48" t="str">
        <x:v>IC recommendation followed by separate final authority</x:v>
      </x:c>
      <x:c r="G144" s="48" t="str">
        <x:v>dedicated_operating_team</x:v>
      </x:c>
      <x:c r="H144" s="48" t="str">
        <x:v>NO_OR_LIMITED</x:v>
      </x:c>
      <x:c r="I144" s="48" t="str">
        <x:v>6</x:v>
      </x:c>
      <x:c r="J144" s="48" t="str">
        <x:v>1</x:v>
      </x:c>
      <x:c r="K144" s="48" t="str">
        <x:v>0</x:v>
      </x:c>
      <x:c r="L144" s="48" t="str">
        <x:v>5</x:v>
      </x:c>
      <x:c r="M144" s="48" t="str">
        <x:v>6</x:v>
      </x:c>
      <x:c r="N144" s="48" t="str">
        <x:v>0</x:v>
      </x:c>
      <x:c r="O144" s="48" t="str">
        <x:v>0</x:v>
      </x:c>
      <x:c r="P144" s="48" t="str">
        <x:v>0</x:v>
      </x:c>
      <x:c r="Q144" s="48" t="str">
        <x:v>0.167</x:v>
      </x:c>
      <x:c r="R144" s="48" t="str">
        <x:v>DRIVER DOES NOT SEPARATE</x:v>
      </x:c>
      <x:c r="S144" s="48" t="str">
        <x:v>0.080</x:v>
      </x:c>
      <x:c r="T144" s="48" t="str">
        <x:v>NO_OR_LIMITED:N=6,p=0.167; YES_DEDICATED:N=23,p=0.087</x:v>
      </x:c>
      <x:c r="U144" s="48" t="str">
        <x:v>Maximum-minus-minimum prevalence among adequately observed groups is no more than 0.15.</x:v>
      </x:c>
      <x:c r="V144" s="48" t="str">
        <x:v>At least 5 observable manager families in at least 2 driver groups</x:v>
      </x:c>
      <x:c r="W144" s="48" t="str">
        <x:v>&gt;=0.35 separates; &lt;=0.15 does not separate; intermediate is inconclusive/confounded; direct driver-definition tests are CIRCULAR</x:v>
      </x:c>
      <x:c r="X144" s="48" t="str">
        <x:v>MANAGER_SELF_DESCRIPTION; NOT BEHAVIOURAL FREQUENCY</x:v>
      </x:c>
    </x:row>
    <x:row r="145">
      <x:c r="A145" s="48" t="str">
        <x:v>B_GOVERNANCE_SEGMENTATION</x:v>
      </x:c>
      <x:c r="B145" s="48" t="str">
        <x:v>Tier B v1.1 - N=29 rerun</x:v>
      </x:c>
      <x:c r="C145" s="48" t="str">
        <x:v>2026-07-16</x:v>
      </x:c>
      <x:c r="D145" s="48" t="str">
        <x:v>G08</x:v>
      </x:c>
      <x:c r="E145" s="48" t="str">
        <x:v>GATING_DECISION</x:v>
      </x:c>
      <x:c r="F145" s="48" t="str">
        <x:v>IC recommendation followed by separate final authority</x:v>
      </x:c>
      <x:c r="G145" s="48" t="str">
        <x:v>dedicated_operating_team</x:v>
      </x:c>
      <x:c r="H145" s="48" t="str">
        <x:v>YES_DEDICATED</x:v>
      </x:c>
      <x:c r="I145" s="48" t="str">
        <x:v>23</x:v>
      </x:c>
      <x:c r="J145" s="48" t="str">
        <x:v>2</x:v>
      </x:c>
      <x:c r="K145" s="48" t="str">
        <x:v>0</x:v>
      </x:c>
      <x:c r="L145" s="48" t="str">
        <x:v>21</x:v>
      </x:c>
      <x:c r="M145" s="48" t="str">
        <x:v>23</x:v>
      </x:c>
      <x:c r="N145" s="48" t="str">
        <x:v>0</x:v>
      </x:c>
      <x:c r="O145" s="48" t="str">
        <x:v>0</x:v>
      </x:c>
      <x:c r="P145" s="48" t="str">
        <x:v>0</x:v>
      </x:c>
      <x:c r="Q145" s="48" t="str">
        <x:v>0.087</x:v>
      </x:c>
      <x:c r="R145" s="48" t="str">
        <x:v>DRIVER DOES NOT SEPARATE</x:v>
      </x:c>
      <x:c r="S145" s="48" t="str">
        <x:v>0.080</x:v>
      </x:c>
      <x:c r="T145" s="48" t="str">
        <x:v>NO_OR_LIMITED:N=6,p=0.167; YES_DEDICATED:N=23,p=0.087</x:v>
      </x:c>
      <x:c r="U145" s="48" t="str">
        <x:v>Maximum-minus-minimum prevalence among adequately observed groups is no more than 0.15.</x:v>
      </x:c>
      <x:c r="V145" s="48" t="str">
        <x:v>At least 5 observable manager families in at least 2 driver groups</x:v>
      </x:c>
      <x:c r="W145" s="48" t="str">
        <x:v>&gt;=0.35 separates; &lt;=0.15 does not separate; intermediate is inconclusive/confounded; direct driver-definition tests are CIRCULAR</x:v>
      </x:c>
      <x:c r="X145" s="48" t="str">
        <x:v>MANAGER_SELF_DESCRIPTION; NOT BEHAVIOURAL FREQUENCY</x:v>
      </x:c>
    </x:row>
    <x:row r="146">
      <x:c r="A146" s="48" t="str">
        <x:v>B_GOVERNANCE_SEGMENTATION</x:v>
      </x:c>
      <x:c r="B146" s="48" t="str">
        <x:v>Tier B v1.1 - N=29 rerun</x:v>
      </x:c>
      <x:c r="C146" s="48" t="str">
        <x:v>2026-07-16</x:v>
      </x:c>
      <x:c r="D146" s="48" t="str">
        <x:v>G09</x:v>
      </x:c>
      <x:c r="E146" s="48" t="str">
        <x:v>GATING_DECISION</x:v>
      </x:c>
      <x:c r="F146" s="48" t="str">
        <x:v>Separate closing-readiness or funding control</x:v>
      </x:c>
      <x:c r="G146" s="48" t="str">
        <x:v>fund_size_archetype</x:v>
      </x:c>
      <x:c r="H146" s="48" t="str">
        <x:v>LARGE_2_TO_LT_5B</x:v>
      </x:c>
      <x:c r="I146" s="48" t="str">
        <x:v>9</x:v>
      </x:c>
      <x:c r="J146" s="48" t="str">
        <x:v>6</x:v>
      </x:c>
      <x:c r="K146" s="48" t="str">
        <x:v>0</x:v>
      </x:c>
      <x:c r="L146" s="48" t="str">
        <x:v>0</x:v>
      </x:c>
      <x:c r="M146" s="48" t="str">
        <x:v>6</x:v>
      </x:c>
      <x:c r="N146" s="48" t="str">
        <x:v>3</x:v>
      </x:c>
      <x:c r="O146" s="48" t="str">
        <x:v>0</x:v>
      </x:c>
      <x:c r="P146" s="48" t="str">
        <x:v>0</x:v>
      </x:c>
      <x:c r="Q146" s="48" t="str">
        <x:v>1.000</x:v>
      </x:c>
      <x:c r="R146" s="48" t="str">
        <x:v>DRIVER DOES NOT SEPARATE</x:v>
      </x:c>
      <x:c r="S146" s="48" t="str">
        <x:v>0.000</x:v>
      </x:c>
      <x:c r="T146" s="48" t="str">
        <x:v>LARGE_2_TO_LT_5B:N=6,p=1.000; MEGA_GE_5B:N=7,p=1.000</x:v>
      </x:c>
      <x:c r="U146" s="48" t="str">
        <x:v>Maximum-minus-minimum prevalence among adequately observed groups is no more than 0.15.</x:v>
      </x:c>
      <x:c r="V146" s="48" t="str">
        <x:v>At least 5 observable manager families in at least 2 driver groups</x:v>
      </x:c>
      <x:c r="W146" s="48" t="str">
        <x:v>&gt;=0.35 separates; &lt;=0.15 does not separate; intermediate is inconclusive/confounded; direct driver-definition tests are CIRCULAR</x:v>
      </x:c>
      <x:c r="X146" s="48" t="str">
        <x:v>MANAGER_SELF_DESCRIPTION; NOT BEHAVIOURAL FREQUENCY</x:v>
      </x:c>
    </x:row>
    <x:row r="147">
      <x:c r="A147" s="48" t="str">
        <x:v>B_GOVERNANCE_SEGMENTATION</x:v>
      </x:c>
      <x:c r="B147" s="48" t="str">
        <x:v>Tier B v1.1 - N=29 rerun</x:v>
      </x:c>
      <x:c r="C147" s="48" t="str">
        <x:v>2026-07-16</x:v>
      </x:c>
      <x:c r="D147" s="48" t="str">
        <x:v>G09</x:v>
      </x:c>
      <x:c r="E147" s="48" t="str">
        <x:v>GATING_DECISION</x:v>
      </x:c>
      <x:c r="F147" s="48" t="str">
        <x:v>Separate closing-readiness or funding control</x:v>
      </x:c>
      <x:c r="G147" s="48" t="str">
        <x:v>fund_size_archetype</x:v>
      </x:c>
      <x:c r="H147" s="48" t="str">
        <x:v>LOWER_MID_LT_2B</x:v>
      </x:c>
      <x:c r="I147" s="48" t="str">
        <x:v>8</x:v>
      </x:c>
      <x:c r="J147" s="48" t="str">
        <x:v>4</x:v>
      </x:c>
      <x:c r="K147" s="48" t="str">
        <x:v>0</x:v>
      </x:c>
      <x:c r="L147" s="48" t="str">
        <x:v>0</x:v>
      </x:c>
      <x:c r="M147" s="48" t="str">
        <x:v>4</x:v>
      </x:c>
      <x:c r="N147" s="48" t="str">
        <x:v>4</x:v>
      </x:c>
      <x:c r="O147" s="48" t="str">
        <x:v>0</x:v>
      </x:c>
      <x:c r="P147" s="48" t="str">
        <x:v>0</x:v>
      </x:c>
      <x:c r="Q147" s="48" t="str">
        <x:v>1.000</x:v>
      </x:c>
      <x:c r="R147" s="48" t="str">
        <x:v>DRIVER DOES NOT SEPARATE</x:v>
      </x:c>
      <x:c r="S147" s="48" t="str">
        <x:v>0.000</x:v>
      </x:c>
      <x:c r="T147" s="48" t="str">
        <x:v>LARGE_2_TO_LT_5B:N=6,p=1.000; MEGA_GE_5B:N=7,p=1.000</x:v>
      </x:c>
      <x:c r="U147" s="48" t="str">
        <x:v>Maximum-minus-minimum prevalence among adequately observed groups is no more than 0.15.</x:v>
      </x:c>
      <x:c r="V147" s="48" t="str">
        <x:v>At least 5 observable manager families in at least 2 driver groups</x:v>
      </x:c>
      <x:c r="W147" s="48" t="str">
        <x:v>&gt;=0.35 separates; &lt;=0.15 does not separate; intermediate is inconclusive/confounded; direct driver-definition tests are CIRCULAR</x:v>
      </x:c>
      <x:c r="X147" s="48" t="str">
        <x:v>MANAGER_SELF_DESCRIPTION; NOT BEHAVIOURAL FREQUENCY</x:v>
      </x:c>
    </x:row>
    <x:row r="148">
      <x:c r="A148" s="48" t="str">
        <x:v>B_GOVERNANCE_SEGMENTATION</x:v>
      </x:c>
      <x:c r="B148" s="48" t="str">
        <x:v>Tier B v1.1 - N=29 rerun</x:v>
      </x:c>
      <x:c r="C148" s="48" t="str">
        <x:v>2026-07-16</x:v>
      </x:c>
      <x:c r="D148" s="48" t="str">
        <x:v>G09</x:v>
      </x:c>
      <x:c r="E148" s="48" t="str">
        <x:v>GATING_DECISION</x:v>
      </x:c>
      <x:c r="F148" s="48" t="str">
        <x:v>Separate closing-readiness or funding control</x:v>
      </x:c>
      <x:c r="G148" s="48" t="str">
        <x:v>fund_size_archetype</x:v>
      </x:c>
      <x:c r="H148" s="48" t="str">
        <x:v>MEGA_GE_5B</x:v>
      </x:c>
      <x:c r="I148" s="48" t="str">
        <x:v>11</x:v>
      </x:c>
      <x:c r="J148" s="48" t="str">
        <x:v>7</x:v>
      </x:c>
      <x:c r="K148" s="48" t="str">
        <x:v>1</x:v>
      </x:c>
      <x:c r="L148" s="48" t="str">
        <x:v>0</x:v>
      </x:c>
      <x:c r="M148" s="48" t="str">
        <x:v>7</x:v>
      </x:c>
      <x:c r="N148" s="48" t="str">
        <x:v>4</x:v>
      </x:c>
      <x:c r="O148" s="48" t="str">
        <x:v>0</x:v>
      </x:c>
      <x:c r="P148" s="48" t="str">
        <x:v>0</x:v>
      </x:c>
      <x:c r="Q148" s="48" t="str">
        <x:v>1.000</x:v>
      </x:c>
      <x:c r="R148" s="48" t="str">
        <x:v>DRIVER DOES NOT SEPARATE</x:v>
      </x:c>
      <x:c r="S148" s="48" t="str">
        <x:v>0.000</x:v>
      </x:c>
      <x:c r="T148" s="48" t="str">
        <x:v>LARGE_2_TO_LT_5B:N=6,p=1.000; MEGA_GE_5B:N=7,p=1.000</x:v>
      </x:c>
      <x:c r="U148" s="48" t="str">
        <x:v>Maximum-minus-minimum prevalence among adequately observed groups is no more than 0.15.</x:v>
      </x:c>
      <x:c r="V148" s="48" t="str">
        <x:v>At least 5 observable manager families in at least 2 driver groups</x:v>
      </x:c>
      <x:c r="W148" s="48" t="str">
        <x:v>&gt;=0.35 separates; &lt;=0.15 does not separate; intermediate is inconclusive/confounded; direct driver-definition tests are CIRCULAR</x:v>
      </x:c>
      <x:c r="X148" s="48" t="str">
        <x:v>MANAGER_SELF_DESCRIPTION; NOT BEHAVIOURAL FREQUENCY</x:v>
      </x:c>
    </x:row>
    <x:row r="149">
      <x:c r="A149" s="48" t="str">
        <x:v>B_GOVERNANCE_SEGMENTATION</x:v>
      </x:c>
      <x:c r="B149" s="48" t="str">
        <x:v>Tier B v1.1 - N=29 rerun</x:v>
      </x:c>
      <x:c r="C149" s="48" t="str">
        <x:v>2026-07-16</x:v>
      </x:c>
      <x:c r="D149" s="48" t="str">
        <x:v>G09</x:v>
      </x:c>
      <x:c r="E149" s="48" t="str">
        <x:v>GATING_DECISION</x:v>
      </x:c>
      <x:c r="F149" s="48" t="str">
        <x:v>Separate closing-readiness or funding control</x:v>
      </x:c>
      <x:c r="G149" s="48" t="str">
        <x:v>fund_size_archetype</x:v>
      </x:c>
      <x:c r="H149" s="48" t="str">
        <x:v>NOT_APPLICABLE</x:v>
      </x:c>
      <x:c r="I149" s="48" t="str">
        <x:v>1</x:v>
      </x:c>
      <x:c r="J149" s="48" t="str">
        <x:v>0</x:v>
      </x:c>
      <x:c r="K149" s="48" t="str">
        <x:v>0</x:v>
      </x:c>
      <x:c r="L149" s="48" t="str">
        <x:v>0</x:v>
      </x:c>
      <x:c r="M149" s="48" t="str">
        <x:v>0</x:v>
      </x:c>
      <x:c r="N149" s="48" t="str">
        <x:v>1</x:v>
      </x:c>
      <x:c r="O149" s="48" t="str">
        <x:v>0</x:v>
      </x:c>
      <x:c r="P149" s="48" t="str">
        <x:v>0</x:v>
      </x:c>
      <x:c r="Q149" s="48" t="str"/>
      <x:c r="R149" s="48" t="str">
        <x:v>DRIVER DOES NOT SEPARATE</x:v>
      </x:c>
      <x:c r="S149" s="48" t="str">
        <x:v>0.000</x:v>
      </x:c>
      <x:c r="T149" s="48" t="str">
        <x:v>LARGE_2_TO_LT_5B:N=6,p=1.000; MEGA_GE_5B:N=7,p=1.000</x:v>
      </x:c>
      <x:c r="U149" s="48" t="str">
        <x:v>Maximum-minus-minimum prevalence among adequately observed groups is no more than 0.15.</x:v>
      </x:c>
      <x:c r="V149" s="48" t="str">
        <x:v>At least 5 observable manager families in at least 2 driver groups</x:v>
      </x:c>
      <x:c r="W149" s="48" t="str">
        <x:v>&gt;=0.35 separates; &lt;=0.15 does not separate; intermediate is inconclusive/confounded; direct driver-definition tests are CIRCULAR</x:v>
      </x:c>
      <x:c r="X149" s="48" t="str">
        <x:v>MANAGER_SELF_DESCRIPTION; NOT BEHAVIOURAL FREQUENCY</x:v>
      </x:c>
    </x:row>
    <x:row r="150">
      <x:c r="A150" s="48" t="str">
        <x:v>B_GOVERNANCE_SEGMENTATION</x:v>
      </x:c>
      <x:c r="B150" s="48" t="str">
        <x:v>Tier B v1.1 - N=29 rerun</x:v>
      </x:c>
      <x:c r="C150" s="48" t="str">
        <x:v>2026-07-16</x:v>
      </x:c>
      <x:c r="D150" s="48" t="str">
        <x:v>G09</x:v>
      </x:c>
      <x:c r="E150" s="48" t="str">
        <x:v>GATING_DECISION</x:v>
      </x:c>
      <x:c r="F150" s="48" t="str">
        <x:v>Separate closing-readiness or funding control</x:v>
      </x:c>
      <x:c r="G150" s="48" t="str">
        <x:v>strategy</x:v>
      </x:c>
      <x:c r="H150" s="48" t="str">
        <x:v>CONTROL_BUYOUT</x:v>
      </x:c>
      <x:c r="I150" s="48" t="str">
        <x:v>22</x:v>
      </x:c>
      <x:c r="J150" s="48" t="str">
        <x:v>13</x:v>
      </x:c>
      <x:c r="K150" s="48" t="str">
        <x:v>1</x:v>
      </x:c>
      <x:c r="L150" s="48" t="str">
        <x:v>0</x:v>
      </x:c>
      <x:c r="M150" s="48" t="str">
        <x:v>13</x:v>
      </x:c>
      <x:c r="N150" s="48" t="str">
        <x:v>9</x:v>
      </x:c>
      <x:c r="O150" s="48" t="str">
        <x:v>0</x:v>
      </x:c>
      <x:c r="P150" s="48" t="str">
        <x:v>0</x:v>
      </x:c>
      <x:c r="Q150" s="48" t="str">
        <x:v>1.000</x:v>
      </x:c>
      <x:c r="R150" s="48" t="str">
        <x:v>N TOO SMALL</x:v>
      </x:c>
      <x:c r="S150" s="48" t="str"/>
      <x:c r="T150" s="48" t="str">
        <x:v>CONTROL_BUYOUT:N=13,p=1.000</x:v>
      </x:c>
      <x:c r="U150" s="48" t="str">
        <x:v>Fewer than two driver groups have at least 5 observable manager families.</x:v>
      </x:c>
      <x:c r="V150" s="48" t="str">
        <x:v>At least 5 observable manager families in at least 2 driver groups</x:v>
      </x:c>
      <x:c r="W150" s="48" t="str">
        <x:v>&gt;=0.35 separates; &lt;=0.15 does not separate; intermediate is inconclusive/confounded; direct driver-definition tests are CIRCULAR</x:v>
      </x:c>
      <x:c r="X150" s="48" t="str">
        <x:v>MANAGER_SELF_DESCRIPTION; NOT BEHAVIOURAL FREQUENCY</x:v>
      </x:c>
    </x:row>
    <x:row r="151">
      <x:c r="A151" s="48" t="str">
        <x:v>B_GOVERNANCE_SEGMENTATION</x:v>
      </x:c>
      <x:c r="B151" s="48" t="str">
        <x:v>Tier B v1.1 - N=29 rerun</x:v>
      </x:c>
      <x:c r="C151" s="48" t="str">
        <x:v>2026-07-16</x:v>
      </x:c>
      <x:c r="D151" s="48" t="str">
        <x:v>G09</x:v>
      </x:c>
      <x:c r="E151" s="48" t="str">
        <x:v>GATING_DECISION</x:v>
      </x:c>
      <x:c r="F151" s="48" t="str">
        <x:v>Separate closing-readiness or funding control</x:v>
      </x:c>
      <x:c r="G151" s="48" t="str">
        <x:v>strategy</x:v>
      </x:c>
      <x:c r="H151" s="48" t="str">
        <x:v>GROWTH_CONTROL_HYBRID</x:v>
      </x:c>
      <x:c r="I151" s="48" t="str">
        <x:v>6</x:v>
      </x:c>
      <x:c r="J151" s="48" t="str">
        <x:v>3</x:v>
      </x:c>
      <x:c r="K151" s="48" t="str">
        <x:v>0</x:v>
      </x:c>
      <x:c r="L151" s="48" t="str">
        <x:v>0</x:v>
      </x:c>
      <x:c r="M151" s="48" t="str">
        <x:v>3</x:v>
      </x:c>
      <x:c r="N151" s="48" t="str">
        <x:v>3</x:v>
      </x:c>
      <x:c r="O151" s="48" t="str">
        <x:v>0</x:v>
      </x:c>
      <x:c r="P151" s="48" t="str">
        <x:v>0</x:v>
      </x:c>
      <x:c r="Q151" s="48" t="str">
        <x:v>1.000</x:v>
      </x:c>
      <x:c r="R151" s="48" t="str">
        <x:v>N TOO SMALL</x:v>
      </x:c>
      <x:c r="S151" s="48" t="str"/>
      <x:c r="T151" s="48" t="str">
        <x:v>CONTROL_BUYOUT:N=13,p=1.000</x:v>
      </x:c>
      <x:c r="U151" s="48" t="str">
        <x:v>Fewer than two driver groups have at least 5 observable manager families.</x:v>
      </x:c>
      <x:c r="V151" s="48" t="str">
        <x:v>At least 5 observable manager families in at least 2 driver groups</x:v>
      </x:c>
      <x:c r="W151" s="48" t="str">
        <x:v>&gt;=0.35 separates; &lt;=0.15 does not separate; intermediate is inconclusive/confounded; direct driver-definition tests are CIRCULAR</x:v>
      </x:c>
      <x:c r="X151" s="48" t="str">
        <x:v>MANAGER_SELF_DESCRIPTION; NOT BEHAVIOURAL FREQUENCY</x:v>
      </x:c>
    </x:row>
    <x:row r="152">
      <x:c r="A152" s="48" t="str">
        <x:v>B_GOVERNANCE_SEGMENTATION</x:v>
      </x:c>
      <x:c r="B152" s="48" t="str">
        <x:v>Tier B v1.1 - N=29 rerun</x:v>
      </x:c>
      <x:c r="C152" s="48" t="str">
        <x:v>2026-07-16</x:v>
      </x:c>
      <x:c r="D152" s="48" t="str">
        <x:v>G09</x:v>
      </x:c>
      <x:c r="E152" s="48" t="str">
        <x:v>GATING_DECISION</x:v>
      </x:c>
      <x:c r="F152" s="48" t="str">
        <x:v>Separate closing-readiness or funding control</x:v>
      </x:c>
      <x:c r="G152" s="48" t="str">
        <x:v>strategy</x:v>
      </x:c>
      <x:c r="H152" s="48" t="str">
        <x:v>OPPORTUNISTIC_CONTROL</x:v>
      </x:c>
      <x:c r="I152" s="48" t="str">
        <x:v>1</x:v>
      </x:c>
      <x:c r="J152" s="48" t="str">
        <x:v>1</x:v>
      </x:c>
      <x:c r="K152" s="48" t="str">
        <x:v>0</x:v>
      </x:c>
      <x:c r="L152" s="48" t="str">
        <x:v>0</x:v>
      </x:c>
      <x:c r="M152" s="48" t="str">
        <x:v>1</x:v>
      </x:c>
      <x:c r="N152" s="48" t="str">
        <x:v>0</x:v>
      </x:c>
      <x:c r="O152" s="48" t="str">
        <x:v>0</x:v>
      </x:c>
      <x:c r="P152" s="48" t="str">
        <x:v>0</x:v>
      </x:c>
      <x:c r="Q152" s="48" t="str">
        <x:v>1.000</x:v>
      </x:c>
      <x:c r="R152" s="48" t="str">
        <x:v>N TOO SMALL</x:v>
      </x:c>
      <x:c r="S152" s="48" t="str"/>
      <x:c r="T152" s="48" t="str">
        <x:v>CONTROL_BUYOUT:N=13,p=1.000</x:v>
      </x:c>
      <x:c r="U152" s="48" t="str">
        <x:v>Fewer than two driver groups have at least 5 observable manager families.</x:v>
      </x:c>
      <x:c r="V152" s="48" t="str">
        <x:v>At least 5 observable manager families in at least 2 driver groups</x:v>
      </x:c>
      <x:c r="W152" s="48" t="str">
        <x:v>&gt;=0.35 separates; &lt;=0.15 does not separate; intermediate is inconclusive/confounded; direct driver-definition tests are CIRCULAR</x:v>
      </x:c>
      <x:c r="X152" s="48" t="str">
        <x:v>MANAGER_SELF_DESCRIPTION; NOT BEHAVIOURAL FREQUENCY</x:v>
      </x:c>
    </x:row>
    <x:row r="153">
      <x:c r="A153" s="48" t="str">
        <x:v>B_GOVERNANCE_SEGMENTATION</x:v>
      </x:c>
      <x:c r="B153" s="48" t="str">
        <x:v>Tier B v1.1 - N=29 rerun</x:v>
      </x:c>
      <x:c r="C153" s="48" t="str">
        <x:v>2026-07-16</x:v>
      </x:c>
      <x:c r="D153" s="48" t="str">
        <x:v>G09</x:v>
      </x:c>
      <x:c r="E153" s="48" t="str">
        <x:v>GATING_DECISION</x:v>
      </x:c>
      <x:c r="F153" s="48" t="str">
        <x:v>Separate closing-readiness or funding control</x:v>
      </x:c>
      <x:c r="G153" s="48" t="str">
        <x:v>geography</x:v>
      </x:c>
      <x:c r="H153" s="48" t="str">
        <x:v>ASIA_PACIFIC</x:v>
      </x:c>
      <x:c r="I153" s="48" t="str">
        <x:v>4</x:v>
      </x:c>
      <x:c r="J153" s="48" t="str">
        <x:v>3</x:v>
      </x:c>
      <x:c r="K153" s="48" t="str">
        <x:v>0</x:v>
      </x:c>
      <x:c r="L153" s="48" t="str">
        <x:v>0</x:v>
      </x:c>
      <x:c r="M153" s="48" t="str">
        <x:v>3</x:v>
      </x:c>
      <x:c r="N153" s="48" t="str">
        <x:v>1</x:v>
      </x:c>
      <x:c r="O153" s="48" t="str">
        <x:v>0</x:v>
      </x:c>
      <x:c r="P153" s="48" t="str">
        <x:v>0</x:v>
      </x:c>
      <x:c r="Q153" s="48" t="str">
        <x:v>1.000</x:v>
      </x:c>
      <x:c r="R153" s="48" t="str">
        <x:v>DRIVER DOES NOT SEPARATE</x:v>
      </x:c>
      <x:c r="S153" s="48" t="str">
        <x:v>0.000</x:v>
      </x:c>
      <x:c r="T153" s="48" t="str">
        <x:v>GLOBAL_TRANSATLANTIC:N=7,p=1.000; NORTH_AMERICA:N=6,p=1.000</x:v>
      </x:c>
      <x:c r="U153" s="48" t="str">
        <x:v>Maximum-minus-minimum prevalence among adequately observed groups is no more than 0.15.</x:v>
      </x:c>
      <x:c r="V153" s="48" t="str">
        <x:v>At least 5 observable manager families in at least 2 driver groups</x:v>
      </x:c>
      <x:c r="W153" s="48" t="str">
        <x:v>&gt;=0.35 separates; &lt;=0.15 does not separate; intermediate is inconclusive/confounded; direct driver-definition tests are CIRCULAR</x:v>
      </x:c>
      <x:c r="X153" s="48" t="str">
        <x:v>MANAGER_SELF_DESCRIPTION; NOT BEHAVIOURAL FREQUENCY</x:v>
      </x:c>
    </x:row>
    <x:row r="154">
      <x:c r="A154" s="48" t="str">
        <x:v>B_GOVERNANCE_SEGMENTATION</x:v>
      </x:c>
      <x:c r="B154" s="48" t="str">
        <x:v>Tier B v1.1 - N=29 rerun</x:v>
      </x:c>
      <x:c r="C154" s="48" t="str">
        <x:v>2026-07-16</x:v>
      </x:c>
      <x:c r="D154" s="48" t="str">
        <x:v>G09</x:v>
      </x:c>
      <x:c r="E154" s="48" t="str">
        <x:v>GATING_DECISION</x:v>
      </x:c>
      <x:c r="F154" s="48" t="str">
        <x:v>Separate closing-readiness or funding control</x:v>
      </x:c>
      <x:c r="G154" s="48" t="str">
        <x:v>geography</x:v>
      </x:c>
      <x:c r="H154" s="48" t="str">
        <x:v>EUROPE</x:v>
      </x:c>
      <x:c r="I154" s="48" t="str">
        <x:v>2</x:v>
      </x:c>
      <x:c r="J154" s="48" t="str">
        <x:v>1</x:v>
      </x:c>
      <x:c r="K154" s="48" t="str">
        <x:v>0</x:v>
      </x:c>
      <x:c r="L154" s="48" t="str">
        <x:v>0</x:v>
      </x:c>
      <x:c r="M154" s="48" t="str">
        <x:v>1</x:v>
      </x:c>
      <x:c r="N154" s="48" t="str">
        <x:v>1</x:v>
      </x:c>
      <x:c r="O154" s="48" t="str">
        <x:v>0</x:v>
      </x:c>
      <x:c r="P154" s="48" t="str">
        <x:v>0</x:v>
      </x:c>
      <x:c r="Q154" s="48" t="str">
        <x:v>1.000</x:v>
      </x:c>
      <x:c r="R154" s="48" t="str">
        <x:v>DRIVER DOES NOT SEPARATE</x:v>
      </x:c>
      <x:c r="S154" s="48" t="str">
        <x:v>0.000</x:v>
      </x:c>
      <x:c r="T154" s="48" t="str">
        <x:v>GLOBAL_TRANSATLANTIC:N=7,p=1.000; NORTH_AMERICA:N=6,p=1.000</x:v>
      </x:c>
      <x:c r="U154" s="48" t="str">
        <x:v>Maximum-minus-minimum prevalence among adequately observed groups is no more than 0.15.</x:v>
      </x:c>
      <x:c r="V154" s="48" t="str">
        <x:v>At least 5 observable manager families in at least 2 driver groups</x:v>
      </x:c>
      <x:c r="W154" s="48" t="str">
        <x:v>&gt;=0.35 separates; &lt;=0.15 does not separate; intermediate is inconclusive/confounded; direct driver-definition tests are CIRCULAR</x:v>
      </x:c>
      <x:c r="X154" s="48" t="str">
        <x:v>MANAGER_SELF_DESCRIPTION; NOT BEHAVIOURAL FREQUENCY</x:v>
      </x:c>
    </x:row>
    <x:row r="155">
      <x:c r="A155" s="48" t="str">
        <x:v>B_GOVERNANCE_SEGMENTATION</x:v>
      </x:c>
      <x:c r="B155" s="48" t="str">
        <x:v>Tier B v1.1 - N=29 rerun</x:v>
      </x:c>
      <x:c r="C155" s="48" t="str">
        <x:v>2026-07-16</x:v>
      </x:c>
      <x:c r="D155" s="48" t="str">
        <x:v>G09</x:v>
      </x:c>
      <x:c r="E155" s="48" t="str">
        <x:v>GATING_DECISION</x:v>
      </x:c>
      <x:c r="F155" s="48" t="str">
        <x:v>Separate closing-readiness or funding control</x:v>
      </x:c>
      <x:c r="G155" s="48" t="str">
        <x:v>geography</x:v>
      </x:c>
      <x:c r="H155" s="48" t="str">
        <x:v>GLOBAL_TRANSATLANTIC</x:v>
      </x:c>
      <x:c r="I155" s="48" t="str">
        <x:v>10</x:v>
      </x:c>
      <x:c r="J155" s="48" t="str">
        <x:v>7</x:v>
      </x:c>
      <x:c r="K155" s="48" t="str">
        <x:v>1</x:v>
      </x:c>
      <x:c r="L155" s="48" t="str">
        <x:v>0</x:v>
      </x:c>
      <x:c r="M155" s="48" t="str">
        <x:v>7</x:v>
      </x:c>
      <x:c r="N155" s="48" t="str">
        <x:v>3</x:v>
      </x:c>
      <x:c r="O155" s="48" t="str">
        <x:v>0</x:v>
      </x:c>
      <x:c r="P155" s="48" t="str">
        <x:v>0</x:v>
      </x:c>
      <x:c r="Q155" s="48" t="str">
        <x:v>1.000</x:v>
      </x:c>
      <x:c r="R155" s="48" t="str">
        <x:v>DRIVER DOES NOT SEPARATE</x:v>
      </x:c>
      <x:c r="S155" s="48" t="str">
        <x:v>0.000</x:v>
      </x:c>
      <x:c r="T155" s="48" t="str">
        <x:v>GLOBAL_TRANSATLANTIC:N=7,p=1.000; NORTH_AMERICA:N=6,p=1.000</x:v>
      </x:c>
      <x:c r="U155" s="48" t="str">
        <x:v>Maximum-minus-minimum prevalence among adequately observed groups is no more than 0.15.</x:v>
      </x:c>
      <x:c r="V155" s="48" t="str">
        <x:v>At least 5 observable manager families in at least 2 driver groups</x:v>
      </x:c>
      <x:c r="W155" s="48" t="str">
        <x:v>&gt;=0.35 separates; &lt;=0.15 does not separate; intermediate is inconclusive/confounded; direct driver-definition tests are CIRCULAR</x:v>
      </x:c>
      <x:c r="X155" s="48" t="str">
        <x:v>MANAGER_SELF_DESCRIPTION; NOT BEHAVIOURAL FREQUENCY</x:v>
      </x:c>
    </x:row>
    <x:row r="156">
      <x:c r="A156" s="48" t="str">
        <x:v>B_GOVERNANCE_SEGMENTATION</x:v>
      </x:c>
      <x:c r="B156" s="48" t="str">
        <x:v>Tier B v1.1 - N=29 rerun</x:v>
      </x:c>
      <x:c r="C156" s="48" t="str">
        <x:v>2026-07-16</x:v>
      </x:c>
      <x:c r="D156" s="48" t="str">
        <x:v>G09</x:v>
      </x:c>
      <x:c r="E156" s="48" t="str">
        <x:v>GATING_DECISION</x:v>
      </x:c>
      <x:c r="F156" s="48" t="str">
        <x:v>Separate closing-readiness or funding control</x:v>
      </x:c>
      <x:c r="G156" s="48" t="str">
        <x:v>geography</x:v>
      </x:c>
      <x:c r="H156" s="48" t="str">
        <x:v>NORTH_AMERICA</x:v>
      </x:c>
      <x:c r="I156" s="48" t="str">
        <x:v>13</x:v>
      </x:c>
      <x:c r="J156" s="48" t="str">
        <x:v>6</x:v>
      </x:c>
      <x:c r="K156" s="48" t="str">
        <x:v>0</x:v>
      </x:c>
      <x:c r="L156" s="48" t="str">
        <x:v>0</x:v>
      </x:c>
      <x:c r="M156" s="48" t="str">
        <x:v>6</x:v>
      </x:c>
      <x:c r="N156" s="48" t="str">
        <x:v>7</x:v>
      </x:c>
      <x:c r="O156" s="48" t="str">
        <x:v>0</x:v>
      </x:c>
      <x:c r="P156" s="48" t="str">
        <x:v>0</x:v>
      </x:c>
      <x:c r="Q156" s="48" t="str">
        <x:v>1.000</x:v>
      </x:c>
      <x:c r="R156" s="48" t="str">
        <x:v>DRIVER DOES NOT SEPARATE</x:v>
      </x:c>
      <x:c r="S156" s="48" t="str">
        <x:v>0.000</x:v>
      </x:c>
      <x:c r="T156" s="48" t="str">
        <x:v>GLOBAL_TRANSATLANTIC:N=7,p=1.000; NORTH_AMERICA:N=6,p=1.000</x:v>
      </x:c>
      <x:c r="U156" s="48" t="str">
        <x:v>Maximum-minus-minimum prevalence among adequately observed groups is no more than 0.15.</x:v>
      </x:c>
      <x:c r="V156" s="48" t="str">
        <x:v>At least 5 observable manager families in at least 2 driver groups</x:v>
      </x:c>
      <x:c r="W156" s="48" t="str">
        <x:v>&gt;=0.35 separates; &lt;=0.15 does not separate; intermediate is inconclusive/confounded; direct driver-definition tests are CIRCULAR</x:v>
      </x:c>
      <x:c r="X156" s="48" t="str">
        <x:v>MANAGER_SELF_DESCRIPTION; NOT BEHAVIOURAL FREQUENCY</x:v>
      </x:c>
    </x:row>
    <x:row r="157">
      <x:c r="A157" s="48" t="str">
        <x:v>B_GOVERNANCE_SEGMENTATION</x:v>
      </x:c>
      <x:c r="B157" s="48" t="str">
        <x:v>Tier B v1.1 - N=29 rerun</x:v>
      </x:c>
      <x:c r="C157" s="48" t="str">
        <x:v>2026-07-16</x:v>
      </x:c>
      <x:c r="D157" s="48" t="str">
        <x:v>G09</x:v>
      </x:c>
      <x:c r="E157" s="48" t="str">
        <x:v>GATING_DECISION</x:v>
      </x:c>
      <x:c r="F157" s="48" t="str">
        <x:v>Separate closing-readiness or funding control</x:v>
      </x:c>
      <x:c r="G157" s="48" t="str">
        <x:v>source_vintage_bin</x:v>
      </x:c>
      <x:c r="H157" s="48" t="str">
        <x:v>2018_2020</x:v>
      </x:c>
      <x:c r="I157" s="48" t="str">
        <x:v>6</x:v>
      </x:c>
      <x:c r="J157" s="48" t="str">
        <x:v>4</x:v>
      </x:c>
      <x:c r="K157" s="48" t="str">
        <x:v>0</x:v>
      </x:c>
      <x:c r="L157" s="48" t="str">
        <x:v>0</x:v>
      </x:c>
      <x:c r="M157" s="48" t="str">
        <x:v>4</x:v>
      </x:c>
      <x:c r="N157" s="48" t="str">
        <x:v>2</x:v>
      </x:c>
      <x:c r="O157" s="48" t="str">
        <x:v>0</x:v>
      </x:c>
      <x:c r="P157" s="48" t="str">
        <x:v>0</x:v>
      </x:c>
      <x:c r="Q157" s="48" t="str">
        <x:v>1.000</x:v>
      </x:c>
      <x:c r="R157" s="48" t="str">
        <x:v>DRIVER DOES NOT SEPARATE</x:v>
      </x:c>
      <x:c r="S157" s="48" t="str">
        <x:v>0.000</x:v>
      </x:c>
      <x:c r="T157" s="48" t="str">
        <x:v>2021_2023:N=6,p=1.000; 2024_2026:N=7,p=1.000</x:v>
      </x:c>
      <x:c r="U157" s="48" t="str">
        <x:v>Maximum-minus-minimum prevalence among adequately observed groups is no more than 0.15.</x:v>
      </x:c>
      <x:c r="V157" s="48" t="str">
        <x:v>At least 5 observable manager families in at least 2 driver groups</x:v>
      </x:c>
      <x:c r="W157" s="48" t="str">
        <x:v>&gt;=0.35 separates; &lt;=0.15 does not separate; intermediate is inconclusive/confounded; direct driver-definition tests are CIRCULAR</x:v>
      </x:c>
      <x:c r="X157" s="48" t="str">
        <x:v>MANAGER_SELF_DESCRIPTION; NOT BEHAVIOURAL FREQUENCY</x:v>
      </x:c>
    </x:row>
    <x:row r="158">
      <x:c r="A158" s="48" t="str">
        <x:v>B_GOVERNANCE_SEGMENTATION</x:v>
      </x:c>
      <x:c r="B158" s="48" t="str">
        <x:v>Tier B v1.1 - N=29 rerun</x:v>
      </x:c>
      <x:c r="C158" s="48" t="str">
        <x:v>2026-07-16</x:v>
      </x:c>
      <x:c r="D158" s="48" t="str">
        <x:v>G09</x:v>
      </x:c>
      <x:c r="E158" s="48" t="str">
        <x:v>GATING_DECISION</x:v>
      </x:c>
      <x:c r="F158" s="48" t="str">
        <x:v>Separate closing-readiness or funding control</x:v>
      </x:c>
      <x:c r="G158" s="48" t="str">
        <x:v>source_vintage_bin</x:v>
      </x:c>
      <x:c r="H158" s="48" t="str">
        <x:v>2021_2023</x:v>
      </x:c>
      <x:c r="I158" s="48" t="str">
        <x:v>11</x:v>
      </x:c>
      <x:c r="J158" s="48" t="str">
        <x:v>6</x:v>
      </x:c>
      <x:c r="K158" s="48" t="str">
        <x:v>1</x:v>
      </x:c>
      <x:c r="L158" s="48" t="str">
        <x:v>0</x:v>
      </x:c>
      <x:c r="M158" s="48" t="str">
        <x:v>6</x:v>
      </x:c>
      <x:c r="N158" s="48" t="str">
        <x:v>5</x:v>
      </x:c>
      <x:c r="O158" s="48" t="str">
        <x:v>0</x:v>
      </x:c>
      <x:c r="P158" s="48" t="str">
        <x:v>0</x:v>
      </x:c>
      <x:c r="Q158" s="48" t="str">
        <x:v>1.000</x:v>
      </x:c>
      <x:c r="R158" s="48" t="str">
        <x:v>DRIVER DOES NOT SEPARATE</x:v>
      </x:c>
      <x:c r="S158" s="48" t="str">
        <x:v>0.000</x:v>
      </x:c>
      <x:c r="T158" s="48" t="str">
        <x:v>2021_2023:N=6,p=1.000; 2024_2026:N=7,p=1.000</x:v>
      </x:c>
      <x:c r="U158" s="48" t="str">
        <x:v>Maximum-minus-minimum prevalence among adequately observed groups is no more than 0.15.</x:v>
      </x:c>
      <x:c r="V158" s="48" t="str">
        <x:v>At least 5 observable manager families in at least 2 driver groups</x:v>
      </x:c>
      <x:c r="W158" s="48" t="str">
        <x:v>&gt;=0.35 separates; &lt;=0.15 does not separate; intermediate is inconclusive/confounded; direct driver-definition tests are CIRCULAR</x:v>
      </x:c>
      <x:c r="X158" s="48" t="str">
        <x:v>MANAGER_SELF_DESCRIPTION; NOT BEHAVIOURAL FREQUENCY</x:v>
      </x:c>
    </x:row>
    <x:row r="159">
      <x:c r="A159" s="48" t="str">
        <x:v>B_GOVERNANCE_SEGMENTATION</x:v>
      </x:c>
      <x:c r="B159" s="48" t="str">
        <x:v>Tier B v1.1 - N=29 rerun</x:v>
      </x:c>
      <x:c r="C159" s="48" t="str">
        <x:v>2026-07-16</x:v>
      </x:c>
      <x:c r="D159" s="48" t="str">
        <x:v>G09</x:v>
      </x:c>
      <x:c r="E159" s="48" t="str">
        <x:v>GATING_DECISION</x:v>
      </x:c>
      <x:c r="F159" s="48" t="str">
        <x:v>Separate closing-readiness or funding control</x:v>
      </x:c>
      <x:c r="G159" s="48" t="str">
        <x:v>source_vintage_bin</x:v>
      </x:c>
      <x:c r="H159" s="48" t="str">
        <x:v>2024_2026</x:v>
      </x:c>
      <x:c r="I159" s="48" t="str">
        <x:v>12</x:v>
      </x:c>
      <x:c r="J159" s="48" t="str">
        <x:v>7</x:v>
      </x:c>
      <x:c r="K159" s="48" t="str">
        <x:v>0</x:v>
      </x:c>
      <x:c r="L159" s="48" t="str">
        <x:v>0</x:v>
      </x:c>
      <x:c r="M159" s="48" t="str">
        <x:v>7</x:v>
      </x:c>
      <x:c r="N159" s="48" t="str">
        <x:v>5</x:v>
      </x:c>
      <x:c r="O159" s="48" t="str">
        <x:v>0</x:v>
      </x:c>
      <x:c r="P159" s="48" t="str">
        <x:v>0</x:v>
      </x:c>
      <x:c r="Q159" s="48" t="str">
        <x:v>1.000</x:v>
      </x:c>
      <x:c r="R159" s="48" t="str">
        <x:v>DRIVER DOES NOT SEPARATE</x:v>
      </x:c>
      <x:c r="S159" s="48" t="str">
        <x:v>0.000</x:v>
      </x:c>
      <x:c r="T159" s="48" t="str">
        <x:v>2021_2023:N=6,p=1.000; 2024_2026:N=7,p=1.000</x:v>
      </x:c>
      <x:c r="U159" s="48" t="str">
        <x:v>Maximum-minus-minimum prevalence among adequately observed groups is no more than 0.15.</x:v>
      </x:c>
      <x:c r="V159" s="48" t="str">
        <x:v>At least 5 observable manager families in at least 2 driver groups</x:v>
      </x:c>
      <x:c r="W159" s="48" t="str">
        <x:v>&gt;=0.35 separates; &lt;=0.15 does not separate; intermediate is inconclusive/confounded; direct driver-definition tests are CIRCULAR</x:v>
      </x:c>
      <x:c r="X159" s="48" t="str">
        <x:v>MANAGER_SELF_DESCRIPTION; NOT BEHAVIOURAL FREQUENCY</x:v>
      </x:c>
    </x:row>
    <x:row r="160">
      <x:c r="A160" s="48" t="str">
        <x:v>B_GOVERNANCE_SEGMENTATION</x:v>
      </x:c>
      <x:c r="B160" s="48" t="str">
        <x:v>Tier B v1.1 - N=29 rerun</x:v>
      </x:c>
      <x:c r="C160" s="48" t="str">
        <x:v>2026-07-16</x:v>
      </x:c>
      <x:c r="D160" s="48" t="str">
        <x:v>G09</x:v>
      </x:c>
      <x:c r="E160" s="48" t="str">
        <x:v>GATING_DECISION</x:v>
      </x:c>
      <x:c r="F160" s="48" t="str">
        <x:v>Separate closing-readiness or funding control</x:v>
      </x:c>
      <x:c r="G160" s="48" t="str">
        <x:v>governance_architecture</x:v>
      </x:c>
      <x:c r="H160" s="48" t="str">
        <x:v>IC_FINAL_OR_DE_FACTO</x:v>
      </x:c>
      <x:c r="I160" s="48" t="str">
        <x:v>26</x:v>
      </x:c>
      <x:c r="J160" s="48" t="str">
        <x:v>15</x:v>
      </x:c>
      <x:c r="K160" s="48" t="str">
        <x:v>1</x:v>
      </x:c>
      <x:c r="L160" s="48" t="str">
        <x:v>0</x:v>
      </x:c>
      <x:c r="M160" s="48" t="str">
        <x:v>15</x:v>
      </x:c>
      <x:c r="N160" s="48" t="str">
        <x:v>11</x:v>
      </x:c>
      <x:c r="O160" s="48" t="str">
        <x:v>0</x:v>
      </x:c>
      <x:c r="P160" s="48" t="str">
        <x:v>0</x:v>
      </x:c>
      <x:c r="Q160" s="48" t="str">
        <x:v>1.000</x:v>
      </x:c>
      <x:c r="R160" s="48" t="str">
        <x:v>N TOO SMALL</x:v>
      </x:c>
      <x:c r="S160" s="48" t="str"/>
      <x:c r="T160" s="48" t="str">
        <x:v>IC_FINAL_OR_DE_FACTO:N=15,p=1.000</x:v>
      </x:c>
      <x:c r="U160" s="48" t="str">
        <x:v>Fewer than two driver groups have at least 5 observable manager families.</x:v>
      </x:c>
      <x:c r="V160" s="48" t="str">
        <x:v>At least 5 observable manager families in at least 2 driver groups</x:v>
      </x:c>
      <x:c r="W160" s="48" t="str">
        <x:v>&gt;=0.35 separates; &lt;=0.15 does not separate; intermediate is inconclusive/confounded; direct driver-definition tests are CIRCULAR</x:v>
      </x:c>
      <x:c r="X160" s="48" t="str">
        <x:v>MANAGER_SELF_DESCRIPTION; NOT BEHAVIOURAL FREQUENCY</x:v>
      </x:c>
    </x:row>
    <x:row r="161">
      <x:c r="A161" s="48" t="str">
        <x:v>B_GOVERNANCE_SEGMENTATION</x:v>
      </x:c>
      <x:c r="B161" s="48" t="str">
        <x:v>Tier B v1.1 - N=29 rerun</x:v>
      </x:c>
      <x:c r="C161" s="48" t="str">
        <x:v>2026-07-16</x:v>
      </x:c>
      <x:c r="D161" s="48" t="str">
        <x:v>G09</x:v>
      </x:c>
      <x:c r="E161" s="48" t="str">
        <x:v>GATING_DECISION</x:v>
      </x:c>
      <x:c r="F161" s="48" t="str">
        <x:v>Separate closing-readiness or funding control</x:v>
      </x:c>
      <x:c r="G161" s="48" t="str">
        <x:v>governance_architecture</x:v>
      </x:c>
      <x:c r="H161" s="48" t="str">
        <x:v>IC_RECOMMENDS_SEPARATE_FINAL_AUTHORITY</x:v>
      </x:c>
      <x:c r="I161" s="48" t="str">
        <x:v>3</x:v>
      </x:c>
      <x:c r="J161" s="48" t="str">
        <x:v>2</x:v>
      </x:c>
      <x:c r="K161" s="48" t="str">
        <x:v>0</x:v>
      </x:c>
      <x:c r="L161" s="48" t="str">
        <x:v>0</x:v>
      </x:c>
      <x:c r="M161" s="48" t="str">
        <x:v>2</x:v>
      </x:c>
      <x:c r="N161" s="48" t="str">
        <x:v>1</x:v>
      </x:c>
      <x:c r="O161" s="48" t="str">
        <x:v>0</x:v>
      </x:c>
      <x:c r="P161" s="48" t="str">
        <x:v>0</x:v>
      </x:c>
      <x:c r="Q161" s="48" t="str">
        <x:v>1.000</x:v>
      </x:c>
      <x:c r="R161" s="48" t="str">
        <x:v>N TOO SMALL</x:v>
      </x:c>
      <x:c r="S161" s="48" t="str"/>
      <x:c r="T161" s="48" t="str">
        <x:v>IC_FINAL_OR_DE_FACTO:N=15,p=1.000</x:v>
      </x:c>
      <x:c r="U161" s="48" t="str">
        <x:v>Fewer than two driver groups have at least 5 observable manager families.</x:v>
      </x:c>
      <x:c r="V161" s="48" t="str">
        <x:v>At least 5 observable manager families in at least 2 driver groups</x:v>
      </x:c>
      <x:c r="W161" s="48" t="str">
        <x:v>&gt;=0.35 separates; &lt;=0.15 does not separate; intermediate is inconclusive/confounded; direct driver-definition tests are CIRCULAR</x:v>
      </x:c>
      <x:c r="X161" s="48" t="str">
        <x:v>MANAGER_SELF_DESCRIPTION; NOT BEHAVIOURAL FREQUENCY</x:v>
      </x:c>
    </x:row>
    <x:row r="162">
      <x:c r="A162" s="48" t="str">
        <x:v>B_GOVERNANCE_SEGMENTATION</x:v>
      </x:c>
      <x:c r="B162" s="48" t="str">
        <x:v>Tier B v1.1 - N=29 rerun</x:v>
      </x:c>
      <x:c r="C162" s="48" t="str">
        <x:v>2026-07-16</x:v>
      </x:c>
      <x:c r="D162" s="48" t="str">
        <x:v>G09</x:v>
      </x:c>
      <x:c r="E162" s="48" t="str">
        <x:v>GATING_DECISION</x:v>
      </x:c>
      <x:c r="F162" s="48" t="str">
        <x:v>Separate closing-readiness or funding control</x:v>
      </x:c>
      <x:c r="G162" s="48" t="str">
        <x:v>dedicated_operating_team</x:v>
      </x:c>
      <x:c r="H162" s="48" t="str">
        <x:v>NO_OR_LIMITED</x:v>
      </x:c>
      <x:c r="I162" s="48" t="str">
        <x:v>6</x:v>
      </x:c>
      <x:c r="J162" s="48" t="str">
        <x:v>2</x:v>
      </x:c>
      <x:c r="K162" s="48" t="str">
        <x:v>0</x:v>
      </x:c>
      <x:c r="L162" s="48" t="str">
        <x:v>0</x:v>
      </x:c>
      <x:c r="M162" s="48" t="str">
        <x:v>2</x:v>
      </x:c>
      <x:c r="N162" s="48" t="str">
        <x:v>4</x:v>
      </x:c>
      <x:c r="O162" s="48" t="str">
        <x:v>0</x:v>
      </x:c>
      <x:c r="P162" s="48" t="str">
        <x:v>0</x:v>
      </x:c>
      <x:c r="Q162" s="48" t="str">
        <x:v>1.000</x:v>
      </x:c>
      <x:c r="R162" s="48" t="str">
        <x:v>N TOO SMALL</x:v>
      </x:c>
      <x:c r="S162" s="48" t="str"/>
      <x:c r="T162" s="48" t="str">
        <x:v>YES_DEDICATED:N=15,p=1.000</x:v>
      </x:c>
      <x:c r="U162" s="48" t="str">
        <x:v>Fewer than two driver groups have at least 5 observable manager families.</x:v>
      </x:c>
      <x:c r="V162" s="48" t="str">
        <x:v>At least 5 observable manager families in at least 2 driver groups</x:v>
      </x:c>
      <x:c r="W162" s="48" t="str">
        <x:v>&gt;=0.35 separates; &lt;=0.15 does not separate; intermediate is inconclusive/confounded; direct driver-definition tests are CIRCULAR</x:v>
      </x:c>
      <x:c r="X162" s="48" t="str">
        <x:v>MANAGER_SELF_DESCRIPTION; NOT BEHAVIOURAL FREQUENCY</x:v>
      </x:c>
    </x:row>
    <x:row r="163">
      <x:c r="A163" s="48" t="str">
        <x:v>B_GOVERNANCE_SEGMENTATION</x:v>
      </x:c>
      <x:c r="B163" s="48" t="str">
        <x:v>Tier B v1.1 - N=29 rerun</x:v>
      </x:c>
      <x:c r="C163" s="48" t="str">
        <x:v>2026-07-16</x:v>
      </x:c>
      <x:c r="D163" s="48" t="str">
        <x:v>G09</x:v>
      </x:c>
      <x:c r="E163" s="48" t="str">
        <x:v>GATING_DECISION</x:v>
      </x:c>
      <x:c r="F163" s="48" t="str">
        <x:v>Separate closing-readiness or funding control</x:v>
      </x:c>
      <x:c r="G163" s="48" t="str">
        <x:v>dedicated_operating_team</x:v>
      </x:c>
      <x:c r="H163" s="48" t="str">
        <x:v>YES_DEDICATED</x:v>
      </x:c>
      <x:c r="I163" s="48" t="str">
        <x:v>23</x:v>
      </x:c>
      <x:c r="J163" s="48" t="str">
        <x:v>15</x:v>
      </x:c>
      <x:c r="K163" s="48" t="str">
        <x:v>1</x:v>
      </x:c>
      <x:c r="L163" s="48" t="str">
        <x:v>0</x:v>
      </x:c>
      <x:c r="M163" s="48" t="str">
        <x:v>15</x:v>
      </x:c>
      <x:c r="N163" s="48" t="str">
        <x:v>8</x:v>
      </x:c>
      <x:c r="O163" s="48" t="str">
        <x:v>0</x:v>
      </x:c>
      <x:c r="P163" s="48" t="str">
        <x:v>0</x:v>
      </x:c>
      <x:c r="Q163" s="48" t="str">
        <x:v>1.000</x:v>
      </x:c>
      <x:c r="R163" s="48" t="str">
        <x:v>N TOO SMALL</x:v>
      </x:c>
      <x:c r="S163" s="48" t="str"/>
      <x:c r="T163" s="48" t="str">
        <x:v>YES_DEDICATED:N=15,p=1.000</x:v>
      </x:c>
      <x:c r="U163" s="48" t="str">
        <x:v>Fewer than two driver groups have at least 5 observable manager families.</x:v>
      </x:c>
      <x:c r="V163" s="48" t="str">
        <x:v>At least 5 observable manager families in at least 2 driver groups</x:v>
      </x:c>
      <x:c r="W163" s="48" t="str">
        <x:v>&gt;=0.35 separates; &lt;=0.15 does not separate; intermediate is inconclusive/confounded; direct driver-definition tests are CIRCULAR</x:v>
      </x:c>
      <x:c r="X163" s="48" t="str">
        <x:v>MANAGER_SELF_DESCRIPTION; NOT BEHAVIOURAL FREQUENCY</x:v>
      </x:c>
    </x:row>
    <x:row r="164">
      <x:c r="A164" s="48" t="str">
        <x:v>B_GOVERNANCE_SEGMENTATION</x:v>
      </x:c>
      <x:c r="B164" s="48" t="str">
        <x:v>Tier B v1.1 - N=29 rerun</x:v>
      </x:c>
      <x:c r="C164" s="48" t="str">
        <x:v>2026-07-16</x:v>
      </x:c>
      <x:c r="D164" s="48" t="str">
        <x:v>G10</x:v>
      </x:c>
      <x:c r="E164" s="48" t="str">
        <x:v>GATING_DECISION</x:v>
      </x:c>
      <x:c r="F164" s="48" t="str">
        <x:v>Separate exit or disposition approval</x:v>
      </x:c>
      <x:c r="G164" s="48" t="str">
        <x:v>fund_size_archetype</x:v>
      </x:c>
      <x:c r="H164" s="48" t="str">
        <x:v>LARGE_2_TO_LT_5B</x:v>
      </x:c>
      <x:c r="I164" s="48" t="str">
        <x:v>9</x:v>
      </x:c>
      <x:c r="J164" s="48" t="str">
        <x:v>7</x:v>
      </x:c>
      <x:c r="K164" s="48" t="str">
        <x:v>0</x:v>
      </x:c>
      <x:c r="L164" s="48" t="str">
        <x:v>0</x:v>
      </x:c>
      <x:c r="M164" s="48" t="str">
        <x:v>7</x:v>
      </x:c>
      <x:c r="N164" s="48" t="str">
        <x:v>2</x:v>
      </x:c>
      <x:c r="O164" s="48" t="str">
        <x:v>0</x:v>
      </x:c>
      <x:c r="P164" s="48" t="str">
        <x:v>0</x:v>
      </x:c>
      <x:c r="Q164" s="48" t="str">
        <x:v>1.000</x:v>
      </x:c>
      <x:c r="R164" s="48" t="str">
        <x:v>DRIVER DOES NOT SEPARATE</x:v>
      </x:c>
      <x:c r="S164" s="48" t="str">
        <x:v>0.000</x:v>
      </x:c>
      <x:c r="T164" s="48" t="str">
        <x:v>LARGE_2_TO_LT_5B:N=7,p=1.000; LOWER_MID_LT_2B:N=7,p=1.000; MEGA_GE_5B:N=7,p=1.000</x:v>
      </x:c>
      <x:c r="U164" s="48" t="str">
        <x:v>Maximum-minus-minimum prevalence among adequately observed groups is no more than 0.15.</x:v>
      </x:c>
      <x:c r="V164" s="48" t="str">
        <x:v>At least 5 observable manager families in at least 2 driver groups</x:v>
      </x:c>
      <x:c r="W164" s="48" t="str">
        <x:v>&gt;=0.35 separates; &lt;=0.15 does not separate; intermediate is inconclusive/confounded; direct driver-definition tests are CIRCULAR</x:v>
      </x:c>
      <x:c r="X164" s="48" t="str">
        <x:v>MANAGER_SELF_DESCRIPTION; NOT BEHAVIOURAL FREQUENCY</x:v>
      </x:c>
    </x:row>
    <x:row r="165">
      <x:c r="A165" s="48" t="str">
        <x:v>B_GOVERNANCE_SEGMENTATION</x:v>
      </x:c>
      <x:c r="B165" s="48" t="str">
        <x:v>Tier B v1.1 - N=29 rerun</x:v>
      </x:c>
      <x:c r="C165" s="48" t="str">
        <x:v>2026-07-16</x:v>
      </x:c>
      <x:c r="D165" s="48" t="str">
        <x:v>G10</x:v>
      </x:c>
      <x:c r="E165" s="48" t="str">
        <x:v>GATING_DECISION</x:v>
      </x:c>
      <x:c r="F165" s="48" t="str">
        <x:v>Separate exit or disposition approval</x:v>
      </x:c>
      <x:c r="G165" s="48" t="str">
        <x:v>fund_size_archetype</x:v>
      </x:c>
      <x:c r="H165" s="48" t="str">
        <x:v>LOWER_MID_LT_2B</x:v>
      </x:c>
      <x:c r="I165" s="48" t="str">
        <x:v>8</x:v>
      </x:c>
      <x:c r="J165" s="48" t="str">
        <x:v>7</x:v>
      </x:c>
      <x:c r="K165" s="48" t="str">
        <x:v>2</x:v>
      </x:c>
      <x:c r="L165" s="48" t="str">
        <x:v>0</x:v>
      </x:c>
      <x:c r="M165" s="48" t="str">
        <x:v>7</x:v>
      </x:c>
      <x:c r="N165" s="48" t="str">
        <x:v>1</x:v>
      </x:c>
      <x:c r="O165" s="48" t="str">
        <x:v>0</x:v>
      </x:c>
      <x:c r="P165" s="48" t="str">
        <x:v>0</x:v>
      </x:c>
      <x:c r="Q165" s="48" t="str">
        <x:v>1.000</x:v>
      </x:c>
      <x:c r="R165" s="48" t="str">
        <x:v>DRIVER DOES NOT SEPARATE</x:v>
      </x:c>
      <x:c r="S165" s="48" t="str">
        <x:v>0.000</x:v>
      </x:c>
      <x:c r="T165" s="48" t="str">
        <x:v>LARGE_2_TO_LT_5B:N=7,p=1.000; LOWER_MID_LT_2B:N=7,p=1.000; MEGA_GE_5B:N=7,p=1.000</x:v>
      </x:c>
      <x:c r="U165" s="48" t="str">
        <x:v>Maximum-minus-minimum prevalence among adequately observed groups is no more than 0.15.</x:v>
      </x:c>
      <x:c r="V165" s="48" t="str">
        <x:v>At least 5 observable manager families in at least 2 driver groups</x:v>
      </x:c>
      <x:c r="W165" s="48" t="str">
        <x:v>&gt;=0.35 separates; &lt;=0.15 does not separate; intermediate is inconclusive/confounded; direct driver-definition tests are CIRCULAR</x:v>
      </x:c>
      <x:c r="X165" s="48" t="str">
        <x:v>MANAGER_SELF_DESCRIPTION; NOT BEHAVIOURAL FREQUENCY</x:v>
      </x:c>
    </x:row>
    <x:row r="166">
      <x:c r="A166" s="48" t="str">
        <x:v>B_GOVERNANCE_SEGMENTATION</x:v>
      </x:c>
      <x:c r="B166" s="48" t="str">
        <x:v>Tier B v1.1 - N=29 rerun</x:v>
      </x:c>
      <x:c r="C166" s="48" t="str">
        <x:v>2026-07-16</x:v>
      </x:c>
      <x:c r="D166" s="48" t="str">
        <x:v>G10</x:v>
      </x:c>
      <x:c r="E166" s="48" t="str">
        <x:v>GATING_DECISION</x:v>
      </x:c>
      <x:c r="F166" s="48" t="str">
        <x:v>Separate exit or disposition approval</x:v>
      </x:c>
      <x:c r="G166" s="48" t="str">
        <x:v>fund_size_archetype</x:v>
      </x:c>
      <x:c r="H166" s="48" t="str">
        <x:v>MEGA_GE_5B</x:v>
      </x:c>
      <x:c r="I166" s="48" t="str">
        <x:v>11</x:v>
      </x:c>
      <x:c r="J166" s="48" t="str">
        <x:v>7</x:v>
      </x:c>
      <x:c r="K166" s="48" t="str">
        <x:v>1</x:v>
      </x:c>
      <x:c r="L166" s="48" t="str">
        <x:v>0</x:v>
      </x:c>
      <x:c r="M166" s="48" t="str">
        <x:v>7</x:v>
      </x:c>
      <x:c r="N166" s="48" t="str">
        <x:v>4</x:v>
      </x:c>
      <x:c r="O166" s="48" t="str">
        <x:v>0</x:v>
      </x:c>
      <x:c r="P166" s="48" t="str">
        <x:v>0</x:v>
      </x:c>
      <x:c r="Q166" s="48" t="str">
        <x:v>1.000</x:v>
      </x:c>
      <x:c r="R166" s="48" t="str">
        <x:v>DRIVER DOES NOT SEPARATE</x:v>
      </x:c>
      <x:c r="S166" s="48" t="str">
        <x:v>0.000</x:v>
      </x:c>
      <x:c r="T166" s="48" t="str">
        <x:v>LARGE_2_TO_LT_5B:N=7,p=1.000; LOWER_MID_LT_2B:N=7,p=1.000; MEGA_GE_5B:N=7,p=1.000</x:v>
      </x:c>
      <x:c r="U166" s="48" t="str">
        <x:v>Maximum-minus-minimum prevalence among adequately observed groups is no more than 0.15.</x:v>
      </x:c>
      <x:c r="V166" s="48" t="str">
        <x:v>At least 5 observable manager families in at least 2 driver groups</x:v>
      </x:c>
      <x:c r="W166" s="48" t="str">
        <x:v>&gt;=0.35 separates; &lt;=0.15 does not separate; intermediate is inconclusive/confounded; direct driver-definition tests are CIRCULAR</x:v>
      </x:c>
      <x:c r="X166" s="48" t="str">
        <x:v>MANAGER_SELF_DESCRIPTION; NOT BEHAVIOURAL FREQUENCY</x:v>
      </x:c>
    </x:row>
    <x:row r="167">
      <x:c r="A167" s="48" t="str">
        <x:v>B_GOVERNANCE_SEGMENTATION</x:v>
      </x:c>
      <x:c r="B167" s="48" t="str">
        <x:v>Tier B v1.1 - N=29 rerun</x:v>
      </x:c>
      <x:c r="C167" s="48" t="str">
        <x:v>2026-07-16</x:v>
      </x:c>
      <x:c r="D167" s="48" t="str">
        <x:v>G10</x:v>
      </x:c>
      <x:c r="E167" s="48" t="str">
        <x:v>GATING_DECISION</x:v>
      </x:c>
      <x:c r="F167" s="48" t="str">
        <x:v>Separate exit or disposition approval</x:v>
      </x:c>
      <x:c r="G167" s="48" t="str">
        <x:v>fund_size_archetype</x:v>
      </x:c>
      <x:c r="H167" s="48" t="str">
        <x:v>NOT_APPLICABLE</x:v>
      </x:c>
      <x:c r="I167" s="48" t="str">
        <x:v>1</x:v>
      </x:c>
      <x:c r="J167" s="48" t="str">
        <x:v>1</x:v>
      </x:c>
      <x:c r="K167" s="48" t="str">
        <x:v>0</x:v>
      </x:c>
      <x:c r="L167" s="48" t="str">
        <x:v>0</x:v>
      </x:c>
      <x:c r="M167" s="48" t="str">
        <x:v>1</x:v>
      </x:c>
      <x:c r="N167" s="48" t="str">
        <x:v>0</x:v>
      </x:c>
      <x:c r="O167" s="48" t="str">
        <x:v>0</x:v>
      </x:c>
      <x:c r="P167" s="48" t="str">
        <x:v>0</x:v>
      </x:c>
      <x:c r="Q167" s="48" t="str">
        <x:v>1.000</x:v>
      </x:c>
      <x:c r="R167" s="48" t="str">
        <x:v>DRIVER DOES NOT SEPARATE</x:v>
      </x:c>
      <x:c r="S167" s="48" t="str">
        <x:v>0.000</x:v>
      </x:c>
      <x:c r="T167" s="48" t="str">
        <x:v>LARGE_2_TO_LT_5B:N=7,p=1.000; LOWER_MID_LT_2B:N=7,p=1.000; MEGA_GE_5B:N=7,p=1.000</x:v>
      </x:c>
      <x:c r="U167" s="48" t="str">
        <x:v>Maximum-minus-minimum prevalence among adequately observed groups is no more than 0.15.</x:v>
      </x:c>
      <x:c r="V167" s="48" t="str">
        <x:v>At least 5 observable manager families in at least 2 driver groups</x:v>
      </x:c>
      <x:c r="W167" s="48" t="str">
        <x:v>&gt;=0.35 separates; &lt;=0.15 does not separate; intermediate is inconclusive/confounded; direct driver-definition tests are CIRCULAR</x:v>
      </x:c>
      <x:c r="X167" s="48" t="str">
        <x:v>MANAGER_SELF_DESCRIPTION; NOT BEHAVIOURAL FREQUENCY</x:v>
      </x:c>
    </x:row>
    <x:row r="168">
      <x:c r="A168" s="48" t="str">
        <x:v>B_GOVERNANCE_SEGMENTATION</x:v>
      </x:c>
      <x:c r="B168" s="48" t="str">
        <x:v>Tier B v1.1 - N=29 rerun</x:v>
      </x:c>
      <x:c r="C168" s="48" t="str">
        <x:v>2026-07-16</x:v>
      </x:c>
      <x:c r="D168" s="48" t="str">
        <x:v>G10</x:v>
      </x:c>
      <x:c r="E168" s="48" t="str">
        <x:v>GATING_DECISION</x:v>
      </x:c>
      <x:c r="F168" s="48" t="str">
        <x:v>Separate exit or disposition approval</x:v>
      </x:c>
      <x:c r="G168" s="48" t="str">
        <x:v>strategy</x:v>
      </x:c>
      <x:c r="H168" s="48" t="str">
        <x:v>CONTROL_BUYOUT</x:v>
      </x:c>
      <x:c r="I168" s="48" t="str">
        <x:v>22</x:v>
      </x:c>
      <x:c r="J168" s="48" t="str">
        <x:v>15</x:v>
      </x:c>
      <x:c r="K168" s="48" t="str">
        <x:v>2</x:v>
      </x:c>
      <x:c r="L168" s="48" t="str">
        <x:v>0</x:v>
      </x:c>
      <x:c r="M168" s="48" t="str">
        <x:v>15</x:v>
      </x:c>
      <x:c r="N168" s="48" t="str">
        <x:v>7</x:v>
      </x:c>
      <x:c r="O168" s="48" t="str">
        <x:v>0</x:v>
      </x:c>
      <x:c r="P168" s="48" t="str">
        <x:v>0</x:v>
      </x:c>
      <x:c r="Q168" s="48" t="str">
        <x:v>1.000</x:v>
      </x:c>
      <x:c r="R168" s="48" t="str">
        <x:v>DRIVER DOES NOT SEPARATE</x:v>
      </x:c>
      <x:c r="S168" s="48" t="str">
        <x:v>0.000</x:v>
      </x:c>
      <x:c r="T168" s="48" t="str">
        <x:v>CONTROL_BUYOUT:N=15,p=1.000; GROWTH_CONTROL_HYBRID:N=6,p=1.000</x:v>
      </x:c>
      <x:c r="U168" s="48" t="str">
        <x:v>Maximum-minus-minimum prevalence among adequately observed groups is no more than 0.15.</x:v>
      </x:c>
      <x:c r="V168" s="48" t="str">
        <x:v>At least 5 observable manager families in at least 2 driver groups</x:v>
      </x:c>
      <x:c r="W168" s="48" t="str">
        <x:v>&gt;=0.35 separates; &lt;=0.15 does not separate; intermediate is inconclusive/confounded; direct driver-definition tests are CIRCULAR</x:v>
      </x:c>
      <x:c r="X168" s="48" t="str">
        <x:v>MANAGER_SELF_DESCRIPTION; NOT BEHAVIOURAL FREQUENCY</x:v>
      </x:c>
    </x:row>
    <x:row r="169">
      <x:c r="A169" s="48" t="str">
        <x:v>B_GOVERNANCE_SEGMENTATION</x:v>
      </x:c>
      <x:c r="B169" s="48" t="str">
        <x:v>Tier B v1.1 - N=29 rerun</x:v>
      </x:c>
      <x:c r="C169" s="48" t="str">
        <x:v>2026-07-16</x:v>
      </x:c>
      <x:c r="D169" s="48" t="str">
        <x:v>G10</x:v>
      </x:c>
      <x:c r="E169" s="48" t="str">
        <x:v>GATING_DECISION</x:v>
      </x:c>
      <x:c r="F169" s="48" t="str">
        <x:v>Separate exit or disposition approval</x:v>
      </x:c>
      <x:c r="G169" s="48" t="str">
        <x:v>strategy</x:v>
      </x:c>
      <x:c r="H169" s="48" t="str">
        <x:v>GROWTH_CONTROL_HYBRID</x:v>
      </x:c>
      <x:c r="I169" s="48" t="str">
        <x:v>6</x:v>
      </x:c>
      <x:c r="J169" s="48" t="str">
        <x:v>6</x:v>
      </x:c>
      <x:c r="K169" s="48" t="str">
        <x:v>1</x:v>
      </x:c>
      <x:c r="L169" s="48" t="str">
        <x:v>0</x:v>
      </x:c>
      <x:c r="M169" s="48" t="str">
        <x:v>6</x:v>
      </x:c>
      <x:c r="N169" s="48" t="str">
        <x:v>0</x:v>
      </x:c>
      <x:c r="O169" s="48" t="str">
        <x:v>0</x:v>
      </x:c>
      <x:c r="P169" s="48" t="str">
        <x:v>0</x:v>
      </x:c>
      <x:c r="Q169" s="48" t="str">
        <x:v>1.000</x:v>
      </x:c>
      <x:c r="R169" s="48" t="str">
        <x:v>DRIVER DOES NOT SEPARATE</x:v>
      </x:c>
      <x:c r="S169" s="48" t="str">
        <x:v>0.000</x:v>
      </x:c>
      <x:c r="T169" s="48" t="str">
        <x:v>CONTROL_BUYOUT:N=15,p=1.000; GROWTH_CONTROL_HYBRID:N=6,p=1.000</x:v>
      </x:c>
      <x:c r="U169" s="48" t="str">
        <x:v>Maximum-minus-minimum prevalence among adequately observed groups is no more than 0.15.</x:v>
      </x:c>
      <x:c r="V169" s="48" t="str">
        <x:v>At least 5 observable manager families in at least 2 driver groups</x:v>
      </x:c>
      <x:c r="W169" s="48" t="str">
        <x:v>&gt;=0.35 separates; &lt;=0.15 does not separate; intermediate is inconclusive/confounded; direct driver-definition tests are CIRCULAR</x:v>
      </x:c>
      <x:c r="X169" s="48" t="str">
        <x:v>MANAGER_SELF_DESCRIPTION; NOT BEHAVIOURAL FREQUENCY</x:v>
      </x:c>
    </x:row>
    <x:row r="170">
      <x:c r="A170" s="48" t="str">
        <x:v>B_GOVERNANCE_SEGMENTATION</x:v>
      </x:c>
      <x:c r="B170" s="48" t="str">
        <x:v>Tier B v1.1 - N=29 rerun</x:v>
      </x:c>
      <x:c r="C170" s="48" t="str">
        <x:v>2026-07-16</x:v>
      </x:c>
      <x:c r="D170" s="48" t="str">
        <x:v>G10</x:v>
      </x:c>
      <x:c r="E170" s="48" t="str">
        <x:v>GATING_DECISION</x:v>
      </x:c>
      <x:c r="F170" s="48" t="str">
        <x:v>Separate exit or disposition approval</x:v>
      </x:c>
      <x:c r="G170" s="48" t="str">
        <x:v>strategy</x:v>
      </x:c>
      <x:c r="H170" s="48" t="str">
        <x:v>OPPORTUNISTIC_CONTROL</x:v>
      </x:c>
      <x:c r="I170" s="48" t="str">
        <x:v>1</x:v>
      </x:c>
      <x:c r="J170" s="48" t="str">
        <x:v>1</x:v>
      </x:c>
      <x:c r="K170" s="48" t="str">
        <x:v>0</x:v>
      </x:c>
      <x:c r="L170" s="48" t="str">
        <x:v>0</x:v>
      </x:c>
      <x:c r="M170" s="48" t="str">
        <x:v>1</x:v>
      </x:c>
      <x:c r="N170" s="48" t="str">
        <x:v>0</x:v>
      </x:c>
      <x:c r="O170" s="48" t="str">
        <x:v>0</x:v>
      </x:c>
      <x:c r="P170" s="48" t="str">
        <x:v>0</x:v>
      </x:c>
      <x:c r="Q170" s="48" t="str">
        <x:v>1.000</x:v>
      </x:c>
      <x:c r="R170" s="48" t="str">
        <x:v>DRIVER DOES NOT SEPARATE</x:v>
      </x:c>
      <x:c r="S170" s="48" t="str">
        <x:v>0.000</x:v>
      </x:c>
      <x:c r="T170" s="48" t="str">
        <x:v>CONTROL_BUYOUT:N=15,p=1.000; GROWTH_CONTROL_HYBRID:N=6,p=1.000</x:v>
      </x:c>
      <x:c r="U170" s="48" t="str">
        <x:v>Maximum-minus-minimum prevalence among adequately observed groups is no more than 0.15.</x:v>
      </x:c>
      <x:c r="V170" s="48" t="str">
        <x:v>At least 5 observable manager families in at least 2 driver groups</x:v>
      </x:c>
      <x:c r="W170" s="48" t="str">
        <x:v>&gt;=0.35 separates; &lt;=0.15 does not separate; intermediate is inconclusive/confounded; direct driver-definition tests are CIRCULAR</x:v>
      </x:c>
      <x:c r="X170" s="48" t="str">
        <x:v>MANAGER_SELF_DESCRIPTION; NOT BEHAVIOURAL FREQUENCY</x:v>
      </x:c>
    </x:row>
    <x:row r="171">
      <x:c r="A171" s="48" t="str">
        <x:v>B_GOVERNANCE_SEGMENTATION</x:v>
      </x:c>
      <x:c r="B171" s="48" t="str">
        <x:v>Tier B v1.1 - N=29 rerun</x:v>
      </x:c>
      <x:c r="C171" s="48" t="str">
        <x:v>2026-07-16</x:v>
      </x:c>
      <x:c r="D171" s="48" t="str">
        <x:v>G10</x:v>
      </x:c>
      <x:c r="E171" s="48" t="str">
        <x:v>GATING_DECISION</x:v>
      </x:c>
      <x:c r="F171" s="48" t="str">
        <x:v>Separate exit or disposition approval</x:v>
      </x:c>
      <x:c r="G171" s="48" t="str">
        <x:v>geography</x:v>
      </x:c>
      <x:c r="H171" s="48" t="str">
        <x:v>ASIA_PACIFIC</x:v>
      </x:c>
      <x:c r="I171" s="48" t="str">
        <x:v>4</x:v>
      </x:c>
      <x:c r="J171" s="48" t="str">
        <x:v>2</x:v>
      </x:c>
      <x:c r="K171" s="48" t="str">
        <x:v>0</x:v>
      </x:c>
      <x:c r="L171" s="48" t="str">
        <x:v>0</x:v>
      </x:c>
      <x:c r="M171" s="48" t="str">
        <x:v>2</x:v>
      </x:c>
      <x:c r="N171" s="48" t="str">
        <x:v>2</x:v>
      </x:c>
      <x:c r="O171" s="48" t="str">
        <x:v>0</x:v>
      </x:c>
      <x:c r="P171" s="48" t="str">
        <x:v>0</x:v>
      </x:c>
      <x:c r="Q171" s="48" t="str">
        <x:v>1.000</x:v>
      </x:c>
      <x:c r="R171" s="48" t="str">
        <x:v>DRIVER DOES NOT SEPARATE</x:v>
      </x:c>
      <x:c r="S171" s="48" t="str">
        <x:v>0.000</x:v>
      </x:c>
      <x:c r="T171" s="48" t="str">
        <x:v>GLOBAL_TRANSATLANTIC:N=8,p=1.000; NORTH_AMERICA:N=10,p=1.000</x:v>
      </x:c>
      <x:c r="U171" s="48" t="str">
        <x:v>Maximum-minus-minimum prevalence among adequately observed groups is no more than 0.15.</x:v>
      </x:c>
      <x:c r="V171" s="48" t="str">
        <x:v>At least 5 observable manager families in at least 2 driver groups</x:v>
      </x:c>
      <x:c r="W171" s="48" t="str">
        <x:v>&gt;=0.35 separates; &lt;=0.15 does not separate; intermediate is inconclusive/confounded; direct driver-definition tests are CIRCULAR</x:v>
      </x:c>
      <x:c r="X171" s="48" t="str">
        <x:v>MANAGER_SELF_DESCRIPTION; NOT BEHAVIOURAL FREQUENCY</x:v>
      </x:c>
    </x:row>
    <x:row r="172">
      <x:c r="A172" s="48" t="str">
        <x:v>B_GOVERNANCE_SEGMENTATION</x:v>
      </x:c>
      <x:c r="B172" s="48" t="str">
        <x:v>Tier B v1.1 - N=29 rerun</x:v>
      </x:c>
      <x:c r="C172" s="48" t="str">
        <x:v>2026-07-16</x:v>
      </x:c>
      <x:c r="D172" s="48" t="str">
        <x:v>G10</x:v>
      </x:c>
      <x:c r="E172" s="48" t="str">
        <x:v>GATING_DECISION</x:v>
      </x:c>
      <x:c r="F172" s="48" t="str">
        <x:v>Separate exit or disposition approval</x:v>
      </x:c>
      <x:c r="G172" s="48" t="str">
        <x:v>geography</x:v>
      </x:c>
      <x:c r="H172" s="48" t="str">
        <x:v>EUROPE</x:v>
      </x:c>
      <x:c r="I172" s="48" t="str">
        <x:v>2</x:v>
      </x:c>
      <x:c r="J172" s="48" t="str">
        <x:v>2</x:v>
      </x:c>
      <x:c r="K172" s="48" t="str">
        <x:v>1</x:v>
      </x:c>
      <x:c r="L172" s="48" t="str">
        <x:v>0</x:v>
      </x:c>
      <x:c r="M172" s="48" t="str">
        <x:v>2</x:v>
      </x:c>
      <x:c r="N172" s="48" t="str">
        <x:v>0</x:v>
      </x:c>
      <x:c r="O172" s="48" t="str">
        <x:v>0</x:v>
      </x:c>
      <x:c r="P172" s="48" t="str">
        <x:v>0</x:v>
      </x:c>
      <x:c r="Q172" s="48" t="str">
        <x:v>1.000</x:v>
      </x:c>
      <x:c r="R172" s="48" t="str">
        <x:v>DRIVER DOES NOT SEPARATE</x:v>
      </x:c>
      <x:c r="S172" s="48" t="str">
        <x:v>0.000</x:v>
      </x:c>
      <x:c r="T172" s="48" t="str">
        <x:v>GLOBAL_TRANSATLANTIC:N=8,p=1.000; NORTH_AMERICA:N=10,p=1.000</x:v>
      </x:c>
      <x:c r="U172" s="48" t="str">
        <x:v>Maximum-minus-minimum prevalence among adequately observed groups is no more than 0.15.</x:v>
      </x:c>
      <x:c r="V172" s="48" t="str">
        <x:v>At least 5 observable manager families in at least 2 driver groups</x:v>
      </x:c>
      <x:c r="W172" s="48" t="str">
        <x:v>&gt;=0.35 separates; &lt;=0.15 does not separate; intermediate is inconclusive/confounded; direct driver-definition tests are CIRCULAR</x:v>
      </x:c>
      <x:c r="X172" s="48" t="str">
        <x:v>MANAGER_SELF_DESCRIPTION; NOT BEHAVIOURAL FREQUENCY</x:v>
      </x:c>
    </x:row>
    <x:row r="173">
      <x:c r="A173" s="48" t="str">
        <x:v>B_GOVERNANCE_SEGMENTATION</x:v>
      </x:c>
      <x:c r="B173" s="48" t="str">
        <x:v>Tier B v1.1 - N=29 rerun</x:v>
      </x:c>
      <x:c r="C173" s="48" t="str">
        <x:v>2026-07-16</x:v>
      </x:c>
      <x:c r="D173" s="48" t="str">
        <x:v>G10</x:v>
      </x:c>
      <x:c r="E173" s="48" t="str">
        <x:v>GATING_DECISION</x:v>
      </x:c>
      <x:c r="F173" s="48" t="str">
        <x:v>Separate exit or disposition approval</x:v>
      </x:c>
      <x:c r="G173" s="48" t="str">
        <x:v>geography</x:v>
      </x:c>
      <x:c r="H173" s="48" t="str">
        <x:v>GLOBAL_TRANSATLANTIC</x:v>
      </x:c>
      <x:c r="I173" s="48" t="str">
        <x:v>10</x:v>
      </x:c>
      <x:c r="J173" s="48" t="str">
        <x:v>8</x:v>
      </x:c>
      <x:c r="K173" s="48" t="str">
        <x:v>1</x:v>
      </x:c>
      <x:c r="L173" s="48" t="str">
        <x:v>0</x:v>
      </x:c>
      <x:c r="M173" s="48" t="str">
        <x:v>8</x:v>
      </x:c>
      <x:c r="N173" s="48" t="str">
        <x:v>2</x:v>
      </x:c>
      <x:c r="O173" s="48" t="str">
        <x:v>0</x:v>
      </x:c>
      <x:c r="P173" s="48" t="str">
        <x:v>0</x:v>
      </x:c>
      <x:c r="Q173" s="48" t="str">
        <x:v>1.000</x:v>
      </x:c>
      <x:c r="R173" s="48" t="str">
        <x:v>DRIVER DOES NOT SEPARATE</x:v>
      </x:c>
      <x:c r="S173" s="48" t="str">
        <x:v>0.000</x:v>
      </x:c>
      <x:c r="T173" s="48" t="str">
        <x:v>GLOBAL_TRANSATLANTIC:N=8,p=1.000; NORTH_AMERICA:N=10,p=1.000</x:v>
      </x:c>
      <x:c r="U173" s="48" t="str">
        <x:v>Maximum-minus-minimum prevalence among adequately observed groups is no more than 0.15.</x:v>
      </x:c>
      <x:c r="V173" s="48" t="str">
        <x:v>At least 5 observable manager families in at least 2 driver groups</x:v>
      </x:c>
      <x:c r="W173" s="48" t="str">
        <x:v>&gt;=0.35 separates; &lt;=0.15 does not separate; intermediate is inconclusive/confounded; direct driver-definition tests are CIRCULAR</x:v>
      </x:c>
      <x:c r="X173" s="48" t="str">
        <x:v>MANAGER_SELF_DESCRIPTION; NOT BEHAVIOURAL FREQUENCY</x:v>
      </x:c>
    </x:row>
    <x:row r="174">
      <x:c r="A174" s="48" t="str">
        <x:v>B_GOVERNANCE_SEGMENTATION</x:v>
      </x:c>
      <x:c r="B174" s="48" t="str">
        <x:v>Tier B v1.1 - N=29 rerun</x:v>
      </x:c>
      <x:c r="C174" s="48" t="str">
        <x:v>2026-07-16</x:v>
      </x:c>
      <x:c r="D174" s="48" t="str">
        <x:v>G10</x:v>
      </x:c>
      <x:c r="E174" s="48" t="str">
        <x:v>GATING_DECISION</x:v>
      </x:c>
      <x:c r="F174" s="48" t="str">
        <x:v>Separate exit or disposition approval</x:v>
      </x:c>
      <x:c r="G174" s="48" t="str">
        <x:v>geography</x:v>
      </x:c>
      <x:c r="H174" s="48" t="str">
        <x:v>NORTH_AMERICA</x:v>
      </x:c>
      <x:c r="I174" s="48" t="str">
        <x:v>13</x:v>
      </x:c>
      <x:c r="J174" s="48" t="str">
        <x:v>10</x:v>
      </x:c>
      <x:c r="K174" s="48" t="str">
        <x:v>1</x:v>
      </x:c>
      <x:c r="L174" s="48" t="str">
        <x:v>0</x:v>
      </x:c>
      <x:c r="M174" s="48" t="str">
        <x:v>10</x:v>
      </x:c>
      <x:c r="N174" s="48" t="str">
        <x:v>3</x:v>
      </x:c>
      <x:c r="O174" s="48" t="str">
        <x:v>0</x:v>
      </x:c>
      <x:c r="P174" s="48" t="str">
        <x:v>0</x:v>
      </x:c>
      <x:c r="Q174" s="48" t="str">
        <x:v>1.000</x:v>
      </x:c>
      <x:c r="R174" s="48" t="str">
        <x:v>DRIVER DOES NOT SEPARATE</x:v>
      </x:c>
      <x:c r="S174" s="48" t="str">
        <x:v>0.000</x:v>
      </x:c>
      <x:c r="T174" s="48" t="str">
        <x:v>GLOBAL_TRANSATLANTIC:N=8,p=1.000; NORTH_AMERICA:N=10,p=1.000</x:v>
      </x:c>
      <x:c r="U174" s="48" t="str">
        <x:v>Maximum-minus-minimum prevalence among adequately observed groups is no more than 0.15.</x:v>
      </x:c>
      <x:c r="V174" s="48" t="str">
        <x:v>At least 5 observable manager families in at least 2 driver groups</x:v>
      </x:c>
      <x:c r="W174" s="48" t="str">
        <x:v>&gt;=0.35 separates; &lt;=0.15 does not separate; intermediate is inconclusive/confounded; direct driver-definition tests are CIRCULAR</x:v>
      </x:c>
      <x:c r="X174" s="48" t="str">
        <x:v>MANAGER_SELF_DESCRIPTION; NOT BEHAVIOURAL FREQUENCY</x:v>
      </x:c>
    </x:row>
    <x:row r="175">
      <x:c r="A175" s="48" t="str">
        <x:v>B_GOVERNANCE_SEGMENTATION</x:v>
      </x:c>
      <x:c r="B175" s="48" t="str">
        <x:v>Tier B v1.1 - N=29 rerun</x:v>
      </x:c>
      <x:c r="C175" s="48" t="str">
        <x:v>2026-07-16</x:v>
      </x:c>
      <x:c r="D175" s="48" t="str">
        <x:v>G10</x:v>
      </x:c>
      <x:c r="E175" s="48" t="str">
        <x:v>GATING_DECISION</x:v>
      </x:c>
      <x:c r="F175" s="48" t="str">
        <x:v>Separate exit or disposition approval</x:v>
      </x:c>
      <x:c r="G175" s="48" t="str">
        <x:v>source_vintage_bin</x:v>
      </x:c>
      <x:c r="H175" s="48" t="str">
        <x:v>2018_2020</x:v>
      </x:c>
      <x:c r="I175" s="48" t="str">
        <x:v>6</x:v>
      </x:c>
      <x:c r="J175" s="48" t="str">
        <x:v>5</x:v>
      </x:c>
      <x:c r="K175" s="48" t="str">
        <x:v>0</x:v>
      </x:c>
      <x:c r="L175" s="48" t="str">
        <x:v>0</x:v>
      </x:c>
      <x:c r="M175" s="48" t="str">
        <x:v>5</x:v>
      </x:c>
      <x:c r="N175" s="48" t="str">
        <x:v>1</x:v>
      </x:c>
      <x:c r="O175" s="48" t="str">
        <x:v>0</x:v>
      </x:c>
      <x:c r="P175" s="48" t="str">
        <x:v>0</x:v>
      </x:c>
      <x:c r="Q175" s="48" t="str">
        <x:v>1.000</x:v>
      </x:c>
      <x:c r="R175" s="48" t="str">
        <x:v>DRIVER DOES NOT SEPARATE</x:v>
      </x:c>
      <x:c r="S175" s="48" t="str">
        <x:v>0.000</x:v>
      </x:c>
      <x:c r="T175" s="48" t="str">
        <x:v>2018_2020:N=5,p=1.000; 2021_2023:N=9,p=1.000; 2024_2026:N=8,p=1.000</x:v>
      </x:c>
      <x:c r="U175" s="48" t="str">
        <x:v>Maximum-minus-minimum prevalence among adequately observed groups is no more than 0.15.</x:v>
      </x:c>
      <x:c r="V175" s="48" t="str">
        <x:v>At least 5 observable manager families in at least 2 driver groups</x:v>
      </x:c>
      <x:c r="W175" s="48" t="str">
        <x:v>&gt;=0.35 separates; &lt;=0.15 does not separate; intermediate is inconclusive/confounded; direct driver-definition tests are CIRCULAR</x:v>
      </x:c>
      <x:c r="X175" s="48" t="str">
        <x:v>MANAGER_SELF_DESCRIPTION; NOT BEHAVIOURAL FREQUENCY</x:v>
      </x:c>
    </x:row>
    <x:row r="176">
      <x:c r="A176" s="48" t="str">
        <x:v>B_GOVERNANCE_SEGMENTATION</x:v>
      </x:c>
      <x:c r="B176" s="48" t="str">
        <x:v>Tier B v1.1 - N=29 rerun</x:v>
      </x:c>
      <x:c r="C176" s="48" t="str">
        <x:v>2026-07-16</x:v>
      </x:c>
      <x:c r="D176" s="48" t="str">
        <x:v>G10</x:v>
      </x:c>
      <x:c r="E176" s="48" t="str">
        <x:v>GATING_DECISION</x:v>
      </x:c>
      <x:c r="F176" s="48" t="str">
        <x:v>Separate exit or disposition approval</x:v>
      </x:c>
      <x:c r="G176" s="48" t="str">
        <x:v>source_vintage_bin</x:v>
      </x:c>
      <x:c r="H176" s="48" t="str">
        <x:v>2021_2023</x:v>
      </x:c>
      <x:c r="I176" s="48" t="str">
        <x:v>11</x:v>
      </x:c>
      <x:c r="J176" s="48" t="str">
        <x:v>9</x:v>
      </x:c>
      <x:c r="K176" s="48" t="str">
        <x:v>2</x:v>
      </x:c>
      <x:c r="L176" s="48" t="str">
        <x:v>0</x:v>
      </x:c>
      <x:c r="M176" s="48" t="str">
        <x:v>9</x:v>
      </x:c>
      <x:c r="N176" s="48" t="str">
        <x:v>2</x:v>
      </x:c>
      <x:c r="O176" s="48" t="str">
        <x:v>0</x:v>
      </x:c>
      <x:c r="P176" s="48" t="str">
        <x:v>0</x:v>
      </x:c>
      <x:c r="Q176" s="48" t="str">
        <x:v>1.000</x:v>
      </x:c>
      <x:c r="R176" s="48" t="str">
        <x:v>DRIVER DOES NOT SEPARATE</x:v>
      </x:c>
      <x:c r="S176" s="48" t="str">
        <x:v>0.000</x:v>
      </x:c>
      <x:c r="T176" s="48" t="str">
        <x:v>2018_2020:N=5,p=1.000; 2021_2023:N=9,p=1.000; 2024_2026:N=8,p=1.000</x:v>
      </x:c>
      <x:c r="U176" s="48" t="str">
        <x:v>Maximum-minus-minimum prevalence among adequately observed groups is no more than 0.15.</x:v>
      </x:c>
      <x:c r="V176" s="48" t="str">
        <x:v>At least 5 observable manager families in at least 2 driver groups</x:v>
      </x:c>
      <x:c r="W176" s="48" t="str">
        <x:v>&gt;=0.35 separates; &lt;=0.15 does not separate; intermediate is inconclusive/confounded; direct driver-definition tests are CIRCULAR</x:v>
      </x:c>
      <x:c r="X176" s="48" t="str">
        <x:v>MANAGER_SELF_DESCRIPTION; NOT BEHAVIOURAL FREQUENCY</x:v>
      </x:c>
    </x:row>
    <x:row r="177">
      <x:c r="A177" s="48" t="str">
        <x:v>B_GOVERNANCE_SEGMENTATION</x:v>
      </x:c>
      <x:c r="B177" s="48" t="str">
        <x:v>Tier B v1.1 - N=29 rerun</x:v>
      </x:c>
      <x:c r="C177" s="48" t="str">
        <x:v>2026-07-16</x:v>
      </x:c>
      <x:c r="D177" s="48" t="str">
        <x:v>G10</x:v>
      </x:c>
      <x:c r="E177" s="48" t="str">
        <x:v>GATING_DECISION</x:v>
      </x:c>
      <x:c r="F177" s="48" t="str">
        <x:v>Separate exit or disposition approval</x:v>
      </x:c>
      <x:c r="G177" s="48" t="str">
        <x:v>source_vintage_bin</x:v>
      </x:c>
      <x:c r="H177" s="48" t="str">
        <x:v>2024_2026</x:v>
      </x:c>
      <x:c r="I177" s="48" t="str">
        <x:v>12</x:v>
      </x:c>
      <x:c r="J177" s="48" t="str">
        <x:v>8</x:v>
      </x:c>
      <x:c r="K177" s="48" t="str">
        <x:v>1</x:v>
      </x:c>
      <x:c r="L177" s="48" t="str">
        <x:v>0</x:v>
      </x:c>
      <x:c r="M177" s="48" t="str">
        <x:v>8</x:v>
      </x:c>
      <x:c r="N177" s="48" t="str">
        <x:v>4</x:v>
      </x:c>
      <x:c r="O177" s="48" t="str">
        <x:v>0</x:v>
      </x:c>
      <x:c r="P177" s="48" t="str">
        <x:v>0</x:v>
      </x:c>
      <x:c r="Q177" s="48" t="str">
        <x:v>1.000</x:v>
      </x:c>
      <x:c r="R177" s="48" t="str">
        <x:v>DRIVER DOES NOT SEPARATE</x:v>
      </x:c>
      <x:c r="S177" s="48" t="str">
        <x:v>0.000</x:v>
      </x:c>
      <x:c r="T177" s="48" t="str">
        <x:v>2018_2020:N=5,p=1.000; 2021_2023:N=9,p=1.000; 2024_2026:N=8,p=1.000</x:v>
      </x:c>
      <x:c r="U177" s="48" t="str">
        <x:v>Maximum-minus-minimum prevalence among adequately observed groups is no more than 0.15.</x:v>
      </x:c>
      <x:c r="V177" s="48" t="str">
        <x:v>At least 5 observable manager families in at least 2 driver groups</x:v>
      </x:c>
      <x:c r="W177" s="48" t="str">
        <x:v>&gt;=0.35 separates; &lt;=0.15 does not separate; intermediate is inconclusive/confounded; direct driver-definition tests are CIRCULAR</x:v>
      </x:c>
      <x:c r="X177" s="48" t="str">
        <x:v>MANAGER_SELF_DESCRIPTION; NOT BEHAVIOURAL FREQUENCY</x:v>
      </x:c>
    </x:row>
    <x:row r="178">
      <x:c r="A178" s="48" t="str">
        <x:v>B_GOVERNANCE_SEGMENTATION</x:v>
      </x:c>
      <x:c r="B178" s="48" t="str">
        <x:v>Tier B v1.1 - N=29 rerun</x:v>
      </x:c>
      <x:c r="C178" s="48" t="str">
        <x:v>2026-07-16</x:v>
      </x:c>
      <x:c r="D178" s="48" t="str">
        <x:v>G10</x:v>
      </x:c>
      <x:c r="E178" s="48" t="str">
        <x:v>GATING_DECISION</x:v>
      </x:c>
      <x:c r="F178" s="48" t="str">
        <x:v>Separate exit or disposition approval</x:v>
      </x:c>
      <x:c r="G178" s="48" t="str">
        <x:v>governance_architecture</x:v>
      </x:c>
      <x:c r="H178" s="48" t="str">
        <x:v>IC_FINAL_OR_DE_FACTO</x:v>
      </x:c>
      <x:c r="I178" s="48" t="str">
        <x:v>26</x:v>
      </x:c>
      <x:c r="J178" s="48" t="str">
        <x:v>19</x:v>
      </x:c>
      <x:c r="K178" s="48" t="str">
        <x:v>3</x:v>
      </x:c>
      <x:c r="L178" s="48" t="str">
        <x:v>0</x:v>
      </x:c>
      <x:c r="M178" s="48" t="str">
        <x:v>19</x:v>
      </x:c>
      <x:c r="N178" s="48" t="str">
        <x:v>7</x:v>
      </x:c>
      <x:c r="O178" s="48" t="str">
        <x:v>0</x:v>
      </x:c>
      <x:c r="P178" s="48" t="str">
        <x:v>0</x:v>
      </x:c>
      <x:c r="Q178" s="48" t="str">
        <x:v>1.000</x:v>
      </x:c>
      <x:c r="R178" s="48" t="str">
        <x:v>N TOO SMALL</x:v>
      </x:c>
      <x:c r="S178" s="48" t="str"/>
      <x:c r="T178" s="48" t="str">
        <x:v>IC_FINAL_OR_DE_FACTO:N=19,p=1.000</x:v>
      </x:c>
      <x:c r="U178" s="48" t="str">
        <x:v>Fewer than two driver groups have at least 5 observable manager families.</x:v>
      </x:c>
      <x:c r="V178" s="48" t="str">
        <x:v>At least 5 observable manager families in at least 2 driver groups</x:v>
      </x:c>
      <x:c r="W178" s="48" t="str">
        <x:v>&gt;=0.35 separates; &lt;=0.15 does not separate; intermediate is inconclusive/confounded; direct driver-definition tests are CIRCULAR</x:v>
      </x:c>
      <x:c r="X178" s="48" t="str">
        <x:v>MANAGER_SELF_DESCRIPTION; NOT BEHAVIOURAL FREQUENCY</x:v>
      </x:c>
    </x:row>
    <x:row r="179">
      <x:c r="A179" s="48" t="str">
        <x:v>B_GOVERNANCE_SEGMENTATION</x:v>
      </x:c>
      <x:c r="B179" s="48" t="str">
        <x:v>Tier B v1.1 - N=29 rerun</x:v>
      </x:c>
      <x:c r="C179" s="48" t="str">
        <x:v>2026-07-16</x:v>
      </x:c>
      <x:c r="D179" s="48" t="str">
        <x:v>G10</x:v>
      </x:c>
      <x:c r="E179" s="48" t="str">
        <x:v>GATING_DECISION</x:v>
      </x:c>
      <x:c r="F179" s="48" t="str">
        <x:v>Separate exit or disposition approval</x:v>
      </x:c>
      <x:c r="G179" s="48" t="str">
        <x:v>governance_architecture</x:v>
      </x:c>
      <x:c r="H179" s="48" t="str">
        <x:v>IC_RECOMMENDS_SEPARATE_FINAL_AUTHORITY</x:v>
      </x:c>
      <x:c r="I179" s="48" t="str">
        <x:v>3</x:v>
      </x:c>
      <x:c r="J179" s="48" t="str">
        <x:v>3</x:v>
      </x:c>
      <x:c r="K179" s="48" t="str">
        <x:v>0</x:v>
      </x:c>
      <x:c r="L179" s="48" t="str">
        <x:v>0</x:v>
      </x:c>
      <x:c r="M179" s="48" t="str">
        <x:v>3</x:v>
      </x:c>
      <x:c r="N179" s="48" t="str">
        <x:v>0</x:v>
      </x:c>
      <x:c r="O179" s="48" t="str">
        <x:v>0</x:v>
      </x:c>
      <x:c r="P179" s="48" t="str">
        <x:v>0</x:v>
      </x:c>
      <x:c r="Q179" s="48" t="str">
        <x:v>1.000</x:v>
      </x:c>
      <x:c r="R179" s="48" t="str">
        <x:v>N TOO SMALL</x:v>
      </x:c>
      <x:c r="S179" s="48" t="str"/>
      <x:c r="T179" s="48" t="str">
        <x:v>IC_FINAL_OR_DE_FACTO:N=19,p=1.000</x:v>
      </x:c>
      <x:c r="U179" s="48" t="str">
        <x:v>Fewer than two driver groups have at least 5 observable manager families.</x:v>
      </x:c>
      <x:c r="V179" s="48" t="str">
        <x:v>At least 5 observable manager families in at least 2 driver groups</x:v>
      </x:c>
      <x:c r="W179" s="48" t="str">
        <x:v>&gt;=0.35 separates; &lt;=0.15 does not separate; intermediate is inconclusive/confounded; direct driver-definition tests are CIRCULAR</x:v>
      </x:c>
      <x:c r="X179" s="48" t="str">
        <x:v>MANAGER_SELF_DESCRIPTION; NOT BEHAVIOURAL FREQUENCY</x:v>
      </x:c>
    </x:row>
    <x:row r="180">
      <x:c r="A180" s="48" t="str">
        <x:v>B_GOVERNANCE_SEGMENTATION</x:v>
      </x:c>
      <x:c r="B180" s="48" t="str">
        <x:v>Tier B v1.1 - N=29 rerun</x:v>
      </x:c>
      <x:c r="C180" s="48" t="str">
        <x:v>2026-07-16</x:v>
      </x:c>
      <x:c r="D180" s="48" t="str">
        <x:v>G10</x:v>
      </x:c>
      <x:c r="E180" s="48" t="str">
        <x:v>GATING_DECISION</x:v>
      </x:c>
      <x:c r="F180" s="48" t="str">
        <x:v>Separate exit or disposition approval</x:v>
      </x:c>
      <x:c r="G180" s="48" t="str">
        <x:v>dedicated_operating_team</x:v>
      </x:c>
      <x:c r="H180" s="48" t="str">
        <x:v>NO_OR_LIMITED</x:v>
      </x:c>
      <x:c r="I180" s="48" t="str">
        <x:v>6</x:v>
      </x:c>
      <x:c r="J180" s="48" t="str">
        <x:v>5</x:v>
      </x:c>
      <x:c r="K180" s="48" t="str">
        <x:v>2</x:v>
      </x:c>
      <x:c r="L180" s="48" t="str">
        <x:v>0</x:v>
      </x:c>
      <x:c r="M180" s="48" t="str">
        <x:v>5</x:v>
      </x:c>
      <x:c r="N180" s="48" t="str">
        <x:v>1</x:v>
      </x:c>
      <x:c r="O180" s="48" t="str">
        <x:v>0</x:v>
      </x:c>
      <x:c r="P180" s="48" t="str">
        <x:v>0</x:v>
      </x:c>
      <x:c r="Q180" s="48" t="str">
        <x:v>1.000</x:v>
      </x:c>
      <x:c r="R180" s="48" t="str">
        <x:v>DRIVER DOES NOT SEPARATE</x:v>
      </x:c>
      <x:c r="S180" s="48" t="str">
        <x:v>0.000</x:v>
      </x:c>
      <x:c r="T180" s="48" t="str">
        <x:v>NO_OR_LIMITED:N=5,p=1.000; YES_DEDICATED:N=17,p=1.000</x:v>
      </x:c>
      <x:c r="U180" s="48" t="str">
        <x:v>Maximum-minus-minimum prevalence among adequately observed groups is no more than 0.15.</x:v>
      </x:c>
      <x:c r="V180" s="48" t="str">
        <x:v>At least 5 observable manager families in at least 2 driver groups</x:v>
      </x:c>
      <x:c r="W180" s="48" t="str">
        <x:v>&gt;=0.35 separates; &lt;=0.15 does not separate; intermediate is inconclusive/confounded; direct driver-definition tests are CIRCULAR</x:v>
      </x:c>
      <x:c r="X180" s="48" t="str">
        <x:v>MANAGER_SELF_DESCRIPTION; NOT BEHAVIOURAL FREQUENCY</x:v>
      </x:c>
    </x:row>
    <x:row r="181">
      <x:c r="A181" s="48" t="str">
        <x:v>B_GOVERNANCE_SEGMENTATION</x:v>
      </x:c>
      <x:c r="B181" s="48" t="str">
        <x:v>Tier B v1.1 - N=29 rerun</x:v>
      </x:c>
      <x:c r="C181" s="48" t="str">
        <x:v>2026-07-16</x:v>
      </x:c>
      <x:c r="D181" s="48" t="str">
        <x:v>G10</x:v>
      </x:c>
      <x:c r="E181" s="48" t="str">
        <x:v>GATING_DECISION</x:v>
      </x:c>
      <x:c r="F181" s="48" t="str">
        <x:v>Separate exit or disposition approval</x:v>
      </x:c>
      <x:c r="G181" s="48" t="str">
        <x:v>dedicated_operating_team</x:v>
      </x:c>
      <x:c r="H181" s="48" t="str">
        <x:v>YES_DEDICATED</x:v>
      </x:c>
      <x:c r="I181" s="48" t="str">
        <x:v>23</x:v>
      </x:c>
      <x:c r="J181" s="48" t="str">
        <x:v>17</x:v>
      </x:c>
      <x:c r="K181" s="48" t="str">
        <x:v>1</x:v>
      </x:c>
      <x:c r="L181" s="48" t="str">
        <x:v>0</x:v>
      </x:c>
      <x:c r="M181" s="48" t="str">
        <x:v>17</x:v>
      </x:c>
      <x:c r="N181" s="48" t="str">
        <x:v>6</x:v>
      </x:c>
      <x:c r="O181" s="48" t="str">
        <x:v>0</x:v>
      </x:c>
      <x:c r="P181" s="48" t="str">
        <x:v>0</x:v>
      </x:c>
      <x:c r="Q181" s="48" t="str">
        <x:v>1.000</x:v>
      </x:c>
      <x:c r="R181" s="48" t="str">
        <x:v>DRIVER DOES NOT SEPARATE</x:v>
      </x:c>
      <x:c r="S181" s="48" t="str">
        <x:v>0.000</x:v>
      </x:c>
      <x:c r="T181" s="48" t="str">
        <x:v>NO_OR_LIMITED:N=5,p=1.000; YES_DEDICATED:N=17,p=1.000</x:v>
      </x:c>
      <x:c r="U181" s="48" t="str">
        <x:v>Maximum-minus-minimum prevalence among adequately observed groups is no more than 0.15.</x:v>
      </x:c>
      <x:c r="V181" s="48" t="str">
        <x:v>At least 5 observable manager families in at least 2 driver groups</x:v>
      </x:c>
      <x:c r="W181" s="48" t="str">
        <x:v>&gt;=0.35 separates; &lt;=0.15 does not separate; intermediate is inconclusive/confounded; direct driver-definition tests are CIRCULAR</x:v>
      </x:c>
      <x:c r="X181" s="48" t="str">
        <x:v>MANAGER_SELF_DESCRIPTION; NOT BEHAVIOURAL FREQUENCY</x:v>
      </x:c>
    </x:row>
    <x:row r="182">
      <x:c r="A182" s="48" t="str">
        <x:v>B_GOVERNANCE_SEGMENTATION</x:v>
      </x:c>
      <x:c r="B182" s="48" t="str">
        <x:v>Tier B v1.1 - N=29 rerun</x:v>
      </x:c>
      <x:c r="C182" s="48" t="str">
        <x:v>2026-07-16</x:v>
      </x:c>
      <x:c r="D182" s="48" t="str">
        <x:v>G11</x:v>
      </x:c>
      <x:c r="E182" s="48" t="str">
        <x:v>GATING_DECISION</x:v>
      </x:c>
      <x:c r="F182" s="48" t="str">
        <x:v>Majority or consensus voting rule</x:v>
      </x:c>
      <x:c r="G182" s="48" t="str">
        <x:v>fund_size_archetype</x:v>
      </x:c>
      <x:c r="H182" s="48" t="str">
        <x:v>LARGE_2_TO_LT_5B</x:v>
      </x:c>
      <x:c r="I182" s="48" t="str">
        <x:v>9</x:v>
      </x:c>
      <x:c r="J182" s="48" t="str">
        <x:v>4</x:v>
      </x:c>
      <x:c r="K182" s="48" t="str">
        <x:v>0</x:v>
      </x:c>
      <x:c r="L182" s="48" t="str">
        <x:v>4</x:v>
      </x:c>
      <x:c r="M182" s="48" t="str">
        <x:v>8</x:v>
      </x:c>
      <x:c r="N182" s="48" t="str">
        <x:v>1</x:v>
      </x:c>
      <x:c r="O182" s="48" t="str">
        <x:v>0</x:v>
      </x:c>
      <x:c r="P182" s="48" t="str">
        <x:v>0</x:v>
      </x:c>
      <x:c r="Q182" s="48" t="str">
        <x:v>0.500</x:v>
      </x:c>
      <x:c r="R182" s="48" t="str">
        <x:v>DRIVER DOES NOT SEPARATE</x:v>
      </x:c>
      <x:c r="S182" s="48" t="str">
        <x:v>0.056</x:v>
      </x:c>
      <x:c r="T182" s="48" t="str">
        <x:v>LARGE_2_TO_LT_5B:N=8,p=0.500; MEGA_GE_5B:N=9,p=0.444</x:v>
      </x:c>
      <x:c r="U182" s="48" t="str">
        <x:v>Maximum-minus-minimum prevalence among adequately observed groups is no more than 0.15.</x:v>
      </x:c>
      <x:c r="V182" s="48" t="str">
        <x:v>At least 5 observable manager families in at least 2 driver groups</x:v>
      </x:c>
      <x:c r="W182" s="48" t="str">
        <x:v>&gt;=0.35 separates; &lt;=0.15 does not separate; intermediate is inconclusive/confounded; direct driver-definition tests are CIRCULAR</x:v>
      </x:c>
      <x:c r="X182" s="48" t="str">
        <x:v>MANAGER_SELF_DESCRIPTION; NOT BEHAVIOURAL FREQUENCY</x:v>
      </x:c>
    </x:row>
    <x:row r="183">
      <x:c r="A183" s="48" t="str">
        <x:v>B_GOVERNANCE_SEGMENTATION</x:v>
      </x:c>
      <x:c r="B183" s="48" t="str">
        <x:v>Tier B v1.1 - N=29 rerun</x:v>
      </x:c>
      <x:c r="C183" s="48" t="str">
        <x:v>2026-07-16</x:v>
      </x:c>
      <x:c r="D183" s="48" t="str">
        <x:v>G11</x:v>
      </x:c>
      <x:c r="E183" s="48" t="str">
        <x:v>GATING_DECISION</x:v>
      </x:c>
      <x:c r="F183" s="48" t="str">
        <x:v>Majority or consensus voting rule</x:v>
      </x:c>
      <x:c r="G183" s="48" t="str">
        <x:v>fund_size_archetype</x:v>
      </x:c>
      <x:c r="H183" s="48" t="str">
        <x:v>LOWER_MID_LT_2B</x:v>
      </x:c>
      <x:c r="I183" s="48" t="str">
        <x:v>8</x:v>
      </x:c>
      <x:c r="J183" s="48" t="str">
        <x:v>2</x:v>
      </x:c>
      <x:c r="K183" s="48" t="str">
        <x:v>0</x:v>
      </x:c>
      <x:c r="L183" s="48" t="str">
        <x:v>2</x:v>
      </x:c>
      <x:c r="M183" s="48" t="str">
        <x:v>4</x:v>
      </x:c>
      <x:c r="N183" s="48" t="str">
        <x:v>4</x:v>
      </x:c>
      <x:c r="O183" s="48" t="str">
        <x:v>0</x:v>
      </x:c>
      <x:c r="P183" s="48" t="str">
        <x:v>0</x:v>
      </x:c>
      <x:c r="Q183" s="48" t="str">
        <x:v>0.500</x:v>
      </x:c>
      <x:c r="R183" s="48" t="str">
        <x:v>DRIVER DOES NOT SEPARATE</x:v>
      </x:c>
      <x:c r="S183" s="48" t="str">
        <x:v>0.056</x:v>
      </x:c>
      <x:c r="T183" s="48" t="str">
        <x:v>LARGE_2_TO_LT_5B:N=8,p=0.500; MEGA_GE_5B:N=9,p=0.444</x:v>
      </x:c>
      <x:c r="U183" s="48" t="str">
        <x:v>Maximum-minus-minimum prevalence among adequately observed groups is no more than 0.15.</x:v>
      </x:c>
      <x:c r="V183" s="48" t="str">
        <x:v>At least 5 observable manager families in at least 2 driver groups</x:v>
      </x:c>
      <x:c r="W183" s="48" t="str">
        <x:v>&gt;=0.35 separates; &lt;=0.15 does not separate; intermediate is inconclusive/confounded; direct driver-definition tests are CIRCULAR</x:v>
      </x:c>
      <x:c r="X183" s="48" t="str">
        <x:v>MANAGER_SELF_DESCRIPTION; NOT BEHAVIOURAL FREQUENCY</x:v>
      </x:c>
    </x:row>
    <x:row r="184">
      <x:c r="A184" s="48" t="str">
        <x:v>B_GOVERNANCE_SEGMENTATION</x:v>
      </x:c>
      <x:c r="B184" s="48" t="str">
        <x:v>Tier B v1.1 - N=29 rerun</x:v>
      </x:c>
      <x:c r="C184" s="48" t="str">
        <x:v>2026-07-16</x:v>
      </x:c>
      <x:c r="D184" s="48" t="str">
        <x:v>G11</x:v>
      </x:c>
      <x:c r="E184" s="48" t="str">
        <x:v>GATING_DECISION</x:v>
      </x:c>
      <x:c r="F184" s="48" t="str">
        <x:v>Majority or consensus voting rule</x:v>
      </x:c>
      <x:c r="G184" s="48" t="str">
        <x:v>fund_size_archetype</x:v>
      </x:c>
      <x:c r="H184" s="48" t="str">
        <x:v>MEGA_GE_5B</x:v>
      </x:c>
      <x:c r="I184" s="48" t="str">
        <x:v>11</x:v>
      </x:c>
      <x:c r="J184" s="48" t="str">
        <x:v>4</x:v>
      </x:c>
      <x:c r="K184" s="48" t="str">
        <x:v>0</x:v>
      </x:c>
      <x:c r="L184" s="48" t="str">
        <x:v>5</x:v>
      </x:c>
      <x:c r="M184" s="48" t="str">
        <x:v>9</x:v>
      </x:c>
      <x:c r="N184" s="48" t="str">
        <x:v>2</x:v>
      </x:c>
      <x:c r="O184" s="48" t="str">
        <x:v>0</x:v>
      </x:c>
      <x:c r="P184" s="48" t="str">
        <x:v>0</x:v>
      </x:c>
      <x:c r="Q184" s="48" t="str">
        <x:v>0.444</x:v>
      </x:c>
      <x:c r="R184" s="48" t="str">
        <x:v>DRIVER DOES NOT SEPARATE</x:v>
      </x:c>
      <x:c r="S184" s="48" t="str">
        <x:v>0.056</x:v>
      </x:c>
      <x:c r="T184" s="48" t="str">
        <x:v>LARGE_2_TO_LT_5B:N=8,p=0.500; MEGA_GE_5B:N=9,p=0.444</x:v>
      </x:c>
      <x:c r="U184" s="48" t="str">
        <x:v>Maximum-minus-minimum prevalence among adequately observed groups is no more than 0.15.</x:v>
      </x:c>
      <x:c r="V184" s="48" t="str">
        <x:v>At least 5 observable manager families in at least 2 driver groups</x:v>
      </x:c>
      <x:c r="W184" s="48" t="str">
        <x:v>&gt;=0.35 separates; &lt;=0.15 does not separate; intermediate is inconclusive/confounded; direct driver-definition tests are CIRCULAR</x:v>
      </x:c>
      <x:c r="X184" s="48" t="str">
        <x:v>MANAGER_SELF_DESCRIPTION; NOT BEHAVIOURAL FREQUENCY</x:v>
      </x:c>
    </x:row>
    <x:row r="185">
      <x:c r="A185" s="48" t="str">
        <x:v>B_GOVERNANCE_SEGMENTATION</x:v>
      </x:c>
      <x:c r="B185" s="48" t="str">
        <x:v>Tier B v1.1 - N=29 rerun</x:v>
      </x:c>
      <x:c r="C185" s="48" t="str">
        <x:v>2026-07-16</x:v>
      </x:c>
      <x:c r="D185" s="48" t="str">
        <x:v>G11</x:v>
      </x:c>
      <x:c r="E185" s="48" t="str">
        <x:v>GATING_DECISION</x:v>
      </x:c>
      <x:c r="F185" s="48" t="str">
        <x:v>Majority or consensus voting rule</x:v>
      </x:c>
      <x:c r="G185" s="48" t="str">
        <x:v>fund_size_archetype</x:v>
      </x:c>
      <x:c r="H185" s="48" t="str">
        <x:v>NOT_APPLICABLE</x:v>
      </x:c>
      <x:c r="I185" s="48" t="str">
        <x:v>1</x:v>
      </x:c>
      <x:c r="J185" s="48" t="str">
        <x:v>1</x:v>
      </x:c>
      <x:c r="K185" s="48" t="str">
        <x:v>0</x:v>
      </x:c>
      <x:c r="L185" s="48" t="str">
        <x:v>0</x:v>
      </x:c>
      <x:c r="M185" s="48" t="str">
        <x:v>1</x:v>
      </x:c>
      <x:c r="N185" s="48" t="str">
        <x:v>0</x:v>
      </x:c>
      <x:c r="O185" s="48" t="str">
        <x:v>0</x:v>
      </x:c>
      <x:c r="P185" s="48" t="str">
        <x:v>0</x:v>
      </x:c>
      <x:c r="Q185" s="48" t="str">
        <x:v>1.000</x:v>
      </x:c>
      <x:c r="R185" s="48" t="str">
        <x:v>DRIVER DOES NOT SEPARATE</x:v>
      </x:c>
      <x:c r="S185" s="48" t="str">
        <x:v>0.056</x:v>
      </x:c>
      <x:c r="T185" s="48" t="str">
        <x:v>LARGE_2_TO_LT_5B:N=8,p=0.500; MEGA_GE_5B:N=9,p=0.444</x:v>
      </x:c>
      <x:c r="U185" s="48" t="str">
        <x:v>Maximum-minus-minimum prevalence among adequately observed groups is no more than 0.15.</x:v>
      </x:c>
      <x:c r="V185" s="48" t="str">
        <x:v>At least 5 observable manager families in at least 2 driver groups</x:v>
      </x:c>
      <x:c r="W185" s="48" t="str">
        <x:v>&gt;=0.35 separates; &lt;=0.15 does not separate; intermediate is inconclusive/confounded; direct driver-definition tests are CIRCULAR</x:v>
      </x:c>
      <x:c r="X185" s="48" t="str">
        <x:v>MANAGER_SELF_DESCRIPTION; NOT BEHAVIOURAL FREQUENCY</x:v>
      </x:c>
    </x:row>
    <x:row r="186">
      <x:c r="A186" s="48" t="str">
        <x:v>B_GOVERNANCE_SEGMENTATION</x:v>
      </x:c>
      <x:c r="B186" s="48" t="str">
        <x:v>Tier B v1.1 - N=29 rerun</x:v>
      </x:c>
      <x:c r="C186" s="48" t="str">
        <x:v>2026-07-16</x:v>
      </x:c>
      <x:c r="D186" s="48" t="str">
        <x:v>G11</x:v>
      </x:c>
      <x:c r="E186" s="48" t="str">
        <x:v>GATING_DECISION</x:v>
      </x:c>
      <x:c r="F186" s="48" t="str">
        <x:v>Majority or consensus voting rule</x:v>
      </x:c>
      <x:c r="G186" s="48" t="str">
        <x:v>strategy</x:v>
      </x:c>
      <x:c r="H186" s="48" t="str">
        <x:v>CONTROL_BUYOUT</x:v>
      </x:c>
      <x:c r="I186" s="48" t="str">
        <x:v>22</x:v>
      </x:c>
      <x:c r="J186" s="48" t="str">
        <x:v>7</x:v>
      </x:c>
      <x:c r="K186" s="48" t="str">
        <x:v>0</x:v>
      </x:c>
      <x:c r="L186" s="48" t="str">
        <x:v>9</x:v>
      </x:c>
      <x:c r="M186" s="48" t="str">
        <x:v>16</x:v>
      </x:c>
      <x:c r="N186" s="48" t="str">
        <x:v>6</x:v>
      </x:c>
      <x:c r="O186" s="48" t="str">
        <x:v>0</x:v>
      </x:c>
      <x:c r="P186" s="48" t="str">
        <x:v>0</x:v>
      </x:c>
      <x:c r="Q186" s="48" t="str">
        <x:v>0.438</x:v>
      </x:c>
      <x:c r="R186" s="48" t="str">
        <x:v>INCONCLUSIVE OR CONFOUNDED</x:v>
      </x:c>
      <x:c r="S186" s="48" t="str">
        <x:v>0.162</x:v>
      </x:c>
      <x:c r="T186" s="48" t="str">
        <x:v>CONTROL_BUYOUT:N=16,p=0.438; GROWTH_CONTROL_HYBRID:N=5,p=0.600</x:v>
      </x:c>
      <x:c r="U186" s="48" t="str">
        <x:v>Adequate groups differ, but the maximum-minus-minimum prevalence lies between 0.15 and 0.35.</x:v>
      </x:c>
      <x:c r="V186" s="48" t="str">
        <x:v>At least 5 observable manager families in at least 2 driver groups</x:v>
      </x:c>
      <x:c r="W186" s="48" t="str">
        <x:v>&gt;=0.35 separates; &lt;=0.15 does not separate; intermediate is inconclusive/confounded; direct driver-definition tests are CIRCULAR</x:v>
      </x:c>
      <x:c r="X186" s="48" t="str">
        <x:v>MANAGER_SELF_DESCRIPTION; NOT BEHAVIOURAL FREQUENCY</x:v>
      </x:c>
    </x:row>
    <x:row r="187">
      <x:c r="A187" s="48" t="str">
        <x:v>B_GOVERNANCE_SEGMENTATION</x:v>
      </x:c>
      <x:c r="B187" s="48" t="str">
        <x:v>Tier B v1.1 - N=29 rerun</x:v>
      </x:c>
      <x:c r="C187" s="48" t="str">
        <x:v>2026-07-16</x:v>
      </x:c>
      <x:c r="D187" s="48" t="str">
        <x:v>G11</x:v>
      </x:c>
      <x:c r="E187" s="48" t="str">
        <x:v>GATING_DECISION</x:v>
      </x:c>
      <x:c r="F187" s="48" t="str">
        <x:v>Majority or consensus voting rule</x:v>
      </x:c>
      <x:c r="G187" s="48" t="str">
        <x:v>strategy</x:v>
      </x:c>
      <x:c r="H187" s="48" t="str">
        <x:v>GROWTH_CONTROL_HYBRID</x:v>
      </x:c>
      <x:c r="I187" s="48" t="str">
        <x:v>6</x:v>
      </x:c>
      <x:c r="J187" s="48" t="str">
        <x:v>3</x:v>
      </x:c>
      <x:c r="K187" s="48" t="str">
        <x:v>0</x:v>
      </x:c>
      <x:c r="L187" s="48" t="str">
        <x:v>2</x:v>
      </x:c>
      <x:c r="M187" s="48" t="str">
        <x:v>5</x:v>
      </x:c>
      <x:c r="N187" s="48" t="str">
        <x:v>1</x:v>
      </x:c>
      <x:c r="O187" s="48" t="str">
        <x:v>0</x:v>
      </x:c>
      <x:c r="P187" s="48" t="str">
        <x:v>0</x:v>
      </x:c>
      <x:c r="Q187" s="48" t="str">
        <x:v>0.600</x:v>
      </x:c>
      <x:c r="R187" s="48" t="str">
        <x:v>INCONCLUSIVE OR CONFOUNDED</x:v>
      </x:c>
      <x:c r="S187" s="48" t="str">
        <x:v>0.162</x:v>
      </x:c>
      <x:c r="T187" s="48" t="str">
        <x:v>CONTROL_BUYOUT:N=16,p=0.438; GROWTH_CONTROL_HYBRID:N=5,p=0.600</x:v>
      </x:c>
      <x:c r="U187" s="48" t="str">
        <x:v>Adequate groups differ, but the maximum-minus-minimum prevalence lies between 0.15 and 0.35.</x:v>
      </x:c>
      <x:c r="V187" s="48" t="str">
        <x:v>At least 5 observable manager families in at least 2 driver groups</x:v>
      </x:c>
      <x:c r="W187" s="48" t="str">
        <x:v>&gt;=0.35 separates; &lt;=0.15 does not separate; intermediate is inconclusive/confounded; direct driver-definition tests are CIRCULAR</x:v>
      </x:c>
      <x:c r="X187" s="48" t="str">
        <x:v>MANAGER_SELF_DESCRIPTION; NOT BEHAVIOURAL FREQUENCY</x:v>
      </x:c>
    </x:row>
    <x:row r="188">
      <x:c r="A188" s="48" t="str">
        <x:v>B_GOVERNANCE_SEGMENTATION</x:v>
      </x:c>
      <x:c r="B188" s="48" t="str">
        <x:v>Tier B v1.1 - N=29 rerun</x:v>
      </x:c>
      <x:c r="C188" s="48" t="str">
        <x:v>2026-07-16</x:v>
      </x:c>
      <x:c r="D188" s="48" t="str">
        <x:v>G11</x:v>
      </x:c>
      <x:c r="E188" s="48" t="str">
        <x:v>GATING_DECISION</x:v>
      </x:c>
      <x:c r="F188" s="48" t="str">
        <x:v>Majority or consensus voting rule</x:v>
      </x:c>
      <x:c r="G188" s="48" t="str">
        <x:v>strategy</x:v>
      </x:c>
      <x:c r="H188" s="48" t="str">
        <x:v>OPPORTUNISTIC_CONTROL</x:v>
      </x:c>
      <x:c r="I188" s="48" t="str">
        <x:v>1</x:v>
      </x:c>
      <x:c r="J188" s="48" t="str">
        <x:v>1</x:v>
      </x:c>
      <x:c r="K188" s="48" t="str">
        <x:v>0</x:v>
      </x:c>
      <x:c r="L188" s="48" t="str">
        <x:v>0</x:v>
      </x:c>
      <x:c r="M188" s="48" t="str">
        <x:v>1</x:v>
      </x:c>
      <x:c r="N188" s="48" t="str">
        <x:v>0</x:v>
      </x:c>
      <x:c r="O188" s="48" t="str">
        <x:v>0</x:v>
      </x:c>
      <x:c r="P188" s="48" t="str">
        <x:v>0</x:v>
      </x:c>
      <x:c r="Q188" s="48" t="str">
        <x:v>1.000</x:v>
      </x:c>
      <x:c r="R188" s="48" t="str">
        <x:v>INCONCLUSIVE OR CONFOUNDED</x:v>
      </x:c>
      <x:c r="S188" s="48" t="str">
        <x:v>0.162</x:v>
      </x:c>
      <x:c r="T188" s="48" t="str">
        <x:v>CONTROL_BUYOUT:N=16,p=0.438; GROWTH_CONTROL_HYBRID:N=5,p=0.600</x:v>
      </x:c>
      <x:c r="U188" s="48" t="str">
        <x:v>Adequate groups differ, but the maximum-minus-minimum prevalence lies between 0.15 and 0.35.</x:v>
      </x:c>
      <x:c r="V188" s="48" t="str">
        <x:v>At least 5 observable manager families in at least 2 driver groups</x:v>
      </x:c>
      <x:c r="W188" s="48" t="str">
        <x:v>&gt;=0.35 separates; &lt;=0.15 does not separate; intermediate is inconclusive/confounded; direct driver-definition tests are CIRCULAR</x:v>
      </x:c>
      <x:c r="X188" s="48" t="str">
        <x:v>MANAGER_SELF_DESCRIPTION; NOT BEHAVIOURAL FREQUENCY</x:v>
      </x:c>
    </x:row>
    <x:row r="189">
      <x:c r="A189" s="48" t="str">
        <x:v>B_GOVERNANCE_SEGMENTATION</x:v>
      </x:c>
      <x:c r="B189" s="48" t="str">
        <x:v>Tier B v1.1 - N=29 rerun</x:v>
      </x:c>
      <x:c r="C189" s="48" t="str">
        <x:v>2026-07-16</x:v>
      </x:c>
      <x:c r="D189" s="48" t="str">
        <x:v>G11</x:v>
      </x:c>
      <x:c r="E189" s="48" t="str">
        <x:v>GATING_DECISION</x:v>
      </x:c>
      <x:c r="F189" s="48" t="str">
        <x:v>Majority or consensus voting rule</x:v>
      </x:c>
      <x:c r="G189" s="48" t="str">
        <x:v>geography</x:v>
      </x:c>
      <x:c r="H189" s="48" t="str">
        <x:v>ASIA_PACIFIC</x:v>
      </x:c>
      <x:c r="I189" s="48" t="str">
        <x:v>4</x:v>
      </x:c>
      <x:c r="J189" s="48" t="str">
        <x:v>1</x:v>
      </x:c>
      <x:c r="K189" s="48" t="str">
        <x:v>0</x:v>
      </x:c>
      <x:c r="L189" s="48" t="str">
        <x:v>2</x:v>
      </x:c>
      <x:c r="M189" s="48" t="str">
        <x:v>3</x:v>
      </x:c>
      <x:c r="N189" s="48" t="str">
        <x:v>1</x:v>
      </x:c>
      <x:c r="O189" s="48" t="str">
        <x:v>0</x:v>
      </x:c>
      <x:c r="P189" s="48" t="str">
        <x:v>0</x:v>
      </x:c>
      <x:c r="Q189" s="48" t="str">
        <x:v>0.333</x:v>
      </x:c>
      <x:c r="R189" s="48" t="str">
        <x:v>DRIVER DOES NOT SEPARATE</x:v>
      </x:c>
      <x:c r="S189" s="48" t="str">
        <x:v>0.000</x:v>
      </x:c>
      <x:c r="T189" s="48" t="str">
        <x:v>GLOBAL_TRANSATLANTIC:N=8,p=0.500; NORTH_AMERICA:N=10,p=0.500</x:v>
      </x:c>
      <x:c r="U189" s="48" t="str">
        <x:v>Maximum-minus-minimum prevalence among adequately observed groups is no more than 0.15.</x:v>
      </x:c>
      <x:c r="V189" s="48" t="str">
        <x:v>At least 5 observable manager families in at least 2 driver groups</x:v>
      </x:c>
      <x:c r="W189" s="48" t="str">
        <x:v>&gt;=0.35 separates; &lt;=0.15 does not separate; intermediate is inconclusive/confounded; direct driver-definition tests are CIRCULAR</x:v>
      </x:c>
      <x:c r="X189" s="48" t="str">
        <x:v>MANAGER_SELF_DESCRIPTION; NOT BEHAVIOURAL FREQUENCY</x:v>
      </x:c>
    </x:row>
    <x:row r="190">
      <x:c r="A190" s="48" t="str">
        <x:v>B_GOVERNANCE_SEGMENTATION</x:v>
      </x:c>
      <x:c r="B190" s="48" t="str">
        <x:v>Tier B v1.1 - N=29 rerun</x:v>
      </x:c>
      <x:c r="C190" s="48" t="str">
        <x:v>2026-07-16</x:v>
      </x:c>
      <x:c r="D190" s="48" t="str">
        <x:v>G11</x:v>
      </x:c>
      <x:c r="E190" s="48" t="str">
        <x:v>GATING_DECISION</x:v>
      </x:c>
      <x:c r="F190" s="48" t="str">
        <x:v>Majority or consensus voting rule</x:v>
      </x:c>
      <x:c r="G190" s="48" t="str">
        <x:v>geography</x:v>
      </x:c>
      <x:c r="H190" s="48" t="str">
        <x:v>EUROPE</x:v>
      </x:c>
      <x:c r="I190" s="48" t="str">
        <x:v>2</x:v>
      </x:c>
      <x:c r="J190" s="48" t="str">
        <x:v>1</x:v>
      </x:c>
      <x:c r="K190" s="48" t="str">
        <x:v>0</x:v>
      </x:c>
      <x:c r="L190" s="48" t="str">
        <x:v>0</x:v>
      </x:c>
      <x:c r="M190" s="48" t="str">
        <x:v>1</x:v>
      </x:c>
      <x:c r="N190" s="48" t="str">
        <x:v>1</x:v>
      </x:c>
      <x:c r="O190" s="48" t="str">
        <x:v>0</x:v>
      </x:c>
      <x:c r="P190" s="48" t="str">
        <x:v>0</x:v>
      </x:c>
      <x:c r="Q190" s="48" t="str">
        <x:v>1.000</x:v>
      </x:c>
      <x:c r="R190" s="48" t="str">
        <x:v>DRIVER DOES NOT SEPARATE</x:v>
      </x:c>
      <x:c r="S190" s="48" t="str">
        <x:v>0.000</x:v>
      </x:c>
      <x:c r="T190" s="48" t="str">
        <x:v>GLOBAL_TRANSATLANTIC:N=8,p=0.500; NORTH_AMERICA:N=10,p=0.500</x:v>
      </x:c>
      <x:c r="U190" s="48" t="str">
        <x:v>Maximum-minus-minimum prevalence among adequately observed groups is no more than 0.15.</x:v>
      </x:c>
      <x:c r="V190" s="48" t="str">
        <x:v>At least 5 observable manager families in at least 2 driver groups</x:v>
      </x:c>
      <x:c r="W190" s="48" t="str">
        <x:v>&gt;=0.35 separates; &lt;=0.15 does not separate; intermediate is inconclusive/confounded; direct driver-definition tests are CIRCULAR</x:v>
      </x:c>
      <x:c r="X190" s="48" t="str">
        <x:v>MANAGER_SELF_DESCRIPTION; NOT BEHAVIOURAL FREQUENCY</x:v>
      </x:c>
    </x:row>
    <x:row r="191">
      <x:c r="A191" s="48" t="str">
        <x:v>B_GOVERNANCE_SEGMENTATION</x:v>
      </x:c>
      <x:c r="B191" s="48" t="str">
        <x:v>Tier B v1.1 - N=29 rerun</x:v>
      </x:c>
      <x:c r="C191" s="48" t="str">
        <x:v>2026-07-16</x:v>
      </x:c>
      <x:c r="D191" s="48" t="str">
        <x:v>G11</x:v>
      </x:c>
      <x:c r="E191" s="48" t="str">
        <x:v>GATING_DECISION</x:v>
      </x:c>
      <x:c r="F191" s="48" t="str">
        <x:v>Majority or consensus voting rule</x:v>
      </x:c>
      <x:c r="G191" s="48" t="str">
        <x:v>geography</x:v>
      </x:c>
      <x:c r="H191" s="48" t="str">
        <x:v>GLOBAL_TRANSATLANTIC</x:v>
      </x:c>
      <x:c r="I191" s="48" t="str">
        <x:v>10</x:v>
      </x:c>
      <x:c r="J191" s="48" t="str">
        <x:v>4</x:v>
      </x:c>
      <x:c r="K191" s="48" t="str">
        <x:v>0</x:v>
      </x:c>
      <x:c r="L191" s="48" t="str">
        <x:v>4</x:v>
      </x:c>
      <x:c r="M191" s="48" t="str">
        <x:v>8</x:v>
      </x:c>
      <x:c r="N191" s="48" t="str">
        <x:v>2</x:v>
      </x:c>
      <x:c r="O191" s="48" t="str">
        <x:v>0</x:v>
      </x:c>
      <x:c r="P191" s="48" t="str">
        <x:v>0</x:v>
      </x:c>
      <x:c r="Q191" s="48" t="str">
        <x:v>0.500</x:v>
      </x:c>
      <x:c r="R191" s="48" t="str">
        <x:v>DRIVER DOES NOT SEPARATE</x:v>
      </x:c>
      <x:c r="S191" s="48" t="str">
        <x:v>0.000</x:v>
      </x:c>
      <x:c r="T191" s="48" t="str">
        <x:v>GLOBAL_TRANSATLANTIC:N=8,p=0.500; NORTH_AMERICA:N=10,p=0.500</x:v>
      </x:c>
      <x:c r="U191" s="48" t="str">
        <x:v>Maximum-minus-minimum prevalence among adequately observed groups is no more than 0.15.</x:v>
      </x:c>
      <x:c r="V191" s="48" t="str">
        <x:v>At least 5 observable manager families in at least 2 driver groups</x:v>
      </x:c>
      <x:c r="W191" s="48" t="str">
        <x:v>&gt;=0.35 separates; &lt;=0.15 does not separate; intermediate is inconclusive/confounded; direct driver-definition tests are CIRCULAR</x:v>
      </x:c>
      <x:c r="X191" s="48" t="str">
        <x:v>MANAGER_SELF_DESCRIPTION; NOT BEHAVIOURAL FREQUENCY</x:v>
      </x:c>
    </x:row>
    <x:row r="192">
      <x:c r="A192" s="48" t="str">
        <x:v>B_GOVERNANCE_SEGMENTATION</x:v>
      </x:c>
      <x:c r="B192" s="48" t="str">
        <x:v>Tier B v1.1 - N=29 rerun</x:v>
      </x:c>
      <x:c r="C192" s="48" t="str">
        <x:v>2026-07-16</x:v>
      </x:c>
      <x:c r="D192" s="48" t="str">
        <x:v>G11</x:v>
      </x:c>
      <x:c r="E192" s="48" t="str">
        <x:v>GATING_DECISION</x:v>
      </x:c>
      <x:c r="F192" s="48" t="str">
        <x:v>Majority or consensus voting rule</x:v>
      </x:c>
      <x:c r="G192" s="48" t="str">
        <x:v>geography</x:v>
      </x:c>
      <x:c r="H192" s="48" t="str">
        <x:v>NORTH_AMERICA</x:v>
      </x:c>
      <x:c r="I192" s="48" t="str">
        <x:v>13</x:v>
      </x:c>
      <x:c r="J192" s="48" t="str">
        <x:v>5</x:v>
      </x:c>
      <x:c r="K192" s="48" t="str">
        <x:v>0</x:v>
      </x:c>
      <x:c r="L192" s="48" t="str">
        <x:v>5</x:v>
      </x:c>
      <x:c r="M192" s="48" t="str">
        <x:v>10</x:v>
      </x:c>
      <x:c r="N192" s="48" t="str">
        <x:v>3</x:v>
      </x:c>
      <x:c r="O192" s="48" t="str">
        <x:v>0</x:v>
      </x:c>
      <x:c r="P192" s="48" t="str">
        <x:v>0</x:v>
      </x:c>
      <x:c r="Q192" s="48" t="str">
        <x:v>0.500</x:v>
      </x:c>
      <x:c r="R192" s="48" t="str">
        <x:v>DRIVER DOES NOT SEPARATE</x:v>
      </x:c>
      <x:c r="S192" s="48" t="str">
        <x:v>0.000</x:v>
      </x:c>
      <x:c r="T192" s="48" t="str">
        <x:v>GLOBAL_TRANSATLANTIC:N=8,p=0.500; NORTH_AMERICA:N=10,p=0.500</x:v>
      </x:c>
      <x:c r="U192" s="48" t="str">
        <x:v>Maximum-minus-minimum prevalence among adequately observed groups is no more than 0.15.</x:v>
      </x:c>
      <x:c r="V192" s="48" t="str">
        <x:v>At least 5 observable manager families in at least 2 driver groups</x:v>
      </x:c>
      <x:c r="W192" s="48" t="str">
        <x:v>&gt;=0.35 separates; &lt;=0.15 does not separate; intermediate is inconclusive/confounded; direct driver-definition tests are CIRCULAR</x:v>
      </x:c>
      <x:c r="X192" s="48" t="str">
        <x:v>MANAGER_SELF_DESCRIPTION; NOT BEHAVIOURAL FREQUENCY</x:v>
      </x:c>
    </x:row>
    <x:row r="193">
      <x:c r="A193" s="48" t="str">
        <x:v>B_GOVERNANCE_SEGMENTATION</x:v>
      </x:c>
      <x:c r="B193" s="48" t="str">
        <x:v>Tier B v1.1 - N=29 rerun</x:v>
      </x:c>
      <x:c r="C193" s="48" t="str">
        <x:v>2026-07-16</x:v>
      </x:c>
      <x:c r="D193" s="48" t="str">
        <x:v>G11</x:v>
      </x:c>
      <x:c r="E193" s="48" t="str">
        <x:v>GATING_DECISION</x:v>
      </x:c>
      <x:c r="F193" s="48" t="str">
        <x:v>Majority or consensus voting rule</x:v>
      </x:c>
      <x:c r="G193" s="48" t="str">
        <x:v>source_vintage_bin</x:v>
      </x:c>
      <x:c r="H193" s="48" t="str">
        <x:v>2018_2020</x:v>
      </x:c>
      <x:c r="I193" s="48" t="str">
        <x:v>6</x:v>
      </x:c>
      <x:c r="J193" s="48" t="str">
        <x:v>5</x:v>
      </x:c>
      <x:c r="K193" s="48" t="str">
        <x:v>0</x:v>
      </x:c>
      <x:c r="L193" s="48" t="str">
        <x:v>1</x:v>
      </x:c>
      <x:c r="M193" s="48" t="str">
        <x:v>6</x:v>
      </x:c>
      <x:c r="N193" s="48" t="str">
        <x:v>0</x:v>
      </x:c>
      <x:c r="O193" s="48" t="str">
        <x:v>0</x:v>
      </x:c>
      <x:c r="P193" s="48" t="str">
        <x:v>0</x:v>
      </x:c>
      <x:c r="Q193" s="48" t="str">
        <x:v>0.833</x:v>
      </x:c>
      <x:c r="R193" s="48" t="str">
        <x:v>DRIVER SEPARATES</x:v>
      </x:c>
      <x:c r="S193" s="48" t="str">
        <x:v>0.500</x:v>
      </x:c>
      <x:c r="T193" s="48" t="str">
        <x:v>2018_2020:N=6,p=0.833; 2021_2023:N=7,p=0.429; 2024_2026:N=9,p=0.333</x:v>
      </x:c>
      <x:c r="U193" s="48" t="str">
        <x:v>Maximum-minus-minimum prevalence among adequately observed groups is at least 0.35.</x:v>
      </x:c>
      <x:c r="V193" s="48" t="str">
        <x:v>At least 5 observable manager families in at least 2 driver groups</x:v>
      </x:c>
      <x:c r="W193" s="48" t="str">
        <x:v>&gt;=0.35 separates; &lt;=0.15 does not separate; intermediate is inconclusive/confounded; direct driver-definition tests are CIRCULAR</x:v>
      </x:c>
      <x:c r="X193" s="48" t="str">
        <x:v>MANAGER_SELF_DESCRIPTION; NOT BEHAVIOURAL FREQUENCY</x:v>
      </x:c>
    </x:row>
    <x:row r="194">
      <x:c r="A194" s="48" t="str">
        <x:v>B_GOVERNANCE_SEGMENTATION</x:v>
      </x:c>
      <x:c r="B194" s="48" t="str">
        <x:v>Tier B v1.1 - N=29 rerun</x:v>
      </x:c>
      <x:c r="C194" s="48" t="str">
        <x:v>2026-07-16</x:v>
      </x:c>
      <x:c r="D194" s="48" t="str">
        <x:v>G11</x:v>
      </x:c>
      <x:c r="E194" s="48" t="str">
        <x:v>GATING_DECISION</x:v>
      </x:c>
      <x:c r="F194" s="48" t="str">
        <x:v>Majority or consensus voting rule</x:v>
      </x:c>
      <x:c r="G194" s="48" t="str">
        <x:v>source_vintage_bin</x:v>
      </x:c>
      <x:c r="H194" s="48" t="str">
        <x:v>2021_2023</x:v>
      </x:c>
      <x:c r="I194" s="48" t="str">
        <x:v>11</x:v>
      </x:c>
      <x:c r="J194" s="48" t="str">
        <x:v>3</x:v>
      </x:c>
      <x:c r="K194" s="48" t="str">
        <x:v>0</x:v>
      </x:c>
      <x:c r="L194" s="48" t="str">
        <x:v>4</x:v>
      </x:c>
      <x:c r="M194" s="48" t="str">
        <x:v>7</x:v>
      </x:c>
      <x:c r="N194" s="48" t="str">
        <x:v>4</x:v>
      </x:c>
      <x:c r="O194" s="48" t="str">
        <x:v>0</x:v>
      </x:c>
      <x:c r="P194" s="48" t="str">
        <x:v>0</x:v>
      </x:c>
      <x:c r="Q194" s="48" t="str">
        <x:v>0.429</x:v>
      </x:c>
      <x:c r="R194" s="48" t="str">
        <x:v>DRIVER SEPARATES</x:v>
      </x:c>
      <x:c r="S194" s="48" t="str">
        <x:v>0.500</x:v>
      </x:c>
      <x:c r="T194" s="48" t="str">
        <x:v>2018_2020:N=6,p=0.833; 2021_2023:N=7,p=0.429; 2024_2026:N=9,p=0.333</x:v>
      </x:c>
      <x:c r="U194" s="48" t="str">
        <x:v>Maximum-minus-minimum prevalence among adequately observed groups is at least 0.35.</x:v>
      </x:c>
      <x:c r="V194" s="48" t="str">
        <x:v>At least 5 observable manager families in at least 2 driver groups</x:v>
      </x:c>
      <x:c r="W194" s="48" t="str">
        <x:v>&gt;=0.35 separates; &lt;=0.15 does not separate; intermediate is inconclusive/confounded; direct driver-definition tests are CIRCULAR</x:v>
      </x:c>
      <x:c r="X194" s="48" t="str">
        <x:v>MANAGER_SELF_DESCRIPTION; NOT BEHAVIOURAL FREQUENCY</x:v>
      </x:c>
    </x:row>
    <x:row r="195">
      <x:c r="A195" s="48" t="str">
        <x:v>B_GOVERNANCE_SEGMENTATION</x:v>
      </x:c>
      <x:c r="B195" s="48" t="str">
        <x:v>Tier B v1.1 - N=29 rerun</x:v>
      </x:c>
      <x:c r="C195" s="48" t="str">
        <x:v>2026-07-16</x:v>
      </x:c>
      <x:c r="D195" s="48" t="str">
        <x:v>G11</x:v>
      </x:c>
      <x:c r="E195" s="48" t="str">
        <x:v>GATING_DECISION</x:v>
      </x:c>
      <x:c r="F195" s="48" t="str">
        <x:v>Majority or consensus voting rule</x:v>
      </x:c>
      <x:c r="G195" s="48" t="str">
        <x:v>source_vintage_bin</x:v>
      </x:c>
      <x:c r="H195" s="48" t="str">
        <x:v>2024_2026</x:v>
      </x:c>
      <x:c r="I195" s="48" t="str">
        <x:v>12</x:v>
      </x:c>
      <x:c r="J195" s="48" t="str">
        <x:v>3</x:v>
      </x:c>
      <x:c r="K195" s="48" t="str">
        <x:v>0</x:v>
      </x:c>
      <x:c r="L195" s="48" t="str">
        <x:v>6</x:v>
      </x:c>
      <x:c r="M195" s="48" t="str">
        <x:v>9</x:v>
      </x:c>
      <x:c r="N195" s="48" t="str">
        <x:v>3</x:v>
      </x:c>
      <x:c r="O195" s="48" t="str">
        <x:v>0</x:v>
      </x:c>
      <x:c r="P195" s="48" t="str">
        <x:v>0</x:v>
      </x:c>
      <x:c r="Q195" s="48" t="str">
        <x:v>0.333</x:v>
      </x:c>
      <x:c r="R195" s="48" t="str">
        <x:v>DRIVER SEPARATES</x:v>
      </x:c>
      <x:c r="S195" s="48" t="str">
        <x:v>0.500</x:v>
      </x:c>
      <x:c r="T195" s="48" t="str">
        <x:v>2018_2020:N=6,p=0.833; 2021_2023:N=7,p=0.429; 2024_2026:N=9,p=0.333</x:v>
      </x:c>
      <x:c r="U195" s="48" t="str">
        <x:v>Maximum-minus-minimum prevalence among adequately observed groups is at least 0.35.</x:v>
      </x:c>
      <x:c r="V195" s="48" t="str">
        <x:v>At least 5 observable manager families in at least 2 driver groups</x:v>
      </x:c>
      <x:c r="W195" s="48" t="str">
        <x:v>&gt;=0.35 separates; &lt;=0.15 does not separate; intermediate is inconclusive/confounded; direct driver-definition tests are CIRCULAR</x:v>
      </x:c>
      <x:c r="X195" s="48" t="str">
        <x:v>MANAGER_SELF_DESCRIPTION; NOT BEHAVIOURAL FREQUENCY</x:v>
      </x:c>
    </x:row>
    <x:row r="196">
      <x:c r="A196" s="48" t="str">
        <x:v>B_GOVERNANCE_SEGMENTATION</x:v>
      </x:c>
      <x:c r="B196" s="48" t="str">
        <x:v>Tier B v1.1 - N=29 rerun</x:v>
      </x:c>
      <x:c r="C196" s="48" t="str">
        <x:v>2026-07-16</x:v>
      </x:c>
      <x:c r="D196" s="48" t="str">
        <x:v>G11</x:v>
      </x:c>
      <x:c r="E196" s="48" t="str">
        <x:v>GATING_DECISION</x:v>
      </x:c>
      <x:c r="F196" s="48" t="str">
        <x:v>Majority or consensus voting rule</x:v>
      </x:c>
      <x:c r="G196" s="48" t="str">
        <x:v>governance_architecture</x:v>
      </x:c>
      <x:c r="H196" s="48" t="str">
        <x:v>IC_FINAL_OR_DE_FACTO</x:v>
      </x:c>
      <x:c r="I196" s="48" t="str">
        <x:v>26</x:v>
      </x:c>
      <x:c r="J196" s="48" t="str">
        <x:v>9</x:v>
      </x:c>
      <x:c r="K196" s="48" t="str">
        <x:v>0</x:v>
      </x:c>
      <x:c r="L196" s="48" t="str">
        <x:v>10</x:v>
      </x:c>
      <x:c r="M196" s="48" t="str">
        <x:v>19</x:v>
      </x:c>
      <x:c r="N196" s="48" t="str">
        <x:v>7</x:v>
      </x:c>
      <x:c r="O196" s="48" t="str">
        <x:v>0</x:v>
      </x:c>
      <x:c r="P196" s="48" t="str">
        <x:v>0</x:v>
      </x:c>
      <x:c r="Q196" s="48" t="str">
        <x:v>0.474</x:v>
      </x:c>
      <x:c r="R196" s="48" t="str">
        <x:v>N TOO SMALL</x:v>
      </x:c>
      <x:c r="S196" s="48" t="str"/>
      <x:c r="T196" s="48" t="str">
        <x:v>IC_FINAL_OR_DE_FACTO:N=19,p=0.474</x:v>
      </x:c>
      <x:c r="U196" s="48" t="str">
        <x:v>Fewer than two driver groups have at least 5 observable manager families.</x:v>
      </x:c>
      <x:c r="V196" s="48" t="str">
        <x:v>At least 5 observable manager families in at least 2 driver groups</x:v>
      </x:c>
      <x:c r="W196" s="48" t="str">
        <x:v>&gt;=0.35 separates; &lt;=0.15 does not separate; intermediate is inconclusive/confounded; direct driver-definition tests are CIRCULAR</x:v>
      </x:c>
      <x:c r="X196" s="48" t="str">
        <x:v>MANAGER_SELF_DESCRIPTION; NOT BEHAVIOURAL FREQUENCY</x:v>
      </x:c>
    </x:row>
    <x:row r="197">
      <x:c r="A197" s="48" t="str">
        <x:v>B_GOVERNANCE_SEGMENTATION</x:v>
      </x:c>
      <x:c r="B197" s="48" t="str">
        <x:v>Tier B v1.1 - N=29 rerun</x:v>
      </x:c>
      <x:c r="C197" s="48" t="str">
        <x:v>2026-07-16</x:v>
      </x:c>
      <x:c r="D197" s="48" t="str">
        <x:v>G11</x:v>
      </x:c>
      <x:c r="E197" s="48" t="str">
        <x:v>GATING_DECISION</x:v>
      </x:c>
      <x:c r="F197" s="48" t="str">
        <x:v>Majority or consensus voting rule</x:v>
      </x:c>
      <x:c r="G197" s="48" t="str">
        <x:v>governance_architecture</x:v>
      </x:c>
      <x:c r="H197" s="48" t="str">
        <x:v>IC_RECOMMENDS_SEPARATE_FINAL_AUTHORITY</x:v>
      </x:c>
      <x:c r="I197" s="48" t="str">
        <x:v>3</x:v>
      </x:c>
      <x:c r="J197" s="48" t="str">
        <x:v>2</x:v>
      </x:c>
      <x:c r="K197" s="48" t="str">
        <x:v>0</x:v>
      </x:c>
      <x:c r="L197" s="48" t="str">
        <x:v>1</x:v>
      </x:c>
      <x:c r="M197" s="48" t="str">
        <x:v>3</x:v>
      </x:c>
      <x:c r="N197" s="48" t="str">
        <x:v>0</x:v>
      </x:c>
      <x:c r="O197" s="48" t="str">
        <x:v>0</x:v>
      </x:c>
      <x:c r="P197" s="48" t="str">
        <x:v>0</x:v>
      </x:c>
      <x:c r="Q197" s="48" t="str">
        <x:v>0.667</x:v>
      </x:c>
      <x:c r="R197" s="48" t="str">
        <x:v>N TOO SMALL</x:v>
      </x:c>
      <x:c r="S197" s="48" t="str"/>
      <x:c r="T197" s="48" t="str">
        <x:v>IC_FINAL_OR_DE_FACTO:N=19,p=0.474</x:v>
      </x:c>
      <x:c r="U197" s="48" t="str">
        <x:v>Fewer than two driver groups have at least 5 observable manager families.</x:v>
      </x:c>
      <x:c r="V197" s="48" t="str">
        <x:v>At least 5 observable manager families in at least 2 driver groups</x:v>
      </x:c>
      <x:c r="W197" s="48" t="str">
        <x:v>&gt;=0.35 separates; &lt;=0.15 does not separate; intermediate is inconclusive/confounded; direct driver-definition tests are CIRCULAR</x:v>
      </x:c>
      <x:c r="X197" s="48" t="str">
        <x:v>MANAGER_SELF_DESCRIPTION; NOT BEHAVIOURAL FREQUENCY</x:v>
      </x:c>
    </x:row>
    <x:row r="198">
      <x:c r="A198" s="48" t="str">
        <x:v>B_GOVERNANCE_SEGMENTATION</x:v>
      </x:c>
      <x:c r="B198" s="48" t="str">
        <x:v>Tier B v1.1 - N=29 rerun</x:v>
      </x:c>
      <x:c r="C198" s="48" t="str">
        <x:v>2026-07-16</x:v>
      </x:c>
      <x:c r="D198" s="48" t="str">
        <x:v>G11</x:v>
      </x:c>
      <x:c r="E198" s="48" t="str">
        <x:v>GATING_DECISION</x:v>
      </x:c>
      <x:c r="F198" s="48" t="str">
        <x:v>Majority or consensus voting rule</x:v>
      </x:c>
      <x:c r="G198" s="48" t="str">
        <x:v>dedicated_operating_team</x:v>
      </x:c>
      <x:c r="H198" s="48" t="str">
        <x:v>NO_OR_LIMITED</x:v>
      </x:c>
      <x:c r="I198" s="48" t="str">
        <x:v>6</x:v>
      </x:c>
      <x:c r="J198" s="48" t="str">
        <x:v>3</x:v>
      </x:c>
      <x:c r="K198" s="48" t="str">
        <x:v>0</x:v>
      </x:c>
      <x:c r="L198" s="48" t="str">
        <x:v>2</x:v>
      </x:c>
      <x:c r="M198" s="48" t="str">
        <x:v>5</x:v>
      </x:c>
      <x:c r="N198" s="48" t="str">
        <x:v>1</x:v>
      </x:c>
      <x:c r="O198" s="48" t="str">
        <x:v>0</x:v>
      </x:c>
      <x:c r="P198" s="48" t="str">
        <x:v>0</x:v>
      </x:c>
      <x:c r="Q198" s="48" t="str">
        <x:v>0.600</x:v>
      </x:c>
      <x:c r="R198" s="48" t="str">
        <x:v>DRIVER DOES NOT SEPARATE</x:v>
      </x:c>
      <x:c r="S198" s="48" t="str">
        <x:v>0.129</x:v>
      </x:c>
      <x:c r="T198" s="48" t="str">
        <x:v>NO_OR_LIMITED:N=5,p=0.600; YES_DEDICATED:N=17,p=0.471</x:v>
      </x:c>
      <x:c r="U198" s="48" t="str">
        <x:v>Maximum-minus-minimum prevalence among adequately observed groups is no more than 0.15.</x:v>
      </x:c>
      <x:c r="V198" s="48" t="str">
        <x:v>At least 5 observable manager families in at least 2 driver groups</x:v>
      </x:c>
      <x:c r="W198" s="48" t="str">
        <x:v>&gt;=0.35 separates; &lt;=0.15 does not separate; intermediate is inconclusive/confounded; direct driver-definition tests are CIRCULAR</x:v>
      </x:c>
      <x:c r="X198" s="48" t="str">
        <x:v>MANAGER_SELF_DESCRIPTION; NOT BEHAVIOURAL FREQUENCY</x:v>
      </x:c>
    </x:row>
    <x:row r="199">
      <x:c r="A199" s="48" t="str">
        <x:v>B_GOVERNANCE_SEGMENTATION</x:v>
      </x:c>
      <x:c r="B199" s="48" t="str">
        <x:v>Tier B v1.1 - N=29 rerun</x:v>
      </x:c>
      <x:c r="C199" s="48" t="str">
        <x:v>2026-07-16</x:v>
      </x:c>
      <x:c r="D199" s="48" t="str">
        <x:v>G11</x:v>
      </x:c>
      <x:c r="E199" s="48" t="str">
        <x:v>GATING_DECISION</x:v>
      </x:c>
      <x:c r="F199" s="48" t="str">
        <x:v>Majority or consensus voting rule</x:v>
      </x:c>
      <x:c r="G199" s="48" t="str">
        <x:v>dedicated_operating_team</x:v>
      </x:c>
      <x:c r="H199" s="48" t="str">
        <x:v>YES_DEDICATED</x:v>
      </x:c>
      <x:c r="I199" s="48" t="str">
        <x:v>23</x:v>
      </x:c>
      <x:c r="J199" s="48" t="str">
        <x:v>8</x:v>
      </x:c>
      <x:c r="K199" s="48" t="str">
        <x:v>0</x:v>
      </x:c>
      <x:c r="L199" s="48" t="str">
        <x:v>9</x:v>
      </x:c>
      <x:c r="M199" s="48" t="str">
        <x:v>17</x:v>
      </x:c>
      <x:c r="N199" s="48" t="str">
        <x:v>6</x:v>
      </x:c>
      <x:c r="O199" s="48" t="str">
        <x:v>0</x:v>
      </x:c>
      <x:c r="P199" s="48" t="str">
        <x:v>0</x:v>
      </x:c>
      <x:c r="Q199" s="48" t="str">
        <x:v>0.471</x:v>
      </x:c>
      <x:c r="R199" s="48" t="str">
        <x:v>DRIVER DOES NOT SEPARATE</x:v>
      </x:c>
      <x:c r="S199" s="48" t="str">
        <x:v>0.129</x:v>
      </x:c>
      <x:c r="T199" s="48" t="str">
        <x:v>NO_OR_LIMITED:N=5,p=0.600; YES_DEDICATED:N=17,p=0.471</x:v>
      </x:c>
      <x:c r="U199" s="48" t="str">
        <x:v>Maximum-minus-minimum prevalence among adequately observed groups is no more than 0.15.</x:v>
      </x:c>
      <x:c r="V199" s="48" t="str">
        <x:v>At least 5 observable manager families in at least 2 driver groups</x:v>
      </x:c>
      <x:c r="W199" s="48" t="str">
        <x:v>&gt;=0.35 separates; &lt;=0.15 does not separate; intermediate is inconclusive/confounded; direct driver-definition tests are CIRCULAR</x:v>
      </x:c>
      <x:c r="X199" s="48" t="str">
        <x:v>MANAGER_SELF_DESCRIPTION; NOT BEHAVIOURAL FREQUENCY</x:v>
      </x:c>
    </x:row>
    <x:row r="200">
      <x:c r="A200" s="48" t="str">
        <x:v>B_GOVERNANCE_SEGMENTATION</x:v>
      </x:c>
      <x:c r="B200" s="48" t="str">
        <x:v>Tier B v1.1 - N=29 rerun</x:v>
      </x:c>
      <x:c r="C200" s="48" t="str">
        <x:v>2026-07-16</x:v>
      </x:c>
      <x:c r="D200" s="48" t="str">
        <x:v>G12</x:v>
      </x:c>
      <x:c r="E200" s="48" t="str">
        <x:v>GATING_DECISION</x:v>
      </x:c>
      <x:c r="F200" s="48" t="str">
        <x:v>Supermajority voting rule</x:v>
      </x:c>
      <x:c r="G200" s="48" t="str">
        <x:v>fund_size_archetype</x:v>
      </x:c>
      <x:c r="H200" s="48" t="str">
        <x:v>LARGE_2_TO_LT_5B</x:v>
      </x:c>
      <x:c r="I200" s="48" t="str">
        <x:v>9</x:v>
      </x:c>
      <x:c r="J200" s="48" t="str">
        <x:v>1</x:v>
      </x:c>
      <x:c r="K200" s="48" t="str">
        <x:v>0</x:v>
      </x:c>
      <x:c r="L200" s="48" t="str">
        <x:v>7</x:v>
      </x:c>
      <x:c r="M200" s="48" t="str">
        <x:v>8</x:v>
      </x:c>
      <x:c r="N200" s="48" t="str">
        <x:v>1</x:v>
      </x:c>
      <x:c r="O200" s="48" t="str">
        <x:v>0</x:v>
      </x:c>
      <x:c r="P200" s="48" t="str">
        <x:v>0</x:v>
      </x:c>
      <x:c r="Q200" s="48" t="str">
        <x:v>0.125</x:v>
      </x:c>
      <x:c r="R200" s="48" t="str">
        <x:v>DRIVER DOES NOT SEPARATE</x:v>
      </x:c>
      <x:c r="S200" s="48" t="str">
        <x:v>0.000</x:v>
      </x:c>
      <x:c r="T200" s="48" t="str">
        <x:v>LARGE_2_TO_LT_5B:N=8,p=0.125; MEGA_GE_5B:N=8,p=0.125</x:v>
      </x:c>
      <x:c r="U200" s="48" t="str">
        <x:v>Maximum-minus-minimum prevalence among adequately observed groups is no more than 0.15.</x:v>
      </x:c>
      <x:c r="V200" s="48" t="str">
        <x:v>At least 5 observable manager families in at least 2 driver groups</x:v>
      </x:c>
      <x:c r="W200" s="48" t="str">
        <x:v>&gt;=0.35 separates; &lt;=0.15 does not separate; intermediate is inconclusive/confounded; direct driver-definition tests are CIRCULAR</x:v>
      </x:c>
      <x:c r="X200" s="48" t="str">
        <x:v>MANAGER_SELF_DESCRIPTION; NOT BEHAVIOURAL FREQUENCY</x:v>
      </x:c>
    </x:row>
    <x:row r="201">
      <x:c r="A201" s="48" t="str">
        <x:v>B_GOVERNANCE_SEGMENTATION</x:v>
      </x:c>
      <x:c r="B201" s="48" t="str">
        <x:v>Tier B v1.1 - N=29 rerun</x:v>
      </x:c>
      <x:c r="C201" s="48" t="str">
        <x:v>2026-07-16</x:v>
      </x:c>
      <x:c r="D201" s="48" t="str">
        <x:v>G12</x:v>
      </x:c>
      <x:c r="E201" s="48" t="str">
        <x:v>GATING_DECISION</x:v>
      </x:c>
      <x:c r="F201" s="48" t="str">
        <x:v>Supermajority voting rule</x:v>
      </x:c>
      <x:c r="G201" s="48" t="str">
        <x:v>fund_size_archetype</x:v>
      </x:c>
      <x:c r="H201" s="48" t="str">
        <x:v>LOWER_MID_LT_2B</x:v>
      </x:c>
      <x:c r="I201" s="48" t="str">
        <x:v>8</x:v>
      </x:c>
      <x:c r="J201" s="48" t="str">
        <x:v>0</x:v>
      </x:c>
      <x:c r="K201" s="48" t="str">
        <x:v>0</x:v>
      </x:c>
      <x:c r="L201" s="48" t="str">
        <x:v>4</x:v>
      </x:c>
      <x:c r="M201" s="48" t="str">
        <x:v>4</x:v>
      </x:c>
      <x:c r="N201" s="48" t="str">
        <x:v>4</x:v>
      </x:c>
      <x:c r="O201" s="48" t="str">
        <x:v>0</x:v>
      </x:c>
      <x:c r="P201" s="48" t="str">
        <x:v>0</x:v>
      </x:c>
      <x:c r="Q201" s="48" t="str">
        <x:v>0.000</x:v>
      </x:c>
      <x:c r="R201" s="48" t="str">
        <x:v>DRIVER DOES NOT SEPARATE</x:v>
      </x:c>
      <x:c r="S201" s="48" t="str">
        <x:v>0.000</x:v>
      </x:c>
      <x:c r="T201" s="48" t="str">
        <x:v>LARGE_2_TO_LT_5B:N=8,p=0.125; MEGA_GE_5B:N=8,p=0.125</x:v>
      </x:c>
      <x:c r="U201" s="48" t="str">
        <x:v>Maximum-minus-minimum prevalence among adequately observed groups is no more than 0.15.</x:v>
      </x:c>
      <x:c r="V201" s="48" t="str">
        <x:v>At least 5 observable manager families in at least 2 driver groups</x:v>
      </x:c>
      <x:c r="W201" s="48" t="str">
        <x:v>&gt;=0.35 separates; &lt;=0.15 does not separate; intermediate is inconclusive/confounded; direct driver-definition tests are CIRCULAR</x:v>
      </x:c>
      <x:c r="X201" s="48" t="str">
        <x:v>MANAGER_SELF_DESCRIPTION; NOT BEHAVIOURAL FREQUENCY</x:v>
      </x:c>
    </x:row>
    <x:row r="202">
      <x:c r="A202" s="48" t="str">
        <x:v>B_GOVERNANCE_SEGMENTATION</x:v>
      </x:c>
      <x:c r="B202" s="48" t="str">
        <x:v>Tier B v1.1 - N=29 rerun</x:v>
      </x:c>
      <x:c r="C202" s="48" t="str">
        <x:v>2026-07-16</x:v>
      </x:c>
      <x:c r="D202" s="48" t="str">
        <x:v>G12</x:v>
      </x:c>
      <x:c r="E202" s="48" t="str">
        <x:v>GATING_DECISION</x:v>
      </x:c>
      <x:c r="F202" s="48" t="str">
        <x:v>Supermajority voting rule</x:v>
      </x:c>
      <x:c r="G202" s="48" t="str">
        <x:v>fund_size_archetype</x:v>
      </x:c>
      <x:c r="H202" s="48" t="str">
        <x:v>MEGA_GE_5B</x:v>
      </x:c>
      <x:c r="I202" s="48" t="str">
        <x:v>11</x:v>
      </x:c>
      <x:c r="J202" s="48" t="str">
        <x:v>1</x:v>
      </x:c>
      <x:c r="K202" s="48" t="str">
        <x:v>0</x:v>
      </x:c>
      <x:c r="L202" s="48" t="str">
        <x:v>7</x:v>
      </x:c>
      <x:c r="M202" s="48" t="str">
        <x:v>8</x:v>
      </x:c>
      <x:c r="N202" s="48" t="str">
        <x:v>3</x:v>
      </x:c>
      <x:c r="O202" s="48" t="str">
        <x:v>0</x:v>
      </x:c>
      <x:c r="P202" s="48" t="str">
        <x:v>0</x:v>
      </x:c>
      <x:c r="Q202" s="48" t="str">
        <x:v>0.125</x:v>
      </x:c>
      <x:c r="R202" s="48" t="str">
        <x:v>DRIVER DOES NOT SEPARATE</x:v>
      </x:c>
      <x:c r="S202" s="48" t="str">
        <x:v>0.000</x:v>
      </x:c>
      <x:c r="T202" s="48" t="str">
        <x:v>LARGE_2_TO_LT_5B:N=8,p=0.125; MEGA_GE_5B:N=8,p=0.125</x:v>
      </x:c>
      <x:c r="U202" s="48" t="str">
        <x:v>Maximum-minus-minimum prevalence among adequately observed groups is no more than 0.15.</x:v>
      </x:c>
      <x:c r="V202" s="48" t="str">
        <x:v>At least 5 observable manager families in at least 2 driver groups</x:v>
      </x:c>
      <x:c r="W202" s="48" t="str">
        <x:v>&gt;=0.35 separates; &lt;=0.15 does not separate; intermediate is inconclusive/confounded; direct driver-definition tests are CIRCULAR</x:v>
      </x:c>
      <x:c r="X202" s="48" t="str">
        <x:v>MANAGER_SELF_DESCRIPTION; NOT BEHAVIOURAL FREQUENCY</x:v>
      </x:c>
    </x:row>
    <x:row r="203">
      <x:c r="A203" s="48" t="str">
        <x:v>B_GOVERNANCE_SEGMENTATION</x:v>
      </x:c>
      <x:c r="B203" s="48" t="str">
        <x:v>Tier B v1.1 - N=29 rerun</x:v>
      </x:c>
      <x:c r="C203" s="48" t="str">
        <x:v>2026-07-16</x:v>
      </x:c>
      <x:c r="D203" s="48" t="str">
        <x:v>G12</x:v>
      </x:c>
      <x:c r="E203" s="48" t="str">
        <x:v>GATING_DECISION</x:v>
      </x:c>
      <x:c r="F203" s="48" t="str">
        <x:v>Supermajority voting rule</x:v>
      </x:c>
      <x:c r="G203" s="48" t="str">
        <x:v>fund_size_archetype</x:v>
      </x:c>
      <x:c r="H203" s="48" t="str">
        <x:v>NOT_APPLICABLE</x:v>
      </x:c>
      <x:c r="I203" s="48" t="str">
        <x:v>1</x:v>
      </x:c>
      <x:c r="J203" s="48" t="str">
        <x:v>0</x:v>
      </x:c>
      <x:c r="K203" s="48" t="str">
        <x:v>0</x:v>
      </x:c>
      <x:c r="L203" s="48" t="str">
        <x:v>1</x:v>
      </x:c>
      <x:c r="M203" s="48" t="str">
        <x:v>1</x:v>
      </x:c>
      <x:c r="N203" s="48" t="str">
        <x:v>0</x:v>
      </x:c>
      <x:c r="O203" s="48" t="str">
        <x:v>0</x:v>
      </x:c>
      <x:c r="P203" s="48" t="str">
        <x:v>0</x:v>
      </x:c>
      <x:c r="Q203" s="48" t="str">
        <x:v>0.000</x:v>
      </x:c>
      <x:c r="R203" s="48" t="str">
        <x:v>DRIVER DOES NOT SEPARATE</x:v>
      </x:c>
      <x:c r="S203" s="48" t="str">
        <x:v>0.000</x:v>
      </x:c>
      <x:c r="T203" s="48" t="str">
        <x:v>LARGE_2_TO_LT_5B:N=8,p=0.125; MEGA_GE_5B:N=8,p=0.125</x:v>
      </x:c>
      <x:c r="U203" s="48" t="str">
        <x:v>Maximum-minus-minimum prevalence among adequately observed groups is no more than 0.15.</x:v>
      </x:c>
      <x:c r="V203" s="48" t="str">
        <x:v>At least 5 observable manager families in at least 2 driver groups</x:v>
      </x:c>
      <x:c r="W203" s="48" t="str">
        <x:v>&gt;=0.35 separates; &lt;=0.15 does not separate; intermediate is inconclusive/confounded; direct driver-definition tests are CIRCULAR</x:v>
      </x:c>
      <x:c r="X203" s="48" t="str">
        <x:v>MANAGER_SELF_DESCRIPTION; NOT BEHAVIOURAL FREQUENCY</x:v>
      </x:c>
    </x:row>
    <x:row r="204">
      <x:c r="A204" s="48" t="str">
        <x:v>B_GOVERNANCE_SEGMENTATION</x:v>
      </x:c>
      <x:c r="B204" s="48" t="str">
        <x:v>Tier B v1.1 - N=29 rerun</x:v>
      </x:c>
      <x:c r="C204" s="48" t="str">
        <x:v>2026-07-16</x:v>
      </x:c>
      <x:c r="D204" s="48" t="str">
        <x:v>G12</x:v>
      </x:c>
      <x:c r="E204" s="48" t="str">
        <x:v>GATING_DECISION</x:v>
      </x:c>
      <x:c r="F204" s="48" t="str">
        <x:v>Supermajority voting rule</x:v>
      </x:c>
      <x:c r="G204" s="48" t="str">
        <x:v>strategy</x:v>
      </x:c>
      <x:c r="H204" s="48" t="str">
        <x:v>CONTROL_BUYOUT</x:v>
      </x:c>
      <x:c r="I204" s="48" t="str">
        <x:v>22</x:v>
      </x:c>
      <x:c r="J204" s="48" t="str">
        <x:v>2</x:v>
      </x:c>
      <x:c r="K204" s="48" t="str">
        <x:v>0</x:v>
      </x:c>
      <x:c r="L204" s="48" t="str">
        <x:v>13</x:v>
      </x:c>
      <x:c r="M204" s="48" t="str">
        <x:v>15</x:v>
      </x:c>
      <x:c r="N204" s="48" t="str">
        <x:v>7</x:v>
      </x:c>
      <x:c r="O204" s="48" t="str">
        <x:v>0</x:v>
      </x:c>
      <x:c r="P204" s="48" t="str">
        <x:v>0</x:v>
      </x:c>
      <x:c r="Q204" s="48" t="str">
        <x:v>0.133</x:v>
      </x:c>
      <x:c r="R204" s="48" t="str">
        <x:v>DRIVER DOES NOT SEPARATE</x:v>
      </x:c>
      <x:c r="S204" s="48" t="str">
        <x:v>0.133</x:v>
      </x:c>
      <x:c r="T204" s="48" t="str">
        <x:v>CONTROL_BUYOUT:N=15,p=0.133; GROWTH_CONTROL_HYBRID:N=5,p=0.000</x:v>
      </x:c>
      <x:c r="U204" s="48" t="str">
        <x:v>Maximum-minus-minimum prevalence among adequately observed groups is no more than 0.15.</x:v>
      </x:c>
      <x:c r="V204" s="48" t="str">
        <x:v>At least 5 observable manager families in at least 2 driver groups</x:v>
      </x:c>
      <x:c r="W204" s="48" t="str">
        <x:v>&gt;=0.35 separates; &lt;=0.15 does not separate; intermediate is inconclusive/confounded; direct driver-definition tests are CIRCULAR</x:v>
      </x:c>
      <x:c r="X204" s="48" t="str">
        <x:v>MANAGER_SELF_DESCRIPTION; NOT BEHAVIOURAL FREQUENCY</x:v>
      </x:c>
    </x:row>
    <x:row r="205">
      <x:c r="A205" s="48" t="str">
        <x:v>B_GOVERNANCE_SEGMENTATION</x:v>
      </x:c>
      <x:c r="B205" s="48" t="str">
        <x:v>Tier B v1.1 - N=29 rerun</x:v>
      </x:c>
      <x:c r="C205" s="48" t="str">
        <x:v>2026-07-16</x:v>
      </x:c>
      <x:c r="D205" s="48" t="str">
        <x:v>G12</x:v>
      </x:c>
      <x:c r="E205" s="48" t="str">
        <x:v>GATING_DECISION</x:v>
      </x:c>
      <x:c r="F205" s="48" t="str">
        <x:v>Supermajority voting rule</x:v>
      </x:c>
      <x:c r="G205" s="48" t="str">
        <x:v>strategy</x:v>
      </x:c>
      <x:c r="H205" s="48" t="str">
        <x:v>GROWTH_CONTROL_HYBRID</x:v>
      </x:c>
      <x:c r="I205" s="48" t="str">
        <x:v>6</x:v>
      </x:c>
      <x:c r="J205" s="48" t="str">
        <x:v>0</x:v>
      </x:c>
      <x:c r="K205" s="48" t="str">
        <x:v>0</x:v>
      </x:c>
      <x:c r="L205" s="48" t="str">
        <x:v>5</x:v>
      </x:c>
      <x:c r="M205" s="48" t="str">
        <x:v>5</x:v>
      </x:c>
      <x:c r="N205" s="48" t="str">
        <x:v>1</x:v>
      </x:c>
      <x:c r="O205" s="48" t="str">
        <x:v>0</x:v>
      </x:c>
      <x:c r="P205" s="48" t="str">
        <x:v>0</x:v>
      </x:c>
      <x:c r="Q205" s="48" t="str">
        <x:v>0.000</x:v>
      </x:c>
      <x:c r="R205" s="48" t="str">
        <x:v>DRIVER DOES NOT SEPARATE</x:v>
      </x:c>
      <x:c r="S205" s="48" t="str">
        <x:v>0.133</x:v>
      </x:c>
      <x:c r="T205" s="48" t="str">
        <x:v>CONTROL_BUYOUT:N=15,p=0.133; GROWTH_CONTROL_HYBRID:N=5,p=0.000</x:v>
      </x:c>
      <x:c r="U205" s="48" t="str">
        <x:v>Maximum-minus-minimum prevalence among adequately observed groups is no more than 0.15.</x:v>
      </x:c>
      <x:c r="V205" s="48" t="str">
        <x:v>At least 5 observable manager families in at least 2 driver groups</x:v>
      </x:c>
      <x:c r="W205" s="48" t="str">
        <x:v>&gt;=0.35 separates; &lt;=0.15 does not separate; intermediate is inconclusive/confounded; direct driver-definition tests are CIRCULAR</x:v>
      </x:c>
      <x:c r="X205" s="48" t="str">
        <x:v>MANAGER_SELF_DESCRIPTION; NOT BEHAVIOURAL FREQUENCY</x:v>
      </x:c>
    </x:row>
    <x:row r="206">
      <x:c r="A206" s="48" t="str">
        <x:v>B_GOVERNANCE_SEGMENTATION</x:v>
      </x:c>
      <x:c r="B206" s="48" t="str">
        <x:v>Tier B v1.1 - N=29 rerun</x:v>
      </x:c>
      <x:c r="C206" s="48" t="str">
        <x:v>2026-07-16</x:v>
      </x:c>
      <x:c r="D206" s="48" t="str">
        <x:v>G12</x:v>
      </x:c>
      <x:c r="E206" s="48" t="str">
        <x:v>GATING_DECISION</x:v>
      </x:c>
      <x:c r="F206" s="48" t="str">
        <x:v>Supermajority voting rule</x:v>
      </x:c>
      <x:c r="G206" s="48" t="str">
        <x:v>strategy</x:v>
      </x:c>
      <x:c r="H206" s="48" t="str">
        <x:v>OPPORTUNISTIC_CONTROL</x:v>
      </x:c>
      <x:c r="I206" s="48" t="str">
        <x:v>1</x:v>
      </x:c>
      <x:c r="J206" s="48" t="str">
        <x:v>0</x:v>
      </x:c>
      <x:c r="K206" s="48" t="str">
        <x:v>0</x:v>
      </x:c>
      <x:c r="L206" s="48" t="str">
        <x:v>1</x:v>
      </x:c>
      <x:c r="M206" s="48" t="str">
        <x:v>1</x:v>
      </x:c>
      <x:c r="N206" s="48" t="str">
        <x:v>0</x:v>
      </x:c>
      <x:c r="O206" s="48" t="str">
        <x:v>0</x:v>
      </x:c>
      <x:c r="P206" s="48" t="str">
        <x:v>0</x:v>
      </x:c>
      <x:c r="Q206" s="48" t="str">
        <x:v>0.000</x:v>
      </x:c>
      <x:c r="R206" s="48" t="str">
        <x:v>DRIVER DOES NOT SEPARATE</x:v>
      </x:c>
      <x:c r="S206" s="48" t="str">
        <x:v>0.133</x:v>
      </x:c>
      <x:c r="T206" s="48" t="str">
        <x:v>CONTROL_BUYOUT:N=15,p=0.133; GROWTH_CONTROL_HYBRID:N=5,p=0.000</x:v>
      </x:c>
      <x:c r="U206" s="48" t="str">
        <x:v>Maximum-minus-minimum prevalence among adequately observed groups is no more than 0.15.</x:v>
      </x:c>
      <x:c r="V206" s="48" t="str">
        <x:v>At least 5 observable manager families in at least 2 driver groups</x:v>
      </x:c>
      <x:c r="W206" s="48" t="str">
        <x:v>&gt;=0.35 separates; &lt;=0.15 does not separate; intermediate is inconclusive/confounded; direct driver-definition tests are CIRCULAR</x:v>
      </x:c>
      <x:c r="X206" s="48" t="str">
        <x:v>MANAGER_SELF_DESCRIPTION; NOT BEHAVIOURAL FREQUENCY</x:v>
      </x:c>
    </x:row>
    <x:row r="207">
      <x:c r="A207" s="48" t="str">
        <x:v>B_GOVERNANCE_SEGMENTATION</x:v>
      </x:c>
      <x:c r="B207" s="48" t="str">
        <x:v>Tier B v1.1 - N=29 rerun</x:v>
      </x:c>
      <x:c r="C207" s="48" t="str">
        <x:v>2026-07-16</x:v>
      </x:c>
      <x:c r="D207" s="48" t="str">
        <x:v>G12</x:v>
      </x:c>
      <x:c r="E207" s="48" t="str">
        <x:v>GATING_DECISION</x:v>
      </x:c>
      <x:c r="F207" s="48" t="str">
        <x:v>Supermajority voting rule</x:v>
      </x:c>
      <x:c r="G207" s="48" t="str">
        <x:v>geography</x:v>
      </x:c>
      <x:c r="H207" s="48" t="str">
        <x:v>ASIA_PACIFIC</x:v>
      </x:c>
      <x:c r="I207" s="48" t="str">
        <x:v>4</x:v>
      </x:c>
      <x:c r="J207" s="48" t="str">
        <x:v>0</x:v>
      </x:c>
      <x:c r="K207" s="48" t="str">
        <x:v>0</x:v>
      </x:c>
      <x:c r="L207" s="48" t="str">
        <x:v>3</x:v>
      </x:c>
      <x:c r="M207" s="48" t="str">
        <x:v>3</x:v>
      </x:c>
      <x:c r="N207" s="48" t="str">
        <x:v>1</x:v>
      </x:c>
      <x:c r="O207" s="48" t="str">
        <x:v>0</x:v>
      </x:c>
      <x:c r="P207" s="48" t="str">
        <x:v>0</x:v>
      </x:c>
      <x:c r="Q207" s="48" t="str">
        <x:v>0.000</x:v>
      </x:c>
      <x:c r="R207" s="48" t="str">
        <x:v>DRIVER DOES NOT SEPARATE</x:v>
      </x:c>
      <x:c r="S207" s="48" t="str">
        <x:v>0.043</x:v>
      </x:c>
      <x:c r="T207" s="48" t="str">
        <x:v>GLOBAL_TRANSATLANTIC:N=7,p=0.143; NORTH_AMERICA:N=10,p=0.100</x:v>
      </x:c>
      <x:c r="U207" s="48" t="str">
        <x:v>Maximum-minus-minimum prevalence among adequately observed groups is no more than 0.15.</x:v>
      </x:c>
      <x:c r="V207" s="48" t="str">
        <x:v>At least 5 observable manager families in at least 2 driver groups</x:v>
      </x:c>
      <x:c r="W207" s="48" t="str">
        <x:v>&gt;=0.35 separates; &lt;=0.15 does not separate; intermediate is inconclusive/confounded; direct driver-definition tests are CIRCULAR</x:v>
      </x:c>
      <x:c r="X207" s="48" t="str">
        <x:v>MANAGER_SELF_DESCRIPTION; NOT BEHAVIOURAL FREQUENCY</x:v>
      </x:c>
    </x:row>
    <x:row r="208">
      <x:c r="A208" s="48" t="str">
        <x:v>B_GOVERNANCE_SEGMENTATION</x:v>
      </x:c>
      <x:c r="B208" s="48" t="str">
        <x:v>Tier B v1.1 - N=29 rerun</x:v>
      </x:c>
      <x:c r="C208" s="48" t="str">
        <x:v>2026-07-16</x:v>
      </x:c>
      <x:c r="D208" s="48" t="str">
        <x:v>G12</x:v>
      </x:c>
      <x:c r="E208" s="48" t="str">
        <x:v>GATING_DECISION</x:v>
      </x:c>
      <x:c r="F208" s="48" t="str">
        <x:v>Supermajority voting rule</x:v>
      </x:c>
      <x:c r="G208" s="48" t="str">
        <x:v>geography</x:v>
      </x:c>
      <x:c r="H208" s="48" t="str">
        <x:v>EUROPE</x:v>
      </x:c>
      <x:c r="I208" s="48" t="str">
        <x:v>2</x:v>
      </x:c>
      <x:c r="J208" s="48" t="str">
        <x:v>0</x:v>
      </x:c>
      <x:c r="K208" s="48" t="str">
        <x:v>0</x:v>
      </x:c>
      <x:c r="L208" s="48" t="str">
        <x:v>1</x:v>
      </x:c>
      <x:c r="M208" s="48" t="str">
        <x:v>1</x:v>
      </x:c>
      <x:c r="N208" s="48" t="str">
        <x:v>1</x:v>
      </x:c>
      <x:c r="O208" s="48" t="str">
        <x:v>0</x:v>
      </x:c>
      <x:c r="P208" s="48" t="str">
        <x:v>0</x:v>
      </x:c>
      <x:c r="Q208" s="48" t="str">
        <x:v>0.000</x:v>
      </x:c>
      <x:c r="R208" s="48" t="str">
        <x:v>DRIVER DOES NOT SEPARATE</x:v>
      </x:c>
      <x:c r="S208" s="48" t="str">
        <x:v>0.043</x:v>
      </x:c>
      <x:c r="T208" s="48" t="str">
        <x:v>GLOBAL_TRANSATLANTIC:N=7,p=0.143; NORTH_AMERICA:N=10,p=0.100</x:v>
      </x:c>
      <x:c r="U208" s="48" t="str">
        <x:v>Maximum-minus-minimum prevalence among adequately observed groups is no more than 0.15.</x:v>
      </x:c>
      <x:c r="V208" s="48" t="str">
        <x:v>At least 5 observable manager families in at least 2 driver groups</x:v>
      </x:c>
      <x:c r="W208" s="48" t="str">
        <x:v>&gt;=0.35 separates; &lt;=0.15 does not separate; intermediate is inconclusive/confounded; direct driver-definition tests are CIRCULAR</x:v>
      </x:c>
      <x:c r="X208" s="48" t="str">
        <x:v>MANAGER_SELF_DESCRIPTION; NOT BEHAVIOURAL FREQUENCY</x:v>
      </x:c>
    </x:row>
    <x:row r="209">
      <x:c r="A209" s="48" t="str">
        <x:v>B_GOVERNANCE_SEGMENTATION</x:v>
      </x:c>
      <x:c r="B209" s="48" t="str">
        <x:v>Tier B v1.1 - N=29 rerun</x:v>
      </x:c>
      <x:c r="C209" s="48" t="str">
        <x:v>2026-07-16</x:v>
      </x:c>
      <x:c r="D209" s="48" t="str">
        <x:v>G12</x:v>
      </x:c>
      <x:c r="E209" s="48" t="str">
        <x:v>GATING_DECISION</x:v>
      </x:c>
      <x:c r="F209" s="48" t="str">
        <x:v>Supermajority voting rule</x:v>
      </x:c>
      <x:c r="G209" s="48" t="str">
        <x:v>geography</x:v>
      </x:c>
      <x:c r="H209" s="48" t="str">
        <x:v>GLOBAL_TRANSATLANTIC</x:v>
      </x:c>
      <x:c r="I209" s="48" t="str">
        <x:v>10</x:v>
      </x:c>
      <x:c r="J209" s="48" t="str">
        <x:v>1</x:v>
      </x:c>
      <x:c r="K209" s="48" t="str">
        <x:v>0</x:v>
      </x:c>
      <x:c r="L209" s="48" t="str">
        <x:v>6</x:v>
      </x:c>
      <x:c r="M209" s="48" t="str">
        <x:v>7</x:v>
      </x:c>
      <x:c r="N209" s="48" t="str">
        <x:v>3</x:v>
      </x:c>
      <x:c r="O209" s="48" t="str">
        <x:v>0</x:v>
      </x:c>
      <x:c r="P209" s="48" t="str">
        <x:v>0</x:v>
      </x:c>
      <x:c r="Q209" s="48" t="str">
        <x:v>0.143</x:v>
      </x:c>
      <x:c r="R209" s="48" t="str">
        <x:v>DRIVER DOES NOT SEPARATE</x:v>
      </x:c>
      <x:c r="S209" s="48" t="str">
        <x:v>0.043</x:v>
      </x:c>
      <x:c r="T209" s="48" t="str">
        <x:v>GLOBAL_TRANSATLANTIC:N=7,p=0.143; NORTH_AMERICA:N=10,p=0.100</x:v>
      </x:c>
      <x:c r="U209" s="48" t="str">
        <x:v>Maximum-minus-minimum prevalence among adequately observed groups is no more than 0.15.</x:v>
      </x:c>
      <x:c r="V209" s="48" t="str">
        <x:v>At least 5 observable manager families in at least 2 driver groups</x:v>
      </x:c>
      <x:c r="W209" s="48" t="str">
        <x:v>&gt;=0.35 separates; &lt;=0.15 does not separate; intermediate is inconclusive/confounded; direct driver-definition tests are CIRCULAR</x:v>
      </x:c>
      <x:c r="X209" s="48" t="str">
        <x:v>MANAGER_SELF_DESCRIPTION; NOT BEHAVIOURAL FREQUENCY</x:v>
      </x:c>
    </x:row>
    <x:row r="210">
      <x:c r="A210" s="48" t="str">
        <x:v>B_GOVERNANCE_SEGMENTATION</x:v>
      </x:c>
      <x:c r="B210" s="48" t="str">
        <x:v>Tier B v1.1 - N=29 rerun</x:v>
      </x:c>
      <x:c r="C210" s="48" t="str">
        <x:v>2026-07-16</x:v>
      </x:c>
      <x:c r="D210" s="48" t="str">
        <x:v>G12</x:v>
      </x:c>
      <x:c r="E210" s="48" t="str">
        <x:v>GATING_DECISION</x:v>
      </x:c>
      <x:c r="F210" s="48" t="str">
        <x:v>Supermajority voting rule</x:v>
      </x:c>
      <x:c r="G210" s="48" t="str">
        <x:v>geography</x:v>
      </x:c>
      <x:c r="H210" s="48" t="str">
        <x:v>NORTH_AMERICA</x:v>
      </x:c>
      <x:c r="I210" s="48" t="str">
        <x:v>13</x:v>
      </x:c>
      <x:c r="J210" s="48" t="str">
        <x:v>1</x:v>
      </x:c>
      <x:c r="K210" s="48" t="str">
        <x:v>0</x:v>
      </x:c>
      <x:c r="L210" s="48" t="str">
        <x:v>9</x:v>
      </x:c>
      <x:c r="M210" s="48" t="str">
        <x:v>10</x:v>
      </x:c>
      <x:c r="N210" s="48" t="str">
        <x:v>3</x:v>
      </x:c>
      <x:c r="O210" s="48" t="str">
        <x:v>0</x:v>
      </x:c>
      <x:c r="P210" s="48" t="str">
        <x:v>0</x:v>
      </x:c>
      <x:c r="Q210" s="48" t="str">
        <x:v>0.100</x:v>
      </x:c>
      <x:c r="R210" s="48" t="str">
        <x:v>DRIVER DOES NOT SEPARATE</x:v>
      </x:c>
      <x:c r="S210" s="48" t="str">
        <x:v>0.043</x:v>
      </x:c>
      <x:c r="T210" s="48" t="str">
        <x:v>GLOBAL_TRANSATLANTIC:N=7,p=0.143; NORTH_AMERICA:N=10,p=0.100</x:v>
      </x:c>
      <x:c r="U210" s="48" t="str">
        <x:v>Maximum-minus-minimum prevalence among adequately observed groups is no more than 0.15.</x:v>
      </x:c>
      <x:c r="V210" s="48" t="str">
        <x:v>At least 5 observable manager families in at least 2 driver groups</x:v>
      </x:c>
      <x:c r="W210" s="48" t="str">
        <x:v>&gt;=0.35 separates; &lt;=0.15 does not separate; intermediate is inconclusive/confounded; direct driver-definition tests are CIRCULAR</x:v>
      </x:c>
      <x:c r="X210" s="48" t="str">
        <x:v>MANAGER_SELF_DESCRIPTION; NOT BEHAVIOURAL FREQUENCY</x:v>
      </x:c>
    </x:row>
    <x:row r="211">
      <x:c r="A211" s="48" t="str">
        <x:v>B_GOVERNANCE_SEGMENTATION</x:v>
      </x:c>
      <x:c r="B211" s="48" t="str">
        <x:v>Tier B v1.1 - N=29 rerun</x:v>
      </x:c>
      <x:c r="C211" s="48" t="str">
        <x:v>2026-07-16</x:v>
      </x:c>
      <x:c r="D211" s="48" t="str">
        <x:v>G12</x:v>
      </x:c>
      <x:c r="E211" s="48" t="str">
        <x:v>GATING_DECISION</x:v>
      </x:c>
      <x:c r="F211" s="48" t="str">
        <x:v>Supermajority voting rule</x:v>
      </x:c>
      <x:c r="G211" s="48" t="str">
        <x:v>source_vintage_bin</x:v>
      </x:c>
      <x:c r="H211" s="48" t="str">
        <x:v>2018_2020</x:v>
      </x:c>
      <x:c r="I211" s="48" t="str">
        <x:v>6</x:v>
      </x:c>
      <x:c r="J211" s="48" t="str">
        <x:v>0</x:v>
      </x:c>
      <x:c r="K211" s="48" t="str">
        <x:v>0</x:v>
      </x:c>
      <x:c r="L211" s="48" t="str">
        <x:v>6</x:v>
      </x:c>
      <x:c r="M211" s="48" t="str">
        <x:v>6</x:v>
      </x:c>
      <x:c r="N211" s="48" t="str">
        <x:v>0</x:v>
      </x:c>
      <x:c r="O211" s="48" t="str">
        <x:v>0</x:v>
      </x:c>
      <x:c r="P211" s="48" t="str">
        <x:v>0</x:v>
      </x:c>
      <x:c r="Q211" s="48" t="str">
        <x:v>0.000</x:v>
      </x:c>
      <x:c r="R211" s="48" t="str">
        <x:v>INCONCLUSIVE OR CONFOUNDED</x:v>
      </x:c>
      <x:c r="S211" s="48" t="str">
        <x:v>0.333</x:v>
      </x:c>
      <x:c r="T211" s="48" t="str">
        <x:v>2018_2020:N=6,p=0.000; 2021_2023:N=6,p=0.333; 2024_2026:N=9,p=0.000</x:v>
      </x:c>
      <x:c r="U211" s="48" t="str">
        <x:v>Adequate groups differ, but the maximum-minus-minimum prevalence lies between 0.15 and 0.35.</x:v>
      </x:c>
      <x:c r="V211" s="48" t="str">
        <x:v>At least 5 observable manager families in at least 2 driver groups</x:v>
      </x:c>
      <x:c r="W211" s="48" t="str">
        <x:v>&gt;=0.35 separates; &lt;=0.15 does not separate; intermediate is inconclusive/confounded; direct driver-definition tests are CIRCULAR</x:v>
      </x:c>
      <x:c r="X211" s="48" t="str">
        <x:v>MANAGER_SELF_DESCRIPTION; NOT BEHAVIOURAL FREQUENCY</x:v>
      </x:c>
    </x:row>
    <x:row r="212">
      <x:c r="A212" s="48" t="str">
        <x:v>B_GOVERNANCE_SEGMENTATION</x:v>
      </x:c>
      <x:c r="B212" s="48" t="str">
        <x:v>Tier B v1.1 - N=29 rerun</x:v>
      </x:c>
      <x:c r="C212" s="48" t="str">
        <x:v>2026-07-16</x:v>
      </x:c>
      <x:c r="D212" s="48" t="str">
        <x:v>G12</x:v>
      </x:c>
      <x:c r="E212" s="48" t="str">
        <x:v>GATING_DECISION</x:v>
      </x:c>
      <x:c r="F212" s="48" t="str">
        <x:v>Supermajority voting rule</x:v>
      </x:c>
      <x:c r="G212" s="48" t="str">
        <x:v>source_vintage_bin</x:v>
      </x:c>
      <x:c r="H212" s="48" t="str">
        <x:v>2021_2023</x:v>
      </x:c>
      <x:c r="I212" s="48" t="str">
        <x:v>11</x:v>
      </x:c>
      <x:c r="J212" s="48" t="str">
        <x:v>2</x:v>
      </x:c>
      <x:c r="K212" s="48" t="str">
        <x:v>0</x:v>
      </x:c>
      <x:c r="L212" s="48" t="str">
        <x:v>4</x:v>
      </x:c>
      <x:c r="M212" s="48" t="str">
        <x:v>6</x:v>
      </x:c>
      <x:c r="N212" s="48" t="str">
        <x:v>5</x:v>
      </x:c>
      <x:c r="O212" s="48" t="str">
        <x:v>0</x:v>
      </x:c>
      <x:c r="P212" s="48" t="str">
        <x:v>0</x:v>
      </x:c>
      <x:c r="Q212" s="48" t="str">
        <x:v>0.333</x:v>
      </x:c>
      <x:c r="R212" s="48" t="str">
        <x:v>INCONCLUSIVE OR CONFOUNDED</x:v>
      </x:c>
      <x:c r="S212" s="48" t="str">
        <x:v>0.333</x:v>
      </x:c>
      <x:c r="T212" s="48" t="str">
        <x:v>2018_2020:N=6,p=0.000; 2021_2023:N=6,p=0.333; 2024_2026:N=9,p=0.000</x:v>
      </x:c>
      <x:c r="U212" s="48" t="str">
        <x:v>Adequate groups differ, but the maximum-minus-minimum prevalence lies between 0.15 and 0.35.</x:v>
      </x:c>
      <x:c r="V212" s="48" t="str">
        <x:v>At least 5 observable manager families in at least 2 driver groups</x:v>
      </x:c>
      <x:c r="W212" s="48" t="str">
        <x:v>&gt;=0.35 separates; &lt;=0.15 does not separate; intermediate is inconclusive/confounded; direct driver-definition tests are CIRCULAR</x:v>
      </x:c>
      <x:c r="X212" s="48" t="str">
        <x:v>MANAGER_SELF_DESCRIPTION; NOT BEHAVIOURAL FREQUENCY</x:v>
      </x:c>
    </x:row>
    <x:row r="213">
      <x:c r="A213" s="48" t="str">
        <x:v>B_GOVERNANCE_SEGMENTATION</x:v>
      </x:c>
      <x:c r="B213" s="48" t="str">
        <x:v>Tier B v1.1 - N=29 rerun</x:v>
      </x:c>
      <x:c r="C213" s="48" t="str">
        <x:v>2026-07-16</x:v>
      </x:c>
      <x:c r="D213" s="48" t="str">
        <x:v>G12</x:v>
      </x:c>
      <x:c r="E213" s="48" t="str">
        <x:v>GATING_DECISION</x:v>
      </x:c>
      <x:c r="F213" s="48" t="str">
        <x:v>Supermajority voting rule</x:v>
      </x:c>
      <x:c r="G213" s="48" t="str">
        <x:v>source_vintage_bin</x:v>
      </x:c>
      <x:c r="H213" s="48" t="str">
        <x:v>2024_2026</x:v>
      </x:c>
      <x:c r="I213" s="48" t="str">
        <x:v>12</x:v>
      </x:c>
      <x:c r="J213" s="48" t="str">
        <x:v>0</x:v>
      </x:c>
      <x:c r="K213" s="48" t="str">
        <x:v>0</x:v>
      </x:c>
      <x:c r="L213" s="48" t="str">
        <x:v>9</x:v>
      </x:c>
      <x:c r="M213" s="48" t="str">
        <x:v>9</x:v>
      </x:c>
      <x:c r="N213" s="48" t="str">
        <x:v>3</x:v>
      </x:c>
      <x:c r="O213" s="48" t="str">
        <x:v>0</x:v>
      </x:c>
      <x:c r="P213" s="48" t="str">
        <x:v>0</x:v>
      </x:c>
      <x:c r="Q213" s="48" t="str">
        <x:v>0.000</x:v>
      </x:c>
      <x:c r="R213" s="48" t="str">
        <x:v>INCONCLUSIVE OR CONFOUNDED</x:v>
      </x:c>
      <x:c r="S213" s="48" t="str">
        <x:v>0.333</x:v>
      </x:c>
      <x:c r="T213" s="48" t="str">
        <x:v>2018_2020:N=6,p=0.000; 2021_2023:N=6,p=0.333; 2024_2026:N=9,p=0.000</x:v>
      </x:c>
      <x:c r="U213" s="48" t="str">
        <x:v>Adequate groups differ, but the maximum-minus-minimum prevalence lies between 0.15 and 0.35.</x:v>
      </x:c>
      <x:c r="V213" s="48" t="str">
        <x:v>At least 5 observable manager families in at least 2 driver groups</x:v>
      </x:c>
      <x:c r="W213" s="48" t="str">
        <x:v>&gt;=0.35 separates; &lt;=0.15 does not separate; intermediate is inconclusive/confounded; direct driver-definition tests are CIRCULAR</x:v>
      </x:c>
      <x:c r="X213" s="48" t="str">
        <x:v>MANAGER_SELF_DESCRIPTION; NOT BEHAVIOURAL FREQUENCY</x:v>
      </x:c>
    </x:row>
    <x:row r="214">
      <x:c r="A214" s="48" t="str">
        <x:v>B_GOVERNANCE_SEGMENTATION</x:v>
      </x:c>
      <x:c r="B214" s="48" t="str">
        <x:v>Tier B v1.1 - N=29 rerun</x:v>
      </x:c>
      <x:c r="C214" s="48" t="str">
        <x:v>2026-07-16</x:v>
      </x:c>
      <x:c r="D214" s="48" t="str">
        <x:v>G12</x:v>
      </x:c>
      <x:c r="E214" s="48" t="str">
        <x:v>GATING_DECISION</x:v>
      </x:c>
      <x:c r="F214" s="48" t="str">
        <x:v>Supermajority voting rule</x:v>
      </x:c>
      <x:c r="G214" s="48" t="str">
        <x:v>governance_architecture</x:v>
      </x:c>
      <x:c r="H214" s="48" t="str">
        <x:v>IC_FINAL_OR_DE_FACTO</x:v>
      </x:c>
      <x:c r="I214" s="48" t="str">
        <x:v>26</x:v>
      </x:c>
      <x:c r="J214" s="48" t="str">
        <x:v>2</x:v>
      </x:c>
      <x:c r="K214" s="48" t="str">
        <x:v>0</x:v>
      </x:c>
      <x:c r="L214" s="48" t="str">
        <x:v>16</x:v>
      </x:c>
      <x:c r="M214" s="48" t="str">
        <x:v>18</x:v>
      </x:c>
      <x:c r="N214" s="48" t="str">
        <x:v>8</x:v>
      </x:c>
      <x:c r="O214" s="48" t="str">
        <x:v>0</x:v>
      </x:c>
      <x:c r="P214" s="48" t="str">
        <x:v>0</x:v>
      </x:c>
      <x:c r="Q214" s="48" t="str">
        <x:v>0.111</x:v>
      </x:c>
      <x:c r="R214" s="48" t="str">
        <x:v>N TOO SMALL</x:v>
      </x:c>
      <x:c r="S214" s="48" t="str"/>
      <x:c r="T214" s="48" t="str">
        <x:v>IC_FINAL_OR_DE_FACTO:N=18,p=0.111</x:v>
      </x:c>
      <x:c r="U214" s="48" t="str">
        <x:v>Fewer than two driver groups have at least 5 observable manager families.</x:v>
      </x:c>
      <x:c r="V214" s="48" t="str">
        <x:v>At least 5 observable manager families in at least 2 driver groups</x:v>
      </x:c>
      <x:c r="W214" s="48" t="str">
        <x:v>&gt;=0.35 separates; &lt;=0.15 does not separate; intermediate is inconclusive/confounded; direct driver-definition tests are CIRCULAR</x:v>
      </x:c>
      <x:c r="X214" s="48" t="str">
        <x:v>MANAGER_SELF_DESCRIPTION; NOT BEHAVIOURAL FREQUENCY</x:v>
      </x:c>
    </x:row>
    <x:row r="215">
      <x:c r="A215" s="48" t="str">
        <x:v>B_GOVERNANCE_SEGMENTATION</x:v>
      </x:c>
      <x:c r="B215" s="48" t="str">
        <x:v>Tier B v1.1 - N=29 rerun</x:v>
      </x:c>
      <x:c r="C215" s="48" t="str">
        <x:v>2026-07-16</x:v>
      </x:c>
      <x:c r="D215" s="48" t="str">
        <x:v>G12</x:v>
      </x:c>
      <x:c r="E215" s="48" t="str">
        <x:v>GATING_DECISION</x:v>
      </x:c>
      <x:c r="F215" s="48" t="str">
        <x:v>Supermajority voting rule</x:v>
      </x:c>
      <x:c r="G215" s="48" t="str">
        <x:v>governance_architecture</x:v>
      </x:c>
      <x:c r="H215" s="48" t="str">
        <x:v>IC_RECOMMENDS_SEPARATE_FINAL_AUTHORITY</x:v>
      </x:c>
      <x:c r="I215" s="48" t="str">
        <x:v>3</x:v>
      </x:c>
      <x:c r="J215" s="48" t="str">
        <x:v>0</x:v>
      </x:c>
      <x:c r="K215" s="48" t="str">
        <x:v>0</x:v>
      </x:c>
      <x:c r="L215" s="48" t="str">
        <x:v>3</x:v>
      </x:c>
      <x:c r="M215" s="48" t="str">
        <x:v>3</x:v>
      </x:c>
      <x:c r="N215" s="48" t="str">
        <x:v>0</x:v>
      </x:c>
      <x:c r="O215" s="48" t="str">
        <x:v>0</x:v>
      </x:c>
      <x:c r="P215" s="48" t="str">
        <x:v>0</x:v>
      </x:c>
      <x:c r="Q215" s="48" t="str">
        <x:v>0.000</x:v>
      </x:c>
      <x:c r="R215" s="48" t="str">
        <x:v>N TOO SMALL</x:v>
      </x:c>
      <x:c r="S215" s="48" t="str"/>
      <x:c r="T215" s="48" t="str">
        <x:v>IC_FINAL_OR_DE_FACTO:N=18,p=0.111</x:v>
      </x:c>
      <x:c r="U215" s="48" t="str">
        <x:v>Fewer than two driver groups have at least 5 observable manager families.</x:v>
      </x:c>
      <x:c r="V215" s="48" t="str">
        <x:v>At least 5 observable manager families in at least 2 driver groups</x:v>
      </x:c>
      <x:c r="W215" s="48" t="str">
        <x:v>&gt;=0.35 separates; &lt;=0.15 does not separate; intermediate is inconclusive/confounded; direct driver-definition tests are CIRCULAR</x:v>
      </x:c>
      <x:c r="X215" s="48" t="str">
        <x:v>MANAGER_SELF_DESCRIPTION; NOT BEHAVIOURAL FREQUENCY</x:v>
      </x:c>
    </x:row>
    <x:row r="216">
      <x:c r="A216" s="48" t="str">
        <x:v>B_GOVERNANCE_SEGMENTATION</x:v>
      </x:c>
      <x:c r="B216" s="48" t="str">
        <x:v>Tier B v1.1 - N=29 rerun</x:v>
      </x:c>
      <x:c r="C216" s="48" t="str">
        <x:v>2026-07-16</x:v>
      </x:c>
      <x:c r="D216" s="48" t="str">
        <x:v>G12</x:v>
      </x:c>
      <x:c r="E216" s="48" t="str">
        <x:v>GATING_DECISION</x:v>
      </x:c>
      <x:c r="F216" s="48" t="str">
        <x:v>Supermajority voting rule</x:v>
      </x:c>
      <x:c r="G216" s="48" t="str">
        <x:v>dedicated_operating_team</x:v>
      </x:c>
      <x:c r="H216" s="48" t="str">
        <x:v>NO_OR_LIMITED</x:v>
      </x:c>
      <x:c r="I216" s="48" t="str">
        <x:v>6</x:v>
      </x:c>
      <x:c r="J216" s="48" t="str">
        <x:v>0</x:v>
      </x:c>
      <x:c r="K216" s="48" t="str">
        <x:v>0</x:v>
      </x:c>
      <x:c r="L216" s="48" t="str">
        <x:v>5</x:v>
      </x:c>
      <x:c r="M216" s="48" t="str">
        <x:v>5</x:v>
      </x:c>
      <x:c r="N216" s="48" t="str">
        <x:v>1</x:v>
      </x:c>
      <x:c r="O216" s="48" t="str">
        <x:v>0</x:v>
      </x:c>
      <x:c r="P216" s="48" t="str">
        <x:v>0</x:v>
      </x:c>
      <x:c r="Q216" s="48" t="str">
        <x:v>0.000</x:v>
      </x:c>
      <x:c r="R216" s="48" t="str">
        <x:v>DRIVER DOES NOT SEPARATE</x:v>
      </x:c>
      <x:c r="S216" s="48" t="str">
        <x:v>0.125</x:v>
      </x:c>
      <x:c r="T216" s="48" t="str">
        <x:v>NO_OR_LIMITED:N=5,p=0.000; YES_DEDICATED:N=16,p=0.125</x:v>
      </x:c>
      <x:c r="U216" s="48" t="str">
        <x:v>Maximum-minus-minimum prevalence among adequately observed groups is no more than 0.15.</x:v>
      </x:c>
      <x:c r="V216" s="48" t="str">
        <x:v>At least 5 observable manager families in at least 2 driver groups</x:v>
      </x:c>
      <x:c r="W216" s="48" t="str">
        <x:v>&gt;=0.35 separates; &lt;=0.15 does not separate; intermediate is inconclusive/confounded; direct driver-definition tests are CIRCULAR</x:v>
      </x:c>
      <x:c r="X216" s="48" t="str">
        <x:v>MANAGER_SELF_DESCRIPTION; NOT BEHAVIOURAL FREQUENCY</x:v>
      </x:c>
    </x:row>
    <x:row r="217">
      <x:c r="A217" s="48" t="str">
        <x:v>B_GOVERNANCE_SEGMENTATION</x:v>
      </x:c>
      <x:c r="B217" s="48" t="str">
        <x:v>Tier B v1.1 - N=29 rerun</x:v>
      </x:c>
      <x:c r="C217" s="48" t="str">
        <x:v>2026-07-16</x:v>
      </x:c>
      <x:c r="D217" s="48" t="str">
        <x:v>G12</x:v>
      </x:c>
      <x:c r="E217" s="48" t="str">
        <x:v>GATING_DECISION</x:v>
      </x:c>
      <x:c r="F217" s="48" t="str">
        <x:v>Supermajority voting rule</x:v>
      </x:c>
      <x:c r="G217" s="48" t="str">
        <x:v>dedicated_operating_team</x:v>
      </x:c>
      <x:c r="H217" s="48" t="str">
        <x:v>YES_DEDICATED</x:v>
      </x:c>
      <x:c r="I217" s="48" t="str">
        <x:v>23</x:v>
      </x:c>
      <x:c r="J217" s="48" t="str">
        <x:v>2</x:v>
      </x:c>
      <x:c r="K217" s="48" t="str">
        <x:v>0</x:v>
      </x:c>
      <x:c r="L217" s="48" t="str">
        <x:v>14</x:v>
      </x:c>
      <x:c r="M217" s="48" t="str">
        <x:v>16</x:v>
      </x:c>
      <x:c r="N217" s="48" t="str">
        <x:v>7</x:v>
      </x:c>
      <x:c r="O217" s="48" t="str">
        <x:v>0</x:v>
      </x:c>
      <x:c r="P217" s="48" t="str">
        <x:v>0</x:v>
      </x:c>
      <x:c r="Q217" s="48" t="str">
        <x:v>0.125</x:v>
      </x:c>
      <x:c r="R217" s="48" t="str">
        <x:v>DRIVER DOES NOT SEPARATE</x:v>
      </x:c>
      <x:c r="S217" s="48" t="str">
        <x:v>0.125</x:v>
      </x:c>
      <x:c r="T217" s="48" t="str">
        <x:v>NO_OR_LIMITED:N=5,p=0.000; YES_DEDICATED:N=16,p=0.125</x:v>
      </x:c>
      <x:c r="U217" s="48" t="str">
        <x:v>Maximum-minus-minimum prevalence among adequately observed groups is no more than 0.15.</x:v>
      </x:c>
      <x:c r="V217" s="48" t="str">
        <x:v>At least 5 observable manager families in at least 2 driver groups</x:v>
      </x:c>
      <x:c r="W217" s="48" t="str">
        <x:v>&gt;=0.35 separates; &lt;=0.15 does not separate; intermediate is inconclusive/confounded; direct driver-definition tests are CIRCULAR</x:v>
      </x:c>
      <x:c r="X217" s="48" t="str">
        <x:v>MANAGER_SELF_DESCRIPTION; NOT BEHAVIOURAL FREQUENCY</x:v>
      </x:c>
    </x:row>
    <x:row r="218">
      <x:c r="A218" s="48" t="str">
        <x:v>B_GOVERNANCE_SEGMENTATION</x:v>
      </x:c>
      <x:c r="B218" s="48" t="str">
        <x:v>Tier B v1.1 - N=29 rerun</x:v>
      </x:c>
      <x:c r="C218" s="48" t="str">
        <x:v>2026-07-16</x:v>
      </x:c>
      <x:c r="D218" s="48" t="str">
        <x:v>G13</x:v>
      </x:c>
      <x:c r="E218" s="48" t="str">
        <x:v>GATING_DECISION</x:v>
      </x:c>
      <x:c r="F218" s="48" t="str">
        <x:v>Unanimity or full-support voting rule</x:v>
      </x:c>
      <x:c r="G218" s="48" t="str">
        <x:v>fund_size_archetype</x:v>
      </x:c>
      <x:c r="H218" s="48" t="str">
        <x:v>LARGE_2_TO_LT_5B</x:v>
      </x:c>
      <x:c r="I218" s="48" t="str">
        <x:v>9</x:v>
      </x:c>
      <x:c r="J218" s="48" t="str">
        <x:v>1</x:v>
      </x:c>
      <x:c r="K218" s="48" t="str">
        <x:v>0</x:v>
      </x:c>
      <x:c r="L218" s="48" t="str">
        <x:v>7</x:v>
      </x:c>
      <x:c r="M218" s="48" t="str">
        <x:v>8</x:v>
      </x:c>
      <x:c r="N218" s="48" t="str">
        <x:v>1</x:v>
      </x:c>
      <x:c r="O218" s="48" t="str">
        <x:v>0</x:v>
      </x:c>
      <x:c r="P218" s="48" t="str">
        <x:v>0</x:v>
      </x:c>
      <x:c r="Q218" s="48" t="str">
        <x:v>0.125</x:v>
      </x:c>
      <x:c r="R218" s="48" t="str">
        <x:v>DRIVER SEPARATES</x:v>
      </x:c>
      <x:c r="S218" s="48" t="str">
        <x:v>0.375</x:v>
      </x:c>
      <x:c r="T218" s="48" t="str">
        <x:v>LARGE_2_TO_LT_5B:N=8,p=0.125; MEGA_GE_5B:N=8,p=0.500</x:v>
      </x:c>
      <x:c r="U218" s="48" t="str">
        <x:v>Maximum-minus-minimum prevalence among adequately observed groups is at least 0.35.</x:v>
      </x:c>
      <x:c r="V218" s="48" t="str">
        <x:v>At least 5 observable manager families in at least 2 driver groups</x:v>
      </x:c>
      <x:c r="W218" s="48" t="str">
        <x:v>&gt;=0.35 separates; &lt;=0.15 does not separate; intermediate is inconclusive/confounded; direct driver-definition tests are CIRCULAR</x:v>
      </x:c>
      <x:c r="X218" s="48" t="str">
        <x:v>MANAGER_SELF_DESCRIPTION; NOT BEHAVIOURAL FREQUENCY</x:v>
      </x:c>
    </x:row>
    <x:row r="219">
      <x:c r="A219" s="48" t="str">
        <x:v>B_GOVERNANCE_SEGMENTATION</x:v>
      </x:c>
      <x:c r="B219" s="48" t="str">
        <x:v>Tier B v1.1 - N=29 rerun</x:v>
      </x:c>
      <x:c r="C219" s="48" t="str">
        <x:v>2026-07-16</x:v>
      </x:c>
      <x:c r="D219" s="48" t="str">
        <x:v>G13</x:v>
      </x:c>
      <x:c r="E219" s="48" t="str">
        <x:v>GATING_DECISION</x:v>
      </x:c>
      <x:c r="F219" s="48" t="str">
        <x:v>Unanimity or full-support voting rule</x:v>
      </x:c>
      <x:c r="G219" s="48" t="str">
        <x:v>fund_size_archetype</x:v>
      </x:c>
      <x:c r="H219" s="48" t="str">
        <x:v>LOWER_MID_LT_2B</x:v>
      </x:c>
      <x:c r="I219" s="48" t="str">
        <x:v>8</x:v>
      </x:c>
      <x:c r="J219" s="48" t="str">
        <x:v>2</x:v>
      </x:c>
      <x:c r="K219" s="48" t="str">
        <x:v>0</x:v>
      </x:c>
      <x:c r="L219" s="48" t="str">
        <x:v>2</x:v>
      </x:c>
      <x:c r="M219" s="48" t="str">
        <x:v>4</x:v>
      </x:c>
      <x:c r="N219" s="48" t="str">
        <x:v>4</x:v>
      </x:c>
      <x:c r="O219" s="48" t="str">
        <x:v>0</x:v>
      </x:c>
      <x:c r="P219" s="48" t="str">
        <x:v>0</x:v>
      </x:c>
      <x:c r="Q219" s="48" t="str">
        <x:v>0.500</x:v>
      </x:c>
      <x:c r="R219" s="48" t="str">
        <x:v>DRIVER SEPARATES</x:v>
      </x:c>
      <x:c r="S219" s="48" t="str">
        <x:v>0.375</x:v>
      </x:c>
      <x:c r="T219" s="48" t="str">
        <x:v>LARGE_2_TO_LT_5B:N=8,p=0.125; MEGA_GE_5B:N=8,p=0.500</x:v>
      </x:c>
      <x:c r="U219" s="48" t="str">
        <x:v>Maximum-minus-minimum prevalence among adequately observed groups is at least 0.35.</x:v>
      </x:c>
      <x:c r="V219" s="48" t="str">
        <x:v>At least 5 observable manager families in at least 2 driver groups</x:v>
      </x:c>
      <x:c r="W219" s="48" t="str">
        <x:v>&gt;=0.35 separates; &lt;=0.15 does not separate; intermediate is inconclusive/confounded; direct driver-definition tests are CIRCULAR</x:v>
      </x:c>
      <x:c r="X219" s="48" t="str">
        <x:v>MANAGER_SELF_DESCRIPTION; NOT BEHAVIOURAL FREQUENCY</x:v>
      </x:c>
    </x:row>
    <x:row r="220">
      <x:c r="A220" s="48" t="str">
        <x:v>B_GOVERNANCE_SEGMENTATION</x:v>
      </x:c>
      <x:c r="B220" s="48" t="str">
        <x:v>Tier B v1.1 - N=29 rerun</x:v>
      </x:c>
      <x:c r="C220" s="48" t="str">
        <x:v>2026-07-16</x:v>
      </x:c>
      <x:c r="D220" s="48" t="str">
        <x:v>G13</x:v>
      </x:c>
      <x:c r="E220" s="48" t="str">
        <x:v>GATING_DECISION</x:v>
      </x:c>
      <x:c r="F220" s="48" t="str">
        <x:v>Unanimity or full-support voting rule</x:v>
      </x:c>
      <x:c r="G220" s="48" t="str">
        <x:v>fund_size_archetype</x:v>
      </x:c>
      <x:c r="H220" s="48" t="str">
        <x:v>MEGA_GE_5B</x:v>
      </x:c>
      <x:c r="I220" s="48" t="str">
        <x:v>11</x:v>
      </x:c>
      <x:c r="J220" s="48" t="str">
        <x:v>4</x:v>
      </x:c>
      <x:c r="K220" s="48" t="str">
        <x:v>1</x:v>
      </x:c>
      <x:c r="L220" s="48" t="str">
        <x:v>4</x:v>
      </x:c>
      <x:c r="M220" s="48" t="str">
        <x:v>8</x:v>
      </x:c>
      <x:c r="N220" s="48" t="str">
        <x:v>3</x:v>
      </x:c>
      <x:c r="O220" s="48" t="str">
        <x:v>0</x:v>
      </x:c>
      <x:c r="P220" s="48" t="str">
        <x:v>0</x:v>
      </x:c>
      <x:c r="Q220" s="48" t="str">
        <x:v>0.500</x:v>
      </x:c>
      <x:c r="R220" s="48" t="str">
        <x:v>DRIVER SEPARATES</x:v>
      </x:c>
      <x:c r="S220" s="48" t="str">
        <x:v>0.375</x:v>
      </x:c>
      <x:c r="T220" s="48" t="str">
        <x:v>LARGE_2_TO_LT_5B:N=8,p=0.125; MEGA_GE_5B:N=8,p=0.500</x:v>
      </x:c>
      <x:c r="U220" s="48" t="str">
        <x:v>Maximum-minus-minimum prevalence among adequately observed groups is at least 0.35.</x:v>
      </x:c>
      <x:c r="V220" s="48" t="str">
        <x:v>At least 5 observable manager families in at least 2 driver groups</x:v>
      </x:c>
      <x:c r="W220" s="48" t="str">
        <x:v>&gt;=0.35 separates; &lt;=0.15 does not separate; intermediate is inconclusive/confounded; direct driver-definition tests are CIRCULAR</x:v>
      </x:c>
      <x:c r="X220" s="48" t="str">
        <x:v>MANAGER_SELF_DESCRIPTION; NOT BEHAVIOURAL FREQUENCY</x:v>
      </x:c>
    </x:row>
    <x:row r="221">
      <x:c r="A221" s="48" t="str">
        <x:v>B_GOVERNANCE_SEGMENTATION</x:v>
      </x:c>
      <x:c r="B221" s="48" t="str">
        <x:v>Tier B v1.1 - N=29 rerun</x:v>
      </x:c>
      <x:c r="C221" s="48" t="str">
        <x:v>2026-07-16</x:v>
      </x:c>
      <x:c r="D221" s="48" t="str">
        <x:v>G13</x:v>
      </x:c>
      <x:c r="E221" s="48" t="str">
        <x:v>GATING_DECISION</x:v>
      </x:c>
      <x:c r="F221" s="48" t="str">
        <x:v>Unanimity or full-support voting rule</x:v>
      </x:c>
      <x:c r="G221" s="48" t="str">
        <x:v>fund_size_archetype</x:v>
      </x:c>
      <x:c r="H221" s="48" t="str">
        <x:v>NOT_APPLICABLE</x:v>
      </x:c>
      <x:c r="I221" s="48" t="str">
        <x:v>1</x:v>
      </x:c>
      <x:c r="J221" s="48" t="str">
        <x:v>0</x:v>
      </x:c>
      <x:c r="K221" s="48" t="str">
        <x:v>0</x:v>
      </x:c>
      <x:c r="L221" s="48" t="str">
        <x:v>1</x:v>
      </x:c>
      <x:c r="M221" s="48" t="str">
        <x:v>1</x:v>
      </x:c>
      <x:c r="N221" s="48" t="str">
        <x:v>0</x:v>
      </x:c>
      <x:c r="O221" s="48" t="str">
        <x:v>0</x:v>
      </x:c>
      <x:c r="P221" s="48" t="str">
        <x:v>0</x:v>
      </x:c>
      <x:c r="Q221" s="48" t="str">
        <x:v>0.000</x:v>
      </x:c>
      <x:c r="R221" s="48" t="str">
        <x:v>DRIVER SEPARATES</x:v>
      </x:c>
      <x:c r="S221" s="48" t="str">
        <x:v>0.375</x:v>
      </x:c>
      <x:c r="T221" s="48" t="str">
        <x:v>LARGE_2_TO_LT_5B:N=8,p=0.125; MEGA_GE_5B:N=8,p=0.500</x:v>
      </x:c>
      <x:c r="U221" s="48" t="str">
        <x:v>Maximum-minus-minimum prevalence among adequately observed groups is at least 0.35.</x:v>
      </x:c>
      <x:c r="V221" s="48" t="str">
        <x:v>At least 5 observable manager families in at least 2 driver groups</x:v>
      </x:c>
      <x:c r="W221" s="48" t="str">
        <x:v>&gt;=0.35 separates; &lt;=0.15 does not separate; intermediate is inconclusive/confounded; direct driver-definition tests are CIRCULAR</x:v>
      </x:c>
      <x:c r="X221" s="48" t="str">
        <x:v>MANAGER_SELF_DESCRIPTION; NOT BEHAVIOURAL FREQUENCY</x:v>
      </x:c>
    </x:row>
    <x:row r="222">
      <x:c r="A222" s="48" t="str">
        <x:v>B_GOVERNANCE_SEGMENTATION</x:v>
      </x:c>
      <x:c r="B222" s="48" t="str">
        <x:v>Tier B v1.1 - N=29 rerun</x:v>
      </x:c>
      <x:c r="C222" s="48" t="str">
        <x:v>2026-07-16</x:v>
      </x:c>
      <x:c r="D222" s="48" t="str">
        <x:v>G13</x:v>
      </x:c>
      <x:c r="E222" s="48" t="str">
        <x:v>GATING_DECISION</x:v>
      </x:c>
      <x:c r="F222" s="48" t="str">
        <x:v>Unanimity or full-support voting rule</x:v>
      </x:c>
      <x:c r="G222" s="48" t="str">
        <x:v>strategy</x:v>
      </x:c>
      <x:c r="H222" s="48" t="str">
        <x:v>CONTROL_BUYOUT</x:v>
      </x:c>
      <x:c r="I222" s="48" t="str">
        <x:v>22</x:v>
      </x:c>
      <x:c r="J222" s="48" t="str">
        <x:v>4</x:v>
      </x:c>
      <x:c r="K222" s="48" t="str">
        <x:v>0</x:v>
      </x:c>
      <x:c r="L222" s="48" t="str">
        <x:v>11</x:v>
      </x:c>
      <x:c r="M222" s="48" t="str">
        <x:v>15</x:v>
      </x:c>
      <x:c r="N222" s="48" t="str">
        <x:v>7</x:v>
      </x:c>
      <x:c r="O222" s="48" t="str">
        <x:v>0</x:v>
      </x:c>
      <x:c r="P222" s="48" t="str">
        <x:v>0</x:v>
      </x:c>
      <x:c r="Q222" s="48" t="str">
        <x:v>0.267</x:v>
      </x:c>
      <x:c r="R222" s="48" t="str">
        <x:v>INCONCLUSIVE OR CONFOUNDED</x:v>
      </x:c>
      <x:c r="S222" s="48" t="str">
        <x:v>0.333</x:v>
      </x:c>
      <x:c r="T222" s="48" t="str">
        <x:v>CONTROL_BUYOUT:N=15,p=0.267; GROWTH_CONTROL_HYBRID:N=5,p=0.600</x:v>
      </x:c>
      <x:c r="U222" s="48" t="str">
        <x:v>Adequate groups differ, but the maximum-minus-minimum prevalence lies between 0.15 and 0.35.</x:v>
      </x:c>
      <x:c r="V222" s="48" t="str">
        <x:v>At least 5 observable manager families in at least 2 driver groups</x:v>
      </x:c>
      <x:c r="W222" s="48" t="str">
        <x:v>&gt;=0.35 separates; &lt;=0.15 does not separate; intermediate is inconclusive/confounded; direct driver-definition tests are CIRCULAR</x:v>
      </x:c>
      <x:c r="X222" s="48" t="str">
        <x:v>MANAGER_SELF_DESCRIPTION; NOT BEHAVIOURAL FREQUENCY</x:v>
      </x:c>
    </x:row>
    <x:row r="223">
      <x:c r="A223" s="48" t="str">
        <x:v>B_GOVERNANCE_SEGMENTATION</x:v>
      </x:c>
      <x:c r="B223" s="48" t="str">
        <x:v>Tier B v1.1 - N=29 rerun</x:v>
      </x:c>
      <x:c r="C223" s="48" t="str">
        <x:v>2026-07-16</x:v>
      </x:c>
      <x:c r="D223" s="48" t="str">
        <x:v>G13</x:v>
      </x:c>
      <x:c r="E223" s="48" t="str">
        <x:v>GATING_DECISION</x:v>
      </x:c>
      <x:c r="F223" s="48" t="str">
        <x:v>Unanimity or full-support voting rule</x:v>
      </x:c>
      <x:c r="G223" s="48" t="str">
        <x:v>strategy</x:v>
      </x:c>
      <x:c r="H223" s="48" t="str">
        <x:v>GROWTH_CONTROL_HYBRID</x:v>
      </x:c>
      <x:c r="I223" s="48" t="str">
        <x:v>6</x:v>
      </x:c>
      <x:c r="J223" s="48" t="str">
        <x:v>3</x:v>
      </x:c>
      <x:c r="K223" s="48" t="str">
        <x:v>1</x:v>
      </x:c>
      <x:c r="L223" s="48" t="str">
        <x:v>2</x:v>
      </x:c>
      <x:c r="M223" s="48" t="str">
        <x:v>5</x:v>
      </x:c>
      <x:c r="N223" s="48" t="str">
        <x:v>1</x:v>
      </x:c>
      <x:c r="O223" s="48" t="str">
        <x:v>0</x:v>
      </x:c>
      <x:c r="P223" s="48" t="str">
        <x:v>0</x:v>
      </x:c>
      <x:c r="Q223" s="48" t="str">
        <x:v>0.600</x:v>
      </x:c>
      <x:c r="R223" s="48" t="str">
        <x:v>INCONCLUSIVE OR CONFOUNDED</x:v>
      </x:c>
      <x:c r="S223" s="48" t="str">
        <x:v>0.333</x:v>
      </x:c>
      <x:c r="T223" s="48" t="str">
        <x:v>CONTROL_BUYOUT:N=15,p=0.267; GROWTH_CONTROL_HYBRID:N=5,p=0.600</x:v>
      </x:c>
      <x:c r="U223" s="48" t="str">
        <x:v>Adequate groups differ, but the maximum-minus-minimum prevalence lies between 0.15 and 0.35.</x:v>
      </x:c>
      <x:c r="V223" s="48" t="str">
        <x:v>At least 5 observable manager families in at least 2 driver groups</x:v>
      </x:c>
      <x:c r="W223" s="48" t="str">
        <x:v>&gt;=0.35 separates; &lt;=0.15 does not separate; intermediate is inconclusive/confounded; direct driver-definition tests are CIRCULAR</x:v>
      </x:c>
      <x:c r="X223" s="48" t="str">
        <x:v>MANAGER_SELF_DESCRIPTION; NOT BEHAVIOURAL FREQUENCY</x:v>
      </x:c>
    </x:row>
    <x:row r="224">
      <x:c r="A224" s="48" t="str">
        <x:v>B_GOVERNANCE_SEGMENTATION</x:v>
      </x:c>
      <x:c r="B224" s="48" t="str">
        <x:v>Tier B v1.1 - N=29 rerun</x:v>
      </x:c>
      <x:c r="C224" s="48" t="str">
        <x:v>2026-07-16</x:v>
      </x:c>
      <x:c r="D224" s="48" t="str">
        <x:v>G13</x:v>
      </x:c>
      <x:c r="E224" s="48" t="str">
        <x:v>GATING_DECISION</x:v>
      </x:c>
      <x:c r="F224" s="48" t="str">
        <x:v>Unanimity or full-support voting rule</x:v>
      </x:c>
      <x:c r="G224" s="48" t="str">
        <x:v>strategy</x:v>
      </x:c>
      <x:c r="H224" s="48" t="str">
        <x:v>OPPORTUNISTIC_CONTROL</x:v>
      </x:c>
      <x:c r="I224" s="48" t="str">
        <x:v>1</x:v>
      </x:c>
      <x:c r="J224" s="48" t="str">
        <x:v>0</x:v>
      </x:c>
      <x:c r="K224" s="48" t="str">
        <x:v>0</x:v>
      </x:c>
      <x:c r="L224" s="48" t="str">
        <x:v>1</x:v>
      </x:c>
      <x:c r="M224" s="48" t="str">
        <x:v>1</x:v>
      </x:c>
      <x:c r="N224" s="48" t="str">
        <x:v>0</x:v>
      </x:c>
      <x:c r="O224" s="48" t="str">
        <x:v>0</x:v>
      </x:c>
      <x:c r="P224" s="48" t="str">
        <x:v>0</x:v>
      </x:c>
      <x:c r="Q224" s="48" t="str">
        <x:v>0.000</x:v>
      </x:c>
      <x:c r="R224" s="48" t="str">
        <x:v>INCONCLUSIVE OR CONFOUNDED</x:v>
      </x:c>
      <x:c r="S224" s="48" t="str">
        <x:v>0.333</x:v>
      </x:c>
      <x:c r="T224" s="48" t="str">
        <x:v>CONTROL_BUYOUT:N=15,p=0.267; GROWTH_CONTROL_HYBRID:N=5,p=0.600</x:v>
      </x:c>
      <x:c r="U224" s="48" t="str">
        <x:v>Adequate groups differ, but the maximum-minus-minimum prevalence lies between 0.15 and 0.35.</x:v>
      </x:c>
      <x:c r="V224" s="48" t="str">
        <x:v>At least 5 observable manager families in at least 2 driver groups</x:v>
      </x:c>
      <x:c r="W224" s="48" t="str">
        <x:v>&gt;=0.35 separates; &lt;=0.15 does not separate; intermediate is inconclusive/confounded; direct driver-definition tests are CIRCULAR</x:v>
      </x:c>
      <x:c r="X224" s="48" t="str">
        <x:v>MANAGER_SELF_DESCRIPTION; NOT BEHAVIOURAL FREQUENCY</x:v>
      </x:c>
    </x:row>
    <x:row r="225">
      <x:c r="A225" s="48" t="str">
        <x:v>B_GOVERNANCE_SEGMENTATION</x:v>
      </x:c>
      <x:c r="B225" s="48" t="str">
        <x:v>Tier B v1.1 - N=29 rerun</x:v>
      </x:c>
      <x:c r="C225" s="48" t="str">
        <x:v>2026-07-16</x:v>
      </x:c>
      <x:c r="D225" s="48" t="str">
        <x:v>G13</x:v>
      </x:c>
      <x:c r="E225" s="48" t="str">
        <x:v>GATING_DECISION</x:v>
      </x:c>
      <x:c r="F225" s="48" t="str">
        <x:v>Unanimity or full-support voting rule</x:v>
      </x:c>
      <x:c r="G225" s="48" t="str">
        <x:v>geography</x:v>
      </x:c>
      <x:c r="H225" s="48" t="str">
        <x:v>ASIA_PACIFIC</x:v>
      </x:c>
      <x:c r="I225" s="48" t="str">
        <x:v>4</x:v>
      </x:c>
      <x:c r="J225" s="48" t="str">
        <x:v>2</x:v>
      </x:c>
      <x:c r="K225" s="48" t="str">
        <x:v>0</x:v>
      </x:c>
      <x:c r="L225" s="48" t="str">
        <x:v>1</x:v>
      </x:c>
      <x:c r="M225" s="48" t="str">
        <x:v>3</x:v>
      </x:c>
      <x:c r="N225" s="48" t="str">
        <x:v>1</x:v>
      </x:c>
      <x:c r="O225" s="48" t="str">
        <x:v>0</x:v>
      </x:c>
      <x:c r="P225" s="48" t="str">
        <x:v>0</x:v>
      </x:c>
      <x:c r="Q225" s="48" t="str">
        <x:v>0.667</x:v>
      </x:c>
      <x:c r="R225" s="48" t="str">
        <x:v>INCONCLUSIVE OR CONFOUNDED</x:v>
      </x:c>
      <x:c r="S225" s="48" t="str">
        <x:v>0.229</x:v>
      </x:c>
      <x:c r="T225" s="48" t="str">
        <x:v>GLOBAL_TRANSATLANTIC:N=7,p=0.429; NORTH_AMERICA:N=10,p=0.200</x:v>
      </x:c>
      <x:c r="U225" s="48" t="str">
        <x:v>Adequate groups differ, but the maximum-minus-minimum prevalence lies between 0.15 and 0.35.</x:v>
      </x:c>
      <x:c r="V225" s="48" t="str">
        <x:v>At least 5 observable manager families in at least 2 driver groups</x:v>
      </x:c>
      <x:c r="W225" s="48" t="str">
        <x:v>&gt;=0.35 separates; &lt;=0.15 does not separate; intermediate is inconclusive/confounded; direct driver-definition tests are CIRCULAR</x:v>
      </x:c>
      <x:c r="X225" s="48" t="str">
        <x:v>MANAGER_SELF_DESCRIPTION; NOT BEHAVIOURAL FREQUENCY</x:v>
      </x:c>
    </x:row>
    <x:row r="226">
      <x:c r="A226" s="48" t="str">
        <x:v>B_GOVERNANCE_SEGMENTATION</x:v>
      </x:c>
      <x:c r="B226" s="48" t="str">
        <x:v>Tier B v1.1 - N=29 rerun</x:v>
      </x:c>
      <x:c r="C226" s="48" t="str">
        <x:v>2026-07-16</x:v>
      </x:c>
      <x:c r="D226" s="48" t="str">
        <x:v>G13</x:v>
      </x:c>
      <x:c r="E226" s="48" t="str">
        <x:v>GATING_DECISION</x:v>
      </x:c>
      <x:c r="F226" s="48" t="str">
        <x:v>Unanimity or full-support voting rule</x:v>
      </x:c>
      <x:c r="G226" s="48" t="str">
        <x:v>geography</x:v>
      </x:c>
      <x:c r="H226" s="48" t="str">
        <x:v>EUROPE</x:v>
      </x:c>
      <x:c r="I226" s="48" t="str">
        <x:v>2</x:v>
      </x:c>
      <x:c r="J226" s="48" t="str">
        <x:v>0</x:v>
      </x:c>
      <x:c r="K226" s="48" t="str">
        <x:v>0</x:v>
      </x:c>
      <x:c r="L226" s="48" t="str">
        <x:v>1</x:v>
      </x:c>
      <x:c r="M226" s="48" t="str">
        <x:v>1</x:v>
      </x:c>
      <x:c r="N226" s="48" t="str">
        <x:v>1</x:v>
      </x:c>
      <x:c r="O226" s="48" t="str">
        <x:v>0</x:v>
      </x:c>
      <x:c r="P226" s="48" t="str">
        <x:v>0</x:v>
      </x:c>
      <x:c r="Q226" s="48" t="str">
        <x:v>0.000</x:v>
      </x:c>
      <x:c r="R226" s="48" t="str">
        <x:v>INCONCLUSIVE OR CONFOUNDED</x:v>
      </x:c>
      <x:c r="S226" s="48" t="str">
        <x:v>0.229</x:v>
      </x:c>
      <x:c r="T226" s="48" t="str">
        <x:v>GLOBAL_TRANSATLANTIC:N=7,p=0.429; NORTH_AMERICA:N=10,p=0.200</x:v>
      </x:c>
      <x:c r="U226" s="48" t="str">
        <x:v>Adequate groups differ, but the maximum-minus-minimum prevalence lies between 0.15 and 0.35.</x:v>
      </x:c>
      <x:c r="V226" s="48" t="str">
        <x:v>At least 5 observable manager families in at least 2 driver groups</x:v>
      </x:c>
      <x:c r="W226" s="48" t="str">
        <x:v>&gt;=0.35 separates; &lt;=0.15 does not separate; intermediate is inconclusive/confounded; direct driver-definition tests are CIRCULAR</x:v>
      </x:c>
      <x:c r="X226" s="48" t="str">
        <x:v>MANAGER_SELF_DESCRIPTION; NOT BEHAVIOURAL FREQUENCY</x:v>
      </x:c>
    </x:row>
    <x:row r="227">
      <x:c r="A227" s="48" t="str">
        <x:v>B_GOVERNANCE_SEGMENTATION</x:v>
      </x:c>
      <x:c r="B227" s="48" t="str">
        <x:v>Tier B v1.1 - N=29 rerun</x:v>
      </x:c>
      <x:c r="C227" s="48" t="str">
        <x:v>2026-07-16</x:v>
      </x:c>
      <x:c r="D227" s="48" t="str">
        <x:v>G13</x:v>
      </x:c>
      <x:c r="E227" s="48" t="str">
        <x:v>GATING_DECISION</x:v>
      </x:c>
      <x:c r="F227" s="48" t="str">
        <x:v>Unanimity or full-support voting rule</x:v>
      </x:c>
      <x:c r="G227" s="48" t="str">
        <x:v>geography</x:v>
      </x:c>
      <x:c r="H227" s="48" t="str">
        <x:v>GLOBAL_TRANSATLANTIC</x:v>
      </x:c>
      <x:c r="I227" s="48" t="str">
        <x:v>10</x:v>
      </x:c>
      <x:c r="J227" s="48" t="str">
        <x:v>3</x:v>
      </x:c>
      <x:c r="K227" s="48" t="str">
        <x:v>1</x:v>
      </x:c>
      <x:c r="L227" s="48" t="str">
        <x:v>4</x:v>
      </x:c>
      <x:c r="M227" s="48" t="str">
        <x:v>7</x:v>
      </x:c>
      <x:c r="N227" s="48" t="str">
        <x:v>3</x:v>
      </x:c>
      <x:c r="O227" s="48" t="str">
        <x:v>0</x:v>
      </x:c>
      <x:c r="P227" s="48" t="str">
        <x:v>0</x:v>
      </x:c>
      <x:c r="Q227" s="48" t="str">
        <x:v>0.429</x:v>
      </x:c>
      <x:c r="R227" s="48" t="str">
        <x:v>INCONCLUSIVE OR CONFOUNDED</x:v>
      </x:c>
      <x:c r="S227" s="48" t="str">
        <x:v>0.229</x:v>
      </x:c>
      <x:c r="T227" s="48" t="str">
        <x:v>GLOBAL_TRANSATLANTIC:N=7,p=0.429; NORTH_AMERICA:N=10,p=0.200</x:v>
      </x:c>
      <x:c r="U227" s="48" t="str">
        <x:v>Adequate groups differ, but the maximum-minus-minimum prevalence lies between 0.15 and 0.35.</x:v>
      </x:c>
      <x:c r="V227" s="48" t="str">
        <x:v>At least 5 observable manager families in at least 2 driver groups</x:v>
      </x:c>
      <x:c r="W227" s="48" t="str">
        <x:v>&gt;=0.35 separates; &lt;=0.15 does not separate; intermediate is inconclusive/confounded; direct driver-definition tests are CIRCULAR</x:v>
      </x:c>
      <x:c r="X227" s="48" t="str">
        <x:v>MANAGER_SELF_DESCRIPTION; NOT BEHAVIOURAL FREQUENCY</x:v>
      </x:c>
    </x:row>
    <x:row r="228">
      <x:c r="A228" s="48" t="str">
        <x:v>B_GOVERNANCE_SEGMENTATION</x:v>
      </x:c>
      <x:c r="B228" s="48" t="str">
        <x:v>Tier B v1.1 - N=29 rerun</x:v>
      </x:c>
      <x:c r="C228" s="48" t="str">
        <x:v>2026-07-16</x:v>
      </x:c>
      <x:c r="D228" s="48" t="str">
        <x:v>G13</x:v>
      </x:c>
      <x:c r="E228" s="48" t="str">
        <x:v>GATING_DECISION</x:v>
      </x:c>
      <x:c r="F228" s="48" t="str">
        <x:v>Unanimity or full-support voting rule</x:v>
      </x:c>
      <x:c r="G228" s="48" t="str">
        <x:v>geography</x:v>
      </x:c>
      <x:c r="H228" s="48" t="str">
        <x:v>NORTH_AMERICA</x:v>
      </x:c>
      <x:c r="I228" s="48" t="str">
        <x:v>13</x:v>
      </x:c>
      <x:c r="J228" s="48" t="str">
        <x:v>2</x:v>
      </x:c>
      <x:c r="K228" s="48" t="str">
        <x:v>0</x:v>
      </x:c>
      <x:c r="L228" s="48" t="str">
        <x:v>8</x:v>
      </x:c>
      <x:c r="M228" s="48" t="str">
        <x:v>10</x:v>
      </x:c>
      <x:c r="N228" s="48" t="str">
        <x:v>3</x:v>
      </x:c>
      <x:c r="O228" s="48" t="str">
        <x:v>0</x:v>
      </x:c>
      <x:c r="P228" s="48" t="str">
        <x:v>0</x:v>
      </x:c>
      <x:c r="Q228" s="48" t="str">
        <x:v>0.200</x:v>
      </x:c>
      <x:c r="R228" s="48" t="str">
        <x:v>INCONCLUSIVE OR CONFOUNDED</x:v>
      </x:c>
      <x:c r="S228" s="48" t="str">
        <x:v>0.229</x:v>
      </x:c>
      <x:c r="T228" s="48" t="str">
        <x:v>GLOBAL_TRANSATLANTIC:N=7,p=0.429; NORTH_AMERICA:N=10,p=0.200</x:v>
      </x:c>
      <x:c r="U228" s="48" t="str">
        <x:v>Adequate groups differ, but the maximum-minus-minimum prevalence lies between 0.15 and 0.35.</x:v>
      </x:c>
      <x:c r="V228" s="48" t="str">
        <x:v>At least 5 observable manager families in at least 2 driver groups</x:v>
      </x:c>
      <x:c r="W228" s="48" t="str">
        <x:v>&gt;=0.35 separates; &lt;=0.15 does not separate; intermediate is inconclusive/confounded; direct driver-definition tests are CIRCULAR</x:v>
      </x:c>
      <x:c r="X228" s="48" t="str">
        <x:v>MANAGER_SELF_DESCRIPTION; NOT BEHAVIOURAL FREQUENCY</x:v>
      </x:c>
    </x:row>
    <x:row r="229">
      <x:c r="A229" s="48" t="str">
        <x:v>B_GOVERNANCE_SEGMENTATION</x:v>
      </x:c>
      <x:c r="B229" s="48" t="str">
        <x:v>Tier B v1.1 - N=29 rerun</x:v>
      </x:c>
      <x:c r="C229" s="48" t="str">
        <x:v>2026-07-16</x:v>
      </x:c>
      <x:c r="D229" s="48" t="str">
        <x:v>G13</x:v>
      </x:c>
      <x:c r="E229" s="48" t="str">
        <x:v>GATING_DECISION</x:v>
      </x:c>
      <x:c r="F229" s="48" t="str">
        <x:v>Unanimity or full-support voting rule</x:v>
      </x:c>
      <x:c r="G229" s="48" t="str">
        <x:v>source_vintage_bin</x:v>
      </x:c>
      <x:c r="H229" s="48" t="str">
        <x:v>2018_2020</x:v>
      </x:c>
      <x:c r="I229" s="48" t="str">
        <x:v>6</x:v>
      </x:c>
      <x:c r="J229" s="48" t="str">
        <x:v>1</x:v>
      </x:c>
      <x:c r="K229" s="48" t="str">
        <x:v>0</x:v>
      </x:c>
      <x:c r="L229" s="48" t="str">
        <x:v>5</x:v>
      </x:c>
      <x:c r="M229" s="48" t="str">
        <x:v>6</x:v>
      </x:c>
      <x:c r="N229" s="48" t="str">
        <x:v>0</x:v>
      </x:c>
      <x:c r="O229" s="48" t="str">
        <x:v>0</x:v>
      </x:c>
      <x:c r="P229" s="48" t="str">
        <x:v>0</x:v>
      </x:c>
      <x:c r="Q229" s="48" t="str">
        <x:v>0.167</x:v>
      </x:c>
      <x:c r="R229" s="48" t="str">
        <x:v>DRIVER SEPARATES</x:v>
      </x:c>
      <x:c r="S229" s="48" t="str">
        <x:v>0.389</x:v>
      </x:c>
      <x:c r="T229" s="48" t="str">
        <x:v>2018_2020:N=6,p=0.167; 2021_2023:N=6,p=0.167; 2024_2026:N=9,p=0.556</x:v>
      </x:c>
      <x:c r="U229" s="48" t="str">
        <x:v>Maximum-minus-minimum prevalence among adequately observed groups is at least 0.35.</x:v>
      </x:c>
      <x:c r="V229" s="48" t="str">
        <x:v>At least 5 observable manager families in at least 2 driver groups</x:v>
      </x:c>
      <x:c r="W229" s="48" t="str">
        <x:v>&gt;=0.35 separates; &lt;=0.15 does not separate; intermediate is inconclusive/confounded; direct driver-definition tests are CIRCULAR</x:v>
      </x:c>
      <x:c r="X229" s="48" t="str">
        <x:v>MANAGER_SELF_DESCRIPTION; NOT BEHAVIOURAL FREQUENCY</x:v>
      </x:c>
    </x:row>
    <x:row r="230">
      <x:c r="A230" s="48" t="str">
        <x:v>B_GOVERNANCE_SEGMENTATION</x:v>
      </x:c>
      <x:c r="B230" s="48" t="str">
        <x:v>Tier B v1.1 - N=29 rerun</x:v>
      </x:c>
      <x:c r="C230" s="48" t="str">
        <x:v>2026-07-16</x:v>
      </x:c>
      <x:c r="D230" s="48" t="str">
        <x:v>G13</x:v>
      </x:c>
      <x:c r="E230" s="48" t="str">
        <x:v>GATING_DECISION</x:v>
      </x:c>
      <x:c r="F230" s="48" t="str">
        <x:v>Unanimity or full-support voting rule</x:v>
      </x:c>
      <x:c r="G230" s="48" t="str">
        <x:v>source_vintage_bin</x:v>
      </x:c>
      <x:c r="H230" s="48" t="str">
        <x:v>2021_2023</x:v>
      </x:c>
      <x:c r="I230" s="48" t="str">
        <x:v>11</x:v>
      </x:c>
      <x:c r="J230" s="48" t="str">
        <x:v>1</x:v>
      </x:c>
      <x:c r="K230" s="48" t="str">
        <x:v>0</x:v>
      </x:c>
      <x:c r="L230" s="48" t="str">
        <x:v>5</x:v>
      </x:c>
      <x:c r="M230" s="48" t="str">
        <x:v>6</x:v>
      </x:c>
      <x:c r="N230" s="48" t="str">
        <x:v>5</x:v>
      </x:c>
      <x:c r="O230" s="48" t="str">
        <x:v>0</x:v>
      </x:c>
      <x:c r="P230" s="48" t="str">
        <x:v>0</x:v>
      </x:c>
      <x:c r="Q230" s="48" t="str">
        <x:v>0.167</x:v>
      </x:c>
      <x:c r="R230" s="48" t="str">
        <x:v>DRIVER SEPARATES</x:v>
      </x:c>
      <x:c r="S230" s="48" t="str">
        <x:v>0.389</x:v>
      </x:c>
      <x:c r="T230" s="48" t="str">
        <x:v>2018_2020:N=6,p=0.167; 2021_2023:N=6,p=0.167; 2024_2026:N=9,p=0.556</x:v>
      </x:c>
      <x:c r="U230" s="48" t="str">
        <x:v>Maximum-minus-minimum prevalence among adequately observed groups is at least 0.35.</x:v>
      </x:c>
      <x:c r="V230" s="48" t="str">
        <x:v>At least 5 observable manager families in at least 2 driver groups</x:v>
      </x:c>
      <x:c r="W230" s="48" t="str">
        <x:v>&gt;=0.35 separates; &lt;=0.15 does not separate; intermediate is inconclusive/confounded; direct driver-definition tests are CIRCULAR</x:v>
      </x:c>
      <x:c r="X230" s="48" t="str">
        <x:v>MANAGER_SELF_DESCRIPTION; NOT BEHAVIOURAL FREQUENCY</x:v>
      </x:c>
    </x:row>
    <x:row r="231">
      <x:c r="A231" s="48" t="str">
        <x:v>B_GOVERNANCE_SEGMENTATION</x:v>
      </x:c>
      <x:c r="B231" s="48" t="str">
        <x:v>Tier B v1.1 - N=29 rerun</x:v>
      </x:c>
      <x:c r="C231" s="48" t="str">
        <x:v>2026-07-16</x:v>
      </x:c>
      <x:c r="D231" s="48" t="str">
        <x:v>G13</x:v>
      </x:c>
      <x:c r="E231" s="48" t="str">
        <x:v>GATING_DECISION</x:v>
      </x:c>
      <x:c r="F231" s="48" t="str">
        <x:v>Unanimity or full-support voting rule</x:v>
      </x:c>
      <x:c r="G231" s="48" t="str">
        <x:v>source_vintage_bin</x:v>
      </x:c>
      <x:c r="H231" s="48" t="str">
        <x:v>2024_2026</x:v>
      </x:c>
      <x:c r="I231" s="48" t="str">
        <x:v>12</x:v>
      </x:c>
      <x:c r="J231" s="48" t="str">
        <x:v>5</x:v>
      </x:c>
      <x:c r="K231" s="48" t="str">
        <x:v>1</x:v>
      </x:c>
      <x:c r="L231" s="48" t="str">
        <x:v>4</x:v>
      </x:c>
      <x:c r="M231" s="48" t="str">
        <x:v>9</x:v>
      </x:c>
      <x:c r="N231" s="48" t="str">
        <x:v>3</x:v>
      </x:c>
      <x:c r="O231" s="48" t="str">
        <x:v>0</x:v>
      </x:c>
      <x:c r="P231" s="48" t="str">
        <x:v>0</x:v>
      </x:c>
      <x:c r="Q231" s="48" t="str">
        <x:v>0.556</x:v>
      </x:c>
      <x:c r="R231" s="48" t="str">
        <x:v>DRIVER SEPARATES</x:v>
      </x:c>
      <x:c r="S231" s="48" t="str">
        <x:v>0.389</x:v>
      </x:c>
      <x:c r="T231" s="48" t="str">
        <x:v>2018_2020:N=6,p=0.167; 2021_2023:N=6,p=0.167; 2024_2026:N=9,p=0.556</x:v>
      </x:c>
      <x:c r="U231" s="48" t="str">
        <x:v>Maximum-minus-minimum prevalence among adequately observed groups is at least 0.35.</x:v>
      </x:c>
      <x:c r="V231" s="48" t="str">
        <x:v>At least 5 observable manager families in at least 2 driver groups</x:v>
      </x:c>
      <x:c r="W231" s="48" t="str">
        <x:v>&gt;=0.35 separates; &lt;=0.15 does not separate; intermediate is inconclusive/confounded; direct driver-definition tests are CIRCULAR</x:v>
      </x:c>
      <x:c r="X231" s="48" t="str">
        <x:v>MANAGER_SELF_DESCRIPTION; NOT BEHAVIOURAL FREQUENCY</x:v>
      </x:c>
    </x:row>
    <x:row r="232">
      <x:c r="A232" s="48" t="str">
        <x:v>B_GOVERNANCE_SEGMENTATION</x:v>
      </x:c>
      <x:c r="B232" s="48" t="str">
        <x:v>Tier B v1.1 - N=29 rerun</x:v>
      </x:c>
      <x:c r="C232" s="48" t="str">
        <x:v>2026-07-16</x:v>
      </x:c>
      <x:c r="D232" s="48" t="str">
        <x:v>G13</x:v>
      </x:c>
      <x:c r="E232" s="48" t="str">
        <x:v>GATING_DECISION</x:v>
      </x:c>
      <x:c r="F232" s="48" t="str">
        <x:v>Unanimity or full-support voting rule</x:v>
      </x:c>
      <x:c r="G232" s="48" t="str">
        <x:v>governance_architecture</x:v>
      </x:c>
      <x:c r="H232" s="48" t="str">
        <x:v>IC_FINAL_OR_DE_FACTO</x:v>
      </x:c>
      <x:c r="I232" s="48" t="str">
        <x:v>26</x:v>
      </x:c>
      <x:c r="J232" s="48" t="str">
        <x:v>6</x:v>
      </x:c>
      <x:c r="K232" s="48" t="str">
        <x:v>1</x:v>
      </x:c>
      <x:c r="L232" s="48" t="str">
        <x:v>12</x:v>
      </x:c>
      <x:c r="M232" s="48" t="str">
        <x:v>18</x:v>
      </x:c>
      <x:c r="N232" s="48" t="str">
        <x:v>8</x:v>
      </x:c>
      <x:c r="O232" s="48" t="str">
        <x:v>0</x:v>
      </x:c>
      <x:c r="P232" s="48" t="str">
        <x:v>0</x:v>
      </x:c>
      <x:c r="Q232" s="48" t="str">
        <x:v>0.333</x:v>
      </x:c>
      <x:c r="R232" s="48" t="str">
        <x:v>N TOO SMALL</x:v>
      </x:c>
      <x:c r="S232" s="48" t="str"/>
      <x:c r="T232" s="48" t="str">
        <x:v>IC_FINAL_OR_DE_FACTO:N=18,p=0.333</x:v>
      </x:c>
      <x:c r="U232" s="48" t="str">
        <x:v>Fewer than two driver groups have at least 5 observable manager families.</x:v>
      </x:c>
      <x:c r="V232" s="48" t="str">
        <x:v>At least 5 observable manager families in at least 2 driver groups</x:v>
      </x:c>
      <x:c r="W232" s="48" t="str">
        <x:v>&gt;=0.35 separates; &lt;=0.15 does not separate; intermediate is inconclusive/confounded; direct driver-definition tests are CIRCULAR</x:v>
      </x:c>
      <x:c r="X232" s="48" t="str">
        <x:v>MANAGER_SELF_DESCRIPTION; NOT BEHAVIOURAL FREQUENCY</x:v>
      </x:c>
    </x:row>
    <x:row r="233">
      <x:c r="A233" s="48" t="str">
        <x:v>B_GOVERNANCE_SEGMENTATION</x:v>
      </x:c>
      <x:c r="B233" s="48" t="str">
        <x:v>Tier B v1.1 - N=29 rerun</x:v>
      </x:c>
      <x:c r="C233" s="48" t="str">
        <x:v>2026-07-16</x:v>
      </x:c>
      <x:c r="D233" s="48" t="str">
        <x:v>G13</x:v>
      </x:c>
      <x:c r="E233" s="48" t="str">
        <x:v>GATING_DECISION</x:v>
      </x:c>
      <x:c r="F233" s="48" t="str">
        <x:v>Unanimity or full-support voting rule</x:v>
      </x:c>
      <x:c r="G233" s="48" t="str">
        <x:v>governance_architecture</x:v>
      </x:c>
      <x:c r="H233" s="48" t="str">
        <x:v>IC_RECOMMENDS_SEPARATE_FINAL_AUTHORITY</x:v>
      </x:c>
      <x:c r="I233" s="48" t="str">
        <x:v>3</x:v>
      </x:c>
      <x:c r="J233" s="48" t="str">
        <x:v>1</x:v>
      </x:c>
      <x:c r="K233" s="48" t="str">
        <x:v>0</x:v>
      </x:c>
      <x:c r="L233" s="48" t="str">
        <x:v>2</x:v>
      </x:c>
      <x:c r="M233" s="48" t="str">
        <x:v>3</x:v>
      </x:c>
      <x:c r="N233" s="48" t="str">
        <x:v>0</x:v>
      </x:c>
      <x:c r="O233" s="48" t="str">
        <x:v>0</x:v>
      </x:c>
      <x:c r="P233" s="48" t="str">
        <x:v>0</x:v>
      </x:c>
      <x:c r="Q233" s="48" t="str">
        <x:v>0.333</x:v>
      </x:c>
      <x:c r="R233" s="48" t="str">
        <x:v>N TOO SMALL</x:v>
      </x:c>
      <x:c r="S233" s="48" t="str"/>
      <x:c r="T233" s="48" t="str">
        <x:v>IC_FINAL_OR_DE_FACTO:N=18,p=0.333</x:v>
      </x:c>
      <x:c r="U233" s="48" t="str">
        <x:v>Fewer than two driver groups have at least 5 observable manager families.</x:v>
      </x:c>
      <x:c r="V233" s="48" t="str">
        <x:v>At least 5 observable manager families in at least 2 driver groups</x:v>
      </x:c>
      <x:c r="W233" s="48" t="str">
        <x:v>&gt;=0.35 separates; &lt;=0.15 does not separate; intermediate is inconclusive/confounded; direct driver-definition tests are CIRCULAR</x:v>
      </x:c>
      <x:c r="X233" s="48" t="str">
        <x:v>MANAGER_SELF_DESCRIPTION; NOT BEHAVIOURAL FREQUENCY</x:v>
      </x:c>
    </x:row>
    <x:row r="234">
      <x:c r="A234" s="48" t="str">
        <x:v>B_GOVERNANCE_SEGMENTATION</x:v>
      </x:c>
      <x:c r="B234" s="48" t="str">
        <x:v>Tier B v1.1 - N=29 rerun</x:v>
      </x:c>
      <x:c r="C234" s="48" t="str">
        <x:v>2026-07-16</x:v>
      </x:c>
      <x:c r="D234" s="48" t="str">
        <x:v>G13</x:v>
      </x:c>
      <x:c r="E234" s="48" t="str">
        <x:v>GATING_DECISION</x:v>
      </x:c>
      <x:c r="F234" s="48" t="str">
        <x:v>Unanimity or full-support voting rule</x:v>
      </x:c>
      <x:c r="G234" s="48" t="str">
        <x:v>dedicated_operating_team</x:v>
      </x:c>
      <x:c r="H234" s="48" t="str">
        <x:v>NO_OR_LIMITED</x:v>
      </x:c>
      <x:c r="I234" s="48" t="str">
        <x:v>6</x:v>
      </x:c>
      <x:c r="J234" s="48" t="str">
        <x:v>2</x:v>
      </x:c>
      <x:c r="K234" s="48" t="str">
        <x:v>0</x:v>
      </x:c>
      <x:c r="L234" s="48" t="str">
        <x:v>3</x:v>
      </x:c>
      <x:c r="M234" s="48" t="str">
        <x:v>5</x:v>
      </x:c>
      <x:c r="N234" s="48" t="str">
        <x:v>1</x:v>
      </x:c>
      <x:c r="O234" s="48" t="str">
        <x:v>0</x:v>
      </x:c>
      <x:c r="P234" s="48" t="str">
        <x:v>0</x:v>
      </x:c>
      <x:c r="Q234" s="48" t="str">
        <x:v>0.400</x:v>
      </x:c>
      <x:c r="R234" s="48" t="str">
        <x:v>DRIVER DOES NOT SEPARATE</x:v>
      </x:c>
      <x:c r="S234" s="48" t="str">
        <x:v>0.088</x:v>
      </x:c>
      <x:c r="T234" s="48" t="str">
        <x:v>NO_OR_LIMITED:N=5,p=0.400; YES_DEDICATED:N=16,p=0.312</x:v>
      </x:c>
      <x:c r="U234" s="48" t="str">
        <x:v>Maximum-minus-minimum prevalence among adequately observed groups is no more than 0.15.</x:v>
      </x:c>
      <x:c r="V234" s="48" t="str">
        <x:v>At least 5 observable manager families in at least 2 driver groups</x:v>
      </x:c>
      <x:c r="W234" s="48" t="str">
        <x:v>&gt;=0.35 separates; &lt;=0.15 does not separate; intermediate is inconclusive/confounded; direct driver-definition tests are CIRCULAR</x:v>
      </x:c>
      <x:c r="X234" s="48" t="str">
        <x:v>MANAGER_SELF_DESCRIPTION; NOT BEHAVIOURAL FREQUENCY</x:v>
      </x:c>
    </x:row>
    <x:row r="235">
      <x:c r="A235" s="48" t="str">
        <x:v>B_GOVERNANCE_SEGMENTATION</x:v>
      </x:c>
      <x:c r="B235" s="48" t="str">
        <x:v>Tier B v1.1 - N=29 rerun</x:v>
      </x:c>
      <x:c r="C235" s="48" t="str">
        <x:v>2026-07-16</x:v>
      </x:c>
      <x:c r="D235" s="48" t="str">
        <x:v>G13</x:v>
      </x:c>
      <x:c r="E235" s="48" t="str">
        <x:v>GATING_DECISION</x:v>
      </x:c>
      <x:c r="F235" s="48" t="str">
        <x:v>Unanimity or full-support voting rule</x:v>
      </x:c>
      <x:c r="G235" s="48" t="str">
        <x:v>dedicated_operating_team</x:v>
      </x:c>
      <x:c r="H235" s="48" t="str">
        <x:v>YES_DEDICATED</x:v>
      </x:c>
      <x:c r="I235" s="48" t="str">
        <x:v>23</x:v>
      </x:c>
      <x:c r="J235" s="48" t="str">
        <x:v>5</x:v>
      </x:c>
      <x:c r="K235" s="48" t="str">
        <x:v>1</x:v>
      </x:c>
      <x:c r="L235" s="48" t="str">
        <x:v>11</x:v>
      </x:c>
      <x:c r="M235" s="48" t="str">
        <x:v>16</x:v>
      </x:c>
      <x:c r="N235" s="48" t="str">
        <x:v>7</x:v>
      </x:c>
      <x:c r="O235" s="48" t="str">
        <x:v>0</x:v>
      </x:c>
      <x:c r="P235" s="48" t="str">
        <x:v>0</x:v>
      </x:c>
      <x:c r="Q235" s="48" t="str">
        <x:v>0.312</x:v>
      </x:c>
      <x:c r="R235" s="48" t="str">
        <x:v>DRIVER DOES NOT SEPARATE</x:v>
      </x:c>
      <x:c r="S235" s="48" t="str">
        <x:v>0.088</x:v>
      </x:c>
      <x:c r="T235" s="48" t="str">
        <x:v>NO_OR_LIMITED:N=5,p=0.400; YES_DEDICATED:N=16,p=0.312</x:v>
      </x:c>
      <x:c r="U235" s="48" t="str">
        <x:v>Maximum-minus-minimum prevalence among adequately observed groups is no more than 0.15.</x:v>
      </x:c>
      <x:c r="V235" s="48" t="str">
        <x:v>At least 5 observable manager families in at least 2 driver groups</x:v>
      </x:c>
      <x:c r="W235" s="48" t="str">
        <x:v>&gt;=0.35 separates; &lt;=0.15 does not separate; intermediate is inconclusive/confounded; direct driver-definition tests are CIRCULAR</x:v>
      </x:c>
      <x:c r="X235" s="48" t="str">
        <x:v>MANAGER_SELF_DESCRIPTION; NOT BEHAVIOURAL FREQUENCY</x:v>
      </x:c>
    </x:row>
    <x:row r="236">
      <x:c r="A236" s="48" t="str">
        <x:v>B_GOVERNANCE_SEGMENTATION</x:v>
      </x:c>
      <x:c r="B236" s="48" t="str">
        <x:v>Tier B v1.1 - N=29 rerun</x:v>
      </x:c>
      <x:c r="C236" s="48" t="str">
        <x:v>2026-07-16</x:v>
      </x:c>
      <x:c r="D236" s="48" t="str">
        <x:v>G14</x:v>
      </x:c>
      <x:c r="E236" s="48" t="str">
        <x:v>GATING_DECISION</x:v>
      </x:c>
      <x:c r="F236" s="48" t="str">
        <x:v>Individual veto right</x:v>
      </x:c>
      <x:c r="G236" s="48" t="str">
        <x:v>fund_size_archetype</x:v>
      </x:c>
      <x:c r="H236" s="48" t="str">
        <x:v>LARGE_2_TO_LT_5B</x:v>
      </x:c>
      <x:c r="I236" s="48" t="str">
        <x:v>9</x:v>
      </x:c>
      <x:c r="J236" s="48" t="str">
        <x:v>2</x:v>
      </x:c>
      <x:c r="K236" s="48" t="str">
        <x:v>0</x:v>
      </x:c>
      <x:c r="L236" s="48" t="str">
        <x:v>6</x:v>
      </x:c>
      <x:c r="M236" s="48" t="str">
        <x:v>8</x:v>
      </x:c>
      <x:c r="N236" s="48" t="str">
        <x:v>1</x:v>
      </x:c>
      <x:c r="O236" s="48" t="str">
        <x:v>0</x:v>
      </x:c>
      <x:c r="P236" s="48" t="str">
        <x:v>0</x:v>
      </x:c>
      <x:c r="Q236" s="48" t="str">
        <x:v>0.250</x:v>
      </x:c>
      <x:c r="R236" s="48" t="str">
        <x:v>DRIVER DOES NOT SEPARATE</x:v>
      </x:c>
      <x:c r="S236" s="48" t="str">
        <x:v>0.125</x:v>
      </x:c>
      <x:c r="T236" s="48" t="str">
        <x:v>LARGE_2_TO_LT_5B:N=8,p=0.250; MEGA_GE_5B:N=8,p=0.125</x:v>
      </x:c>
      <x:c r="U236" s="48" t="str">
        <x:v>Maximum-minus-minimum prevalence among adequately observed groups is no more than 0.15.</x:v>
      </x:c>
      <x:c r="V236" s="48" t="str">
        <x:v>At least 5 observable manager families in at least 2 driver groups</x:v>
      </x:c>
      <x:c r="W236" s="48" t="str">
        <x:v>&gt;=0.35 separates; &lt;=0.15 does not separate; intermediate is inconclusive/confounded; direct driver-definition tests are CIRCULAR</x:v>
      </x:c>
      <x:c r="X236" s="48" t="str">
        <x:v>MANAGER_SELF_DESCRIPTION; NOT BEHAVIOURAL FREQUENCY</x:v>
      </x:c>
    </x:row>
    <x:row r="237">
      <x:c r="A237" s="48" t="str">
        <x:v>B_GOVERNANCE_SEGMENTATION</x:v>
      </x:c>
      <x:c r="B237" s="48" t="str">
        <x:v>Tier B v1.1 - N=29 rerun</x:v>
      </x:c>
      <x:c r="C237" s="48" t="str">
        <x:v>2026-07-16</x:v>
      </x:c>
      <x:c r="D237" s="48" t="str">
        <x:v>G14</x:v>
      </x:c>
      <x:c r="E237" s="48" t="str">
        <x:v>GATING_DECISION</x:v>
      </x:c>
      <x:c r="F237" s="48" t="str">
        <x:v>Individual veto right</x:v>
      </x:c>
      <x:c r="G237" s="48" t="str">
        <x:v>fund_size_archetype</x:v>
      </x:c>
      <x:c r="H237" s="48" t="str">
        <x:v>LOWER_MID_LT_2B</x:v>
      </x:c>
      <x:c r="I237" s="48" t="str">
        <x:v>8</x:v>
      </x:c>
      <x:c r="J237" s="48" t="str">
        <x:v>1</x:v>
      </x:c>
      <x:c r="K237" s="48" t="str">
        <x:v>0</x:v>
      </x:c>
      <x:c r="L237" s="48" t="str">
        <x:v>3</x:v>
      </x:c>
      <x:c r="M237" s="48" t="str">
        <x:v>4</x:v>
      </x:c>
      <x:c r="N237" s="48" t="str">
        <x:v>4</x:v>
      </x:c>
      <x:c r="O237" s="48" t="str">
        <x:v>0</x:v>
      </x:c>
      <x:c r="P237" s="48" t="str">
        <x:v>0</x:v>
      </x:c>
      <x:c r="Q237" s="48" t="str">
        <x:v>0.250</x:v>
      </x:c>
      <x:c r="R237" s="48" t="str">
        <x:v>DRIVER DOES NOT SEPARATE</x:v>
      </x:c>
      <x:c r="S237" s="48" t="str">
        <x:v>0.125</x:v>
      </x:c>
      <x:c r="T237" s="48" t="str">
        <x:v>LARGE_2_TO_LT_5B:N=8,p=0.250; MEGA_GE_5B:N=8,p=0.125</x:v>
      </x:c>
      <x:c r="U237" s="48" t="str">
        <x:v>Maximum-minus-minimum prevalence among adequately observed groups is no more than 0.15.</x:v>
      </x:c>
      <x:c r="V237" s="48" t="str">
        <x:v>At least 5 observable manager families in at least 2 driver groups</x:v>
      </x:c>
      <x:c r="W237" s="48" t="str">
        <x:v>&gt;=0.35 separates; &lt;=0.15 does not separate; intermediate is inconclusive/confounded; direct driver-definition tests are CIRCULAR</x:v>
      </x:c>
      <x:c r="X237" s="48" t="str">
        <x:v>MANAGER_SELF_DESCRIPTION; NOT BEHAVIOURAL FREQUENCY</x:v>
      </x:c>
    </x:row>
    <x:row r="238">
      <x:c r="A238" s="48" t="str">
        <x:v>B_GOVERNANCE_SEGMENTATION</x:v>
      </x:c>
      <x:c r="B238" s="48" t="str">
        <x:v>Tier B v1.1 - N=29 rerun</x:v>
      </x:c>
      <x:c r="C238" s="48" t="str">
        <x:v>2026-07-16</x:v>
      </x:c>
      <x:c r="D238" s="48" t="str">
        <x:v>G14</x:v>
      </x:c>
      <x:c r="E238" s="48" t="str">
        <x:v>GATING_DECISION</x:v>
      </x:c>
      <x:c r="F238" s="48" t="str">
        <x:v>Individual veto right</x:v>
      </x:c>
      <x:c r="G238" s="48" t="str">
        <x:v>fund_size_archetype</x:v>
      </x:c>
      <x:c r="H238" s="48" t="str">
        <x:v>MEGA_GE_5B</x:v>
      </x:c>
      <x:c r="I238" s="48" t="str">
        <x:v>11</x:v>
      </x:c>
      <x:c r="J238" s="48" t="str">
        <x:v>1</x:v>
      </x:c>
      <x:c r="K238" s="48" t="str">
        <x:v>0</x:v>
      </x:c>
      <x:c r="L238" s="48" t="str">
        <x:v>7</x:v>
      </x:c>
      <x:c r="M238" s="48" t="str">
        <x:v>8</x:v>
      </x:c>
      <x:c r="N238" s="48" t="str">
        <x:v>3</x:v>
      </x:c>
      <x:c r="O238" s="48" t="str">
        <x:v>0</x:v>
      </x:c>
      <x:c r="P238" s="48" t="str">
        <x:v>0</x:v>
      </x:c>
      <x:c r="Q238" s="48" t="str">
        <x:v>0.125</x:v>
      </x:c>
      <x:c r="R238" s="48" t="str">
        <x:v>DRIVER DOES NOT SEPARATE</x:v>
      </x:c>
      <x:c r="S238" s="48" t="str">
        <x:v>0.125</x:v>
      </x:c>
      <x:c r="T238" s="48" t="str">
        <x:v>LARGE_2_TO_LT_5B:N=8,p=0.250; MEGA_GE_5B:N=8,p=0.125</x:v>
      </x:c>
      <x:c r="U238" s="48" t="str">
        <x:v>Maximum-minus-minimum prevalence among adequately observed groups is no more than 0.15.</x:v>
      </x:c>
      <x:c r="V238" s="48" t="str">
        <x:v>At least 5 observable manager families in at least 2 driver groups</x:v>
      </x:c>
      <x:c r="W238" s="48" t="str">
        <x:v>&gt;=0.35 separates; &lt;=0.15 does not separate; intermediate is inconclusive/confounded; direct driver-definition tests are CIRCULAR</x:v>
      </x:c>
      <x:c r="X238" s="48" t="str">
        <x:v>MANAGER_SELF_DESCRIPTION; NOT BEHAVIOURAL FREQUENCY</x:v>
      </x:c>
    </x:row>
    <x:row r="239">
      <x:c r="A239" s="48" t="str">
        <x:v>B_GOVERNANCE_SEGMENTATION</x:v>
      </x:c>
      <x:c r="B239" s="48" t="str">
        <x:v>Tier B v1.1 - N=29 rerun</x:v>
      </x:c>
      <x:c r="C239" s="48" t="str">
        <x:v>2026-07-16</x:v>
      </x:c>
      <x:c r="D239" s="48" t="str">
        <x:v>G14</x:v>
      </x:c>
      <x:c r="E239" s="48" t="str">
        <x:v>GATING_DECISION</x:v>
      </x:c>
      <x:c r="F239" s="48" t="str">
        <x:v>Individual veto right</x:v>
      </x:c>
      <x:c r="G239" s="48" t="str">
        <x:v>fund_size_archetype</x:v>
      </x:c>
      <x:c r="H239" s="48" t="str">
        <x:v>NOT_APPLICABLE</x:v>
      </x:c>
      <x:c r="I239" s="48" t="str">
        <x:v>1</x:v>
      </x:c>
      <x:c r="J239" s="48" t="str">
        <x:v>0</x:v>
      </x:c>
      <x:c r="K239" s="48" t="str">
        <x:v>0</x:v>
      </x:c>
      <x:c r="L239" s="48" t="str">
        <x:v>1</x:v>
      </x:c>
      <x:c r="M239" s="48" t="str">
        <x:v>1</x:v>
      </x:c>
      <x:c r="N239" s="48" t="str">
        <x:v>0</x:v>
      </x:c>
      <x:c r="O239" s="48" t="str">
        <x:v>0</x:v>
      </x:c>
      <x:c r="P239" s="48" t="str">
        <x:v>0</x:v>
      </x:c>
      <x:c r="Q239" s="48" t="str">
        <x:v>0.000</x:v>
      </x:c>
      <x:c r="R239" s="48" t="str">
        <x:v>DRIVER DOES NOT SEPARATE</x:v>
      </x:c>
      <x:c r="S239" s="48" t="str">
        <x:v>0.125</x:v>
      </x:c>
      <x:c r="T239" s="48" t="str">
        <x:v>LARGE_2_TO_LT_5B:N=8,p=0.250; MEGA_GE_5B:N=8,p=0.125</x:v>
      </x:c>
      <x:c r="U239" s="48" t="str">
        <x:v>Maximum-minus-minimum prevalence among adequately observed groups is no more than 0.15.</x:v>
      </x:c>
      <x:c r="V239" s="48" t="str">
        <x:v>At least 5 observable manager families in at least 2 driver groups</x:v>
      </x:c>
      <x:c r="W239" s="48" t="str">
        <x:v>&gt;=0.35 separates; &lt;=0.15 does not separate; intermediate is inconclusive/confounded; direct driver-definition tests are CIRCULAR</x:v>
      </x:c>
      <x:c r="X239" s="48" t="str">
        <x:v>MANAGER_SELF_DESCRIPTION; NOT BEHAVIOURAL FREQUENCY</x:v>
      </x:c>
    </x:row>
    <x:row r="240">
      <x:c r="A240" s="48" t="str">
        <x:v>B_GOVERNANCE_SEGMENTATION</x:v>
      </x:c>
      <x:c r="B240" s="48" t="str">
        <x:v>Tier B v1.1 - N=29 rerun</x:v>
      </x:c>
      <x:c r="C240" s="48" t="str">
        <x:v>2026-07-16</x:v>
      </x:c>
      <x:c r="D240" s="48" t="str">
        <x:v>G14</x:v>
      </x:c>
      <x:c r="E240" s="48" t="str">
        <x:v>GATING_DECISION</x:v>
      </x:c>
      <x:c r="F240" s="48" t="str">
        <x:v>Individual veto right</x:v>
      </x:c>
      <x:c r="G240" s="48" t="str">
        <x:v>strategy</x:v>
      </x:c>
      <x:c r="H240" s="48" t="str">
        <x:v>CONTROL_BUYOUT</x:v>
      </x:c>
      <x:c r="I240" s="48" t="str">
        <x:v>22</x:v>
      </x:c>
      <x:c r="J240" s="48" t="str">
        <x:v>2</x:v>
      </x:c>
      <x:c r="K240" s="48" t="str">
        <x:v>0</x:v>
      </x:c>
      <x:c r="L240" s="48" t="str">
        <x:v>13</x:v>
      </x:c>
      <x:c r="M240" s="48" t="str">
        <x:v>15</x:v>
      </x:c>
      <x:c r="N240" s="48" t="str">
        <x:v>7</x:v>
      </x:c>
      <x:c r="O240" s="48" t="str">
        <x:v>0</x:v>
      </x:c>
      <x:c r="P240" s="48" t="str">
        <x:v>0</x:v>
      </x:c>
      <x:c r="Q240" s="48" t="str">
        <x:v>0.133</x:v>
      </x:c>
      <x:c r="R240" s="48" t="str">
        <x:v>DRIVER DOES NOT SEPARATE</x:v>
      </x:c>
      <x:c r="S240" s="48" t="str">
        <x:v>0.067</x:v>
      </x:c>
      <x:c r="T240" s="48" t="str">
        <x:v>CONTROL_BUYOUT:N=15,p=0.133; GROWTH_CONTROL_HYBRID:N=5,p=0.200</x:v>
      </x:c>
      <x:c r="U240" s="48" t="str">
        <x:v>Maximum-minus-minimum prevalence among adequately observed groups is no more than 0.15.</x:v>
      </x:c>
      <x:c r="V240" s="48" t="str">
        <x:v>At least 5 observable manager families in at least 2 driver groups</x:v>
      </x:c>
      <x:c r="W240" s="48" t="str">
        <x:v>&gt;=0.35 separates; &lt;=0.15 does not separate; intermediate is inconclusive/confounded; direct driver-definition tests are CIRCULAR</x:v>
      </x:c>
      <x:c r="X240" s="48" t="str">
        <x:v>MANAGER_SELF_DESCRIPTION; NOT BEHAVIOURAL FREQUENCY</x:v>
      </x:c>
    </x:row>
    <x:row r="241">
      <x:c r="A241" s="48" t="str">
        <x:v>B_GOVERNANCE_SEGMENTATION</x:v>
      </x:c>
      <x:c r="B241" s="48" t="str">
        <x:v>Tier B v1.1 - N=29 rerun</x:v>
      </x:c>
      <x:c r="C241" s="48" t="str">
        <x:v>2026-07-16</x:v>
      </x:c>
      <x:c r="D241" s="48" t="str">
        <x:v>G14</x:v>
      </x:c>
      <x:c r="E241" s="48" t="str">
        <x:v>GATING_DECISION</x:v>
      </x:c>
      <x:c r="F241" s="48" t="str">
        <x:v>Individual veto right</x:v>
      </x:c>
      <x:c r="G241" s="48" t="str">
        <x:v>strategy</x:v>
      </x:c>
      <x:c r="H241" s="48" t="str">
        <x:v>GROWTH_CONTROL_HYBRID</x:v>
      </x:c>
      <x:c r="I241" s="48" t="str">
        <x:v>6</x:v>
      </x:c>
      <x:c r="J241" s="48" t="str">
        <x:v>1</x:v>
      </x:c>
      <x:c r="K241" s="48" t="str">
        <x:v>0</x:v>
      </x:c>
      <x:c r="L241" s="48" t="str">
        <x:v>4</x:v>
      </x:c>
      <x:c r="M241" s="48" t="str">
        <x:v>5</x:v>
      </x:c>
      <x:c r="N241" s="48" t="str">
        <x:v>1</x:v>
      </x:c>
      <x:c r="O241" s="48" t="str">
        <x:v>0</x:v>
      </x:c>
      <x:c r="P241" s="48" t="str">
        <x:v>0</x:v>
      </x:c>
      <x:c r="Q241" s="48" t="str">
        <x:v>0.200</x:v>
      </x:c>
      <x:c r="R241" s="48" t="str">
        <x:v>DRIVER DOES NOT SEPARATE</x:v>
      </x:c>
      <x:c r="S241" s="48" t="str">
        <x:v>0.067</x:v>
      </x:c>
      <x:c r="T241" s="48" t="str">
        <x:v>CONTROL_BUYOUT:N=15,p=0.133; GROWTH_CONTROL_HYBRID:N=5,p=0.200</x:v>
      </x:c>
      <x:c r="U241" s="48" t="str">
        <x:v>Maximum-minus-minimum prevalence among adequately observed groups is no more than 0.15.</x:v>
      </x:c>
      <x:c r="V241" s="48" t="str">
        <x:v>At least 5 observable manager families in at least 2 driver groups</x:v>
      </x:c>
      <x:c r="W241" s="48" t="str">
        <x:v>&gt;=0.35 separates; &lt;=0.15 does not separate; intermediate is inconclusive/confounded; direct driver-definition tests are CIRCULAR</x:v>
      </x:c>
      <x:c r="X241" s="48" t="str">
        <x:v>MANAGER_SELF_DESCRIPTION; NOT BEHAVIOURAL FREQUENCY</x:v>
      </x:c>
    </x:row>
    <x:row r="242">
      <x:c r="A242" s="48" t="str">
        <x:v>B_GOVERNANCE_SEGMENTATION</x:v>
      </x:c>
      <x:c r="B242" s="48" t="str">
        <x:v>Tier B v1.1 - N=29 rerun</x:v>
      </x:c>
      <x:c r="C242" s="48" t="str">
        <x:v>2026-07-16</x:v>
      </x:c>
      <x:c r="D242" s="48" t="str">
        <x:v>G14</x:v>
      </x:c>
      <x:c r="E242" s="48" t="str">
        <x:v>GATING_DECISION</x:v>
      </x:c>
      <x:c r="F242" s="48" t="str">
        <x:v>Individual veto right</x:v>
      </x:c>
      <x:c r="G242" s="48" t="str">
        <x:v>strategy</x:v>
      </x:c>
      <x:c r="H242" s="48" t="str">
        <x:v>OPPORTUNISTIC_CONTROL</x:v>
      </x:c>
      <x:c r="I242" s="48" t="str">
        <x:v>1</x:v>
      </x:c>
      <x:c r="J242" s="48" t="str">
        <x:v>1</x:v>
      </x:c>
      <x:c r="K242" s="48" t="str">
        <x:v>0</x:v>
      </x:c>
      <x:c r="L242" s="48" t="str">
        <x:v>0</x:v>
      </x:c>
      <x:c r="M242" s="48" t="str">
        <x:v>1</x:v>
      </x:c>
      <x:c r="N242" s="48" t="str">
        <x:v>0</x:v>
      </x:c>
      <x:c r="O242" s="48" t="str">
        <x:v>0</x:v>
      </x:c>
      <x:c r="P242" s="48" t="str">
        <x:v>0</x:v>
      </x:c>
      <x:c r="Q242" s="48" t="str">
        <x:v>1.000</x:v>
      </x:c>
      <x:c r="R242" s="48" t="str">
        <x:v>DRIVER DOES NOT SEPARATE</x:v>
      </x:c>
      <x:c r="S242" s="48" t="str">
        <x:v>0.067</x:v>
      </x:c>
      <x:c r="T242" s="48" t="str">
        <x:v>CONTROL_BUYOUT:N=15,p=0.133; GROWTH_CONTROL_HYBRID:N=5,p=0.200</x:v>
      </x:c>
      <x:c r="U242" s="48" t="str">
        <x:v>Maximum-minus-minimum prevalence among adequately observed groups is no more than 0.15.</x:v>
      </x:c>
      <x:c r="V242" s="48" t="str">
        <x:v>At least 5 observable manager families in at least 2 driver groups</x:v>
      </x:c>
      <x:c r="W242" s="48" t="str">
        <x:v>&gt;=0.35 separates; &lt;=0.15 does not separate; intermediate is inconclusive/confounded; direct driver-definition tests are CIRCULAR</x:v>
      </x:c>
      <x:c r="X242" s="48" t="str">
        <x:v>MANAGER_SELF_DESCRIPTION; NOT BEHAVIOURAL FREQUENCY</x:v>
      </x:c>
    </x:row>
    <x:row r="243">
      <x:c r="A243" s="48" t="str">
        <x:v>B_GOVERNANCE_SEGMENTATION</x:v>
      </x:c>
      <x:c r="B243" s="48" t="str">
        <x:v>Tier B v1.1 - N=29 rerun</x:v>
      </x:c>
      <x:c r="C243" s="48" t="str">
        <x:v>2026-07-16</x:v>
      </x:c>
      <x:c r="D243" s="48" t="str">
        <x:v>G14</x:v>
      </x:c>
      <x:c r="E243" s="48" t="str">
        <x:v>GATING_DECISION</x:v>
      </x:c>
      <x:c r="F243" s="48" t="str">
        <x:v>Individual veto right</x:v>
      </x:c>
      <x:c r="G243" s="48" t="str">
        <x:v>geography</x:v>
      </x:c>
      <x:c r="H243" s="48" t="str">
        <x:v>ASIA_PACIFIC</x:v>
      </x:c>
      <x:c r="I243" s="48" t="str">
        <x:v>4</x:v>
      </x:c>
      <x:c r="J243" s="48" t="str">
        <x:v>0</x:v>
      </x:c>
      <x:c r="K243" s="48" t="str">
        <x:v>0</x:v>
      </x:c>
      <x:c r="L243" s="48" t="str">
        <x:v>3</x:v>
      </x:c>
      <x:c r="M243" s="48" t="str">
        <x:v>3</x:v>
      </x:c>
      <x:c r="N243" s="48" t="str">
        <x:v>1</x:v>
      </x:c>
      <x:c r="O243" s="48" t="str">
        <x:v>0</x:v>
      </x:c>
      <x:c r="P243" s="48" t="str">
        <x:v>0</x:v>
      </x:c>
      <x:c r="Q243" s="48" t="str">
        <x:v>0.000</x:v>
      </x:c>
      <x:c r="R243" s="48" t="str">
        <x:v>INCONCLUSIVE OR CONFOUNDED</x:v>
      </x:c>
      <x:c r="S243" s="48" t="str">
        <x:v>0.157</x:v>
      </x:c>
      <x:c r="T243" s="48" t="str">
        <x:v>GLOBAL_TRANSATLANTIC:N=7,p=0.143; NORTH_AMERICA:N=10,p=0.300</x:v>
      </x:c>
      <x:c r="U243" s="48" t="str">
        <x:v>Adequate groups differ, but the maximum-minus-minimum prevalence lies between 0.15 and 0.35.</x:v>
      </x:c>
      <x:c r="V243" s="48" t="str">
        <x:v>At least 5 observable manager families in at least 2 driver groups</x:v>
      </x:c>
      <x:c r="W243" s="48" t="str">
        <x:v>&gt;=0.35 separates; &lt;=0.15 does not separate; intermediate is inconclusive/confounded; direct driver-definition tests are CIRCULAR</x:v>
      </x:c>
      <x:c r="X243" s="48" t="str">
        <x:v>MANAGER_SELF_DESCRIPTION; NOT BEHAVIOURAL FREQUENCY</x:v>
      </x:c>
    </x:row>
    <x:row r="244">
      <x:c r="A244" s="48" t="str">
        <x:v>B_GOVERNANCE_SEGMENTATION</x:v>
      </x:c>
      <x:c r="B244" s="48" t="str">
        <x:v>Tier B v1.1 - N=29 rerun</x:v>
      </x:c>
      <x:c r="C244" s="48" t="str">
        <x:v>2026-07-16</x:v>
      </x:c>
      <x:c r="D244" s="48" t="str">
        <x:v>G14</x:v>
      </x:c>
      <x:c r="E244" s="48" t="str">
        <x:v>GATING_DECISION</x:v>
      </x:c>
      <x:c r="F244" s="48" t="str">
        <x:v>Individual veto right</x:v>
      </x:c>
      <x:c r="G244" s="48" t="str">
        <x:v>geography</x:v>
      </x:c>
      <x:c r="H244" s="48" t="str">
        <x:v>EUROPE</x:v>
      </x:c>
      <x:c r="I244" s="48" t="str">
        <x:v>2</x:v>
      </x:c>
      <x:c r="J244" s="48" t="str">
        <x:v>0</x:v>
      </x:c>
      <x:c r="K244" s="48" t="str">
        <x:v>0</x:v>
      </x:c>
      <x:c r="L244" s="48" t="str">
        <x:v>1</x:v>
      </x:c>
      <x:c r="M244" s="48" t="str">
        <x:v>1</x:v>
      </x:c>
      <x:c r="N244" s="48" t="str">
        <x:v>1</x:v>
      </x:c>
      <x:c r="O244" s="48" t="str">
        <x:v>0</x:v>
      </x:c>
      <x:c r="P244" s="48" t="str">
        <x:v>0</x:v>
      </x:c>
      <x:c r="Q244" s="48" t="str">
        <x:v>0.000</x:v>
      </x:c>
      <x:c r="R244" s="48" t="str">
        <x:v>INCONCLUSIVE OR CONFOUNDED</x:v>
      </x:c>
      <x:c r="S244" s="48" t="str">
        <x:v>0.157</x:v>
      </x:c>
      <x:c r="T244" s="48" t="str">
        <x:v>GLOBAL_TRANSATLANTIC:N=7,p=0.143; NORTH_AMERICA:N=10,p=0.300</x:v>
      </x:c>
      <x:c r="U244" s="48" t="str">
        <x:v>Adequate groups differ, but the maximum-minus-minimum prevalence lies between 0.15 and 0.35.</x:v>
      </x:c>
      <x:c r="V244" s="48" t="str">
        <x:v>At least 5 observable manager families in at least 2 driver groups</x:v>
      </x:c>
      <x:c r="W244" s="48" t="str">
        <x:v>&gt;=0.35 separates; &lt;=0.15 does not separate; intermediate is inconclusive/confounded; direct driver-definition tests are CIRCULAR</x:v>
      </x:c>
      <x:c r="X244" s="48" t="str">
        <x:v>MANAGER_SELF_DESCRIPTION; NOT BEHAVIOURAL FREQUENCY</x:v>
      </x:c>
    </x:row>
    <x:row r="245">
      <x:c r="A245" s="48" t="str">
        <x:v>B_GOVERNANCE_SEGMENTATION</x:v>
      </x:c>
      <x:c r="B245" s="48" t="str">
        <x:v>Tier B v1.1 - N=29 rerun</x:v>
      </x:c>
      <x:c r="C245" s="48" t="str">
        <x:v>2026-07-16</x:v>
      </x:c>
      <x:c r="D245" s="48" t="str">
        <x:v>G14</x:v>
      </x:c>
      <x:c r="E245" s="48" t="str">
        <x:v>GATING_DECISION</x:v>
      </x:c>
      <x:c r="F245" s="48" t="str">
        <x:v>Individual veto right</x:v>
      </x:c>
      <x:c r="G245" s="48" t="str">
        <x:v>geography</x:v>
      </x:c>
      <x:c r="H245" s="48" t="str">
        <x:v>GLOBAL_TRANSATLANTIC</x:v>
      </x:c>
      <x:c r="I245" s="48" t="str">
        <x:v>10</x:v>
      </x:c>
      <x:c r="J245" s="48" t="str">
        <x:v>1</x:v>
      </x:c>
      <x:c r="K245" s="48" t="str">
        <x:v>0</x:v>
      </x:c>
      <x:c r="L245" s="48" t="str">
        <x:v>6</x:v>
      </x:c>
      <x:c r="M245" s="48" t="str">
        <x:v>7</x:v>
      </x:c>
      <x:c r="N245" s="48" t="str">
        <x:v>3</x:v>
      </x:c>
      <x:c r="O245" s="48" t="str">
        <x:v>0</x:v>
      </x:c>
      <x:c r="P245" s="48" t="str">
        <x:v>0</x:v>
      </x:c>
      <x:c r="Q245" s="48" t="str">
        <x:v>0.143</x:v>
      </x:c>
      <x:c r="R245" s="48" t="str">
        <x:v>INCONCLUSIVE OR CONFOUNDED</x:v>
      </x:c>
      <x:c r="S245" s="48" t="str">
        <x:v>0.157</x:v>
      </x:c>
      <x:c r="T245" s="48" t="str">
        <x:v>GLOBAL_TRANSATLANTIC:N=7,p=0.143; NORTH_AMERICA:N=10,p=0.300</x:v>
      </x:c>
      <x:c r="U245" s="48" t="str">
        <x:v>Adequate groups differ, but the maximum-minus-minimum prevalence lies between 0.15 and 0.35.</x:v>
      </x:c>
      <x:c r="V245" s="48" t="str">
        <x:v>At least 5 observable manager families in at least 2 driver groups</x:v>
      </x:c>
      <x:c r="W245" s="48" t="str">
        <x:v>&gt;=0.35 separates; &lt;=0.15 does not separate; intermediate is inconclusive/confounded; direct driver-definition tests are CIRCULAR</x:v>
      </x:c>
      <x:c r="X245" s="48" t="str">
        <x:v>MANAGER_SELF_DESCRIPTION; NOT BEHAVIOURAL FREQUENCY</x:v>
      </x:c>
    </x:row>
    <x:row r="246">
      <x:c r="A246" s="48" t="str">
        <x:v>B_GOVERNANCE_SEGMENTATION</x:v>
      </x:c>
      <x:c r="B246" s="48" t="str">
        <x:v>Tier B v1.1 - N=29 rerun</x:v>
      </x:c>
      <x:c r="C246" s="48" t="str">
        <x:v>2026-07-16</x:v>
      </x:c>
      <x:c r="D246" s="48" t="str">
        <x:v>G14</x:v>
      </x:c>
      <x:c r="E246" s="48" t="str">
        <x:v>GATING_DECISION</x:v>
      </x:c>
      <x:c r="F246" s="48" t="str">
        <x:v>Individual veto right</x:v>
      </x:c>
      <x:c r="G246" s="48" t="str">
        <x:v>geography</x:v>
      </x:c>
      <x:c r="H246" s="48" t="str">
        <x:v>NORTH_AMERICA</x:v>
      </x:c>
      <x:c r="I246" s="48" t="str">
        <x:v>13</x:v>
      </x:c>
      <x:c r="J246" s="48" t="str">
        <x:v>3</x:v>
      </x:c>
      <x:c r="K246" s="48" t="str">
        <x:v>0</x:v>
      </x:c>
      <x:c r="L246" s="48" t="str">
        <x:v>7</x:v>
      </x:c>
      <x:c r="M246" s="48" t="str">
        <x:v>10</x:v>
      </x:c>
      <x:c r="N246" s="48" t="str">
        <x:v>3</x:v>
      </x:c>
      <x:c r="O246" s="48" t="str">
        <x:v>0</x:v>
      </x:c>
      <x:c r="P246" s="48" t="str">
        <x:v>0</x:v>
      </x:c>
      <x:c r="Q246" s="48" t="str">
        <x:v>0.300</x:v>
      </x:c>
      <x:c r="R246" s="48" t="str">
        <x:v>INCONCLUSIVE OR CONFOUNDED</x:v>
      </x:c>
      <x:c r="S246" s="48" t="str">
        <x:v>0.157</x:v>
      </x:c>
      <x:c r="T246" s="48" t="str">
        <x:v>GLOBAL_TRANSATLANTIC:N=7,p=0.143; NORTH_AMERICA:N=10,p=0.300</x:v>
      </x:c>
      <x:c r="U246" s="48" t="str">
        <x:v>Adequate groups differ, but the maximum-minus-minimum prevalence lies between 0.15 and 0.35.</x:v>
      </x:c>
      <x:c r="V246" s="48" t="str">
        <x:v>At least 5 observable manager families in at least 2 driver groups</x:v>
      </x:c>
      <x:c r="W246" s="48" t="str">
        <x:v>&gt;=0.35 separates; &lt;=0.15 does not separate; intermediate is inconclusive/confounded; direct driver-definition tests are CIRCULAR</x:v>
      </x:c>
      <x:c r="X246" s="48" t="str">
        <x:v>MANAGER_SELF_DESCRIPTION; NOT BEHAVIOURAL FREQUENCY</x:v>
      </x:c>
    </x:row>
    <x:row r="247">
      <x:c r="A247" s="48" t="str">
        <x:v>B_GOVERNANCE_SEGMENTATION</x:v>
      </x:c>
      <x:c r="B247" s="48" t="str">
        <x:v>Tier B v1.1 - N=29 rerun</x:v>
      </x:c>
      <x:c r="C247" s="48" t="str">
        <x:v>2026-07-16</x:v>
      </x:c>
      <x:c r="D247" s="48" t="str">
        <x:v>G14</x:v>
      </x:c>
      <x:c r="E247" s="48" t="str">
        <x:v>GATING_DECISION</x:v>
      </x:c>
      <x:c r="F247" s="48" t="str">
        <x:v>Individual veto right</x:v>
      </x:c>
      <x:c r="G247" s="48" t="str">
        <x:v>source_vintage_bin</x:v>
      </x:c>
      <x:c r="H247" s="48" t="str">
        <x:v>2018_2020</x:v>
      </x:c>
      <x:c r="I247" s="48" t="str">
        <x:v>6</x:v>
      </x:c>
      <x:c r="J247" s="48" t="str">
        <x:v>1</x:v>
      </x:c>
      <x:c r="K247" s="48" t="str">
        <x:v>0</x:v>
      </x:c>
      <x:c r="L247" s="48" t="str">
        <x:v>5</x:v>
      </x:c>
      <x:c r="M247" s="48" t="str">
        <x:v>6</x:v>
      </x:c>
      <x:c r="N247" s="48" t="str">
        <x:v>0</x:v>
      </x:c>
      <x:c r="O247" s="48" t="str">
        <x:v>0</x:v>
      </x:c>
      <x:c r="P247" s="48" t="str">
        <x:v>0</x:v>
      </x:c>
      <x:c r="Q247" s="48" t="str">
        <x:v>0.167</x:v>
      </x:c>
      <x:c r="R247" s="48" t="str">
        <x:v>INCONCLUSIVE OR CONFOUNDED</x:v>
      </x:c>
      <x:c r="S247" s="48" t="str">
        <x:v>0.333</x:v>
      </x:c>
      <x:c r="T247" s="48" t="str">
        <x:v>2018_2020:N=6,p=0.167; 2021_2023:N=6,p=0.000; 2024_2026:N=9,p=0.333</x:v>
      </x:c>
      <x:c r="U247" s="48" t="str">
        <x:v>Adequate groups differ, but the maximum-minus-minimum prevalence lies between 0.15 and 0.35.</x:v>
      </x:c>
      <x:c r="V247" s="48" t="str">
        <x:v>At least 5 observable manager families in at least 2 driver groups</x:v>
      </x:c>
      <x:c r="W247" s="48" t="str">
        <x:v>&gt;=0.35 separates; &lt;=0.15 does not separate; intermediate is inconclusive/confounded; direct driver-definition tests are CIRCULAR</x:v>
      </x:c>
      <x:c r="X247" s="48" t="str">
        <x:v>MANAGER_SELF_DESCRIPTION; NOT BEHAVIOURAL FREQUENCY</x:v>
      </x:c>
    </x:row>
    <x:row r="248">
      <x:c r="A248" s="48" t="str">
        <x:v>B_GOVERNANCE_SEGMENTATION</x:v>
      </x:c>
      <x:c r="B248" s="48" t="str">
        <x:v>Tier B v1.1 - N=29 rerun</x:v>
      </x:c>
      <x:c r="C248" s="48" t="str">
        <x:v>2026-07-16</x:v>
      </x:c>
      <x:c r="D248" s="48" t="str">
        <x:v>G14</x:v>
      </x:c>
      <x:c r="E248" s="48" t="str">
        <x:v>GATING_DECISION</x:v>
      </x:c>
      <x:c r="F248" s="48" t="str">
        <x:v>Individual veto right</x:v>
      </x:c>
      <x:c r="G248" s="48" t="str">
        <x:v>source_vintage_bin</x:v>
      </x:c>
      <x:c r="H248" s="48" t="str">
        <x:v>2021_2023</x:v>
      </x:c>
      <x:c r="I248" s="48" t="str">
        <x:v>11</x:v>
      </x:c>
      <x:c r="J248" s="48" t="str">
        <x:v>0</x:v>
      </x:c>
      <x:c r="K248" s="48" t="str">
        <x:v>0</x:v>
      </x:c>
      <x:c r="L248" s="48" t="str">
        <x:v>6</x:v>
      </x:c>
      <x:c r="M248" s="48" t="str">
        <x:v>6</x:v>
      </x:c>
      <x:c r="N248" s="48" t="str">
        <x:v>5</x:v>
      </x:c>
      <x:c r="O248" s="48" t="str">
        <x:v>0</x:v>
      </x:c>
      <x:c r="P248" s="48" t="str">
        <x:v>0</x:v>
      </x:c>
      <x:c r="Q248" s="48" t="str">
        <x:v>0.000</x:v>
      </x:c>
      <x:c r="R248" s="48" t="str">
        <x:v>INCONCLUSIVE OR CONFOUNDED</x:v>
      </x:c>
      <x:c r="S248" s="48" t="str">
        <x:v>0.333</x:v>
      </x:c>
      <x:c r="T248" s="48" t="str">
        <x:v>2018_2020:N=6,p=0.167; 2021_2023:N=6,p=0.000; 2024_2026:N=9,p=0.333</x:v>
      </x:c>
      <x:c r="U248" s="48" t="str">
        <x:v>Adequate groups differ, but the maximum-minus-minimum prevalence lies between 0.15 and 0.35.</x:v>
      </x:c>
      <x:c r="V248" s="48" t="str">
        <x:v>At least 5 observable manager families in at least 2 driver groups</x:v>
      </x:c>
      <x:c r="W248" s="48" t="str">
        <x:v>&gt;=0.35 separates; &lt;=0.15 does not separate; intermediate is inconclusive/confounded; direct driver-definition tests are CIRCULAR</x:v>
      </x:c>
      <x:c r="X248" s="48" t="str">
        <x:v>MANAGER_SELF_DESCRIPTION; NOT BEHAVIOURAL FREQUENCY</x:v>
      </x:c>
    </x:row>
    <x:row r="249">
      <x:c r="A249" s="48" t="str">
        <x:v>B_GOVERNANCE_SEGMENTATION</x:v>
      </x:c>
      <x:c r="B249" s="48" t="str">
        <x:v>Tier B v1.1 - N=29 rerun</x:v>
      </x:c>
      <x:c r="C249" s="48" t="str">
        <x:v>2026-07-16</x:v>
      </x:c>
      <x:c r="D249" s="48" t="str">
        <x:v>G14</x:v>
      </x:c>
      <x:c r="E249" s="48" t="str">
        <x:v>GATING_DECISION</x:v>
      </x:c>
      <x:c r="F249" s="48" t="str">
        <x:v>Individual veto right</x:v>
      </x:c>
      <x:c r="G249" s="48" t="str">
        <x:v>source_vintage_bin</x:v>
      </x:c>
      <x:c r="H249" s="48" t="str">
        <x:v>2024_2026</x:v>
      </x:c>
      <x:c r="I249" s="48" t="str">
        <x:v>12</x:v>
      </x:c>
      <x:c r="J249" s="48" t="str">
        <x:v>3</x:v>
      </x:c>
      <x:c r="K249" s="48" t="str">
        <x:v>0</x:v>
      </x:c>
      <x:c r="L249" s="48" t="str">
        <x:v>6</x:v>
      </x:c>
      <x:c r="M249" s="48" t="str">
        <x:v>9</x:v>
      </x:c>
      <x:c r="N249" s="48" t="str">
        <x:v>3</x:v>
      </x:c>
      <x:c r="O249" s="48" t="str">
        <x:v>0</x:v>
      </x:c>
      <x:c r="P249" s="48" t="str">
        <x:v>0</x:v>
      </x:c>
      <x:c r="Q249" s="48" t="str">
        <x:v>0.333</x:v>
      </x:c>
      <x:c r="R249" s="48" t="str">
        <x:v>INCONCLUSIVE OR CONFOUNDED</x:v>
      </x:c>
      <x:c r="S249" s="48" t="str">
        <x:v>0.333</x:v>
      </x:c>
      <x:c r="T249" s="48" t="str">
        <x:v>2018_2020:N=6,p=0.167; 2021_2023:N=6,p=0.000; 2024_2026:N=9,p=0.333</x:v>
      </x:c>
      <x:c r="U249" s="48" t="str">
        <x:v>Adequate groups differ, but the maximum-minus-minimum prevalence lies between 0.15 and 0.35.</x:v>
      </x:c>
      <x:c r="V249" s="48" t="str">
        <x:v>At least 5 observable manager families in at least 2 driver groups</x:v>
      </x:c>
      <x:c r="W249" s="48" t="str">
        <x:v>&gt;=0.35 separates; &lt;=0.15 does not separate; intermediate is inconclusive/confounded; direct driver-definition tests are CIRCULAR</x:v>
      </x:c>
      <x:c r="X249" s="48" t="str">
        <x:v>MANAGER_SELF_DESCRIPTION; NOT BEHAVIOURAL FREQUENCY</x:v>
      </x:c>
    </x:row>
    <x:row r="250">
      <x:c r="A250" s="48" t="str">
        <x:v>B_GOVERNANCE_SEGMENTATION</x:v>
      </x:c>
      <x:c r="B250" s="48" t="str">
        <x:v>Tier B v1.1 - N=29 rerun</x:v>
      </x:c>
      <x:c r="C250" s="48" t="str">
        <x:v>2026-07-16</x:v>
      </x:c>
      <x:c r="D250" s="48" t="str">
        <x:v>G14</x:v>
      </x:c>
      <x:c r="E250" s="48" t="str">
        <x:v>GATING_DECISION</x:v>
      </x:c>
      <x:c r="F250" s="48" t="str">
        <x:v>Individual veto right</x:v>
      </x:c>
      <x:c r="G250" s="48" t="str">
        <x:v>governance_architecture</x:v>
      </x:c>
      <x:c r="H250" s="48" t="str">
        <x:v>IC_FINAL_OR_DE_FACTO</x:v>
      </x:c>
      <x:c r="I250" s="48" t="str">
        <x:v>26</x:v>
      </x:c>
      <x:c r="J250" s="48" t="str">
        <x:v>4</x:v>
      </x:c>
      <x:c r="K250" s="48" t="str">
        <x:v>0</x:v>
      </x:c>
      <x:c r="L250" s="48" t="str">
        <x:v>14</x:v>
      </x:c>
      <x:c r="M250" s="48" t="str">
        <x:v>18</x:v>
      </x:c>
      <x:c r="N250" s="48" t="str">
        <x:v>8</x:v>
      </x:c>
      <x:c r="O250" s="48" t="str">
        <x:v>0</x:v>
      </x:c>
      <x:c r="P250" s="48" t="str">
        <x:v>0</x:v>
      </x:c>
      <x:c r="Q250" s="48" t="str">
        <x:v>0.222</x:v>
      </x:c>
      <x:c r="R250" s="48" t="str">
        <x:v>N TOO SMALL</x:v>
      </x:c>
      <x:c r="S250" s="48" t="str"/>
      <x:c r="T250" s="48" t="str">
        <x:v>IC_FINAL_OR_DE_FACTO:N=18,p=0.222</x:v>
      </x:c>
      <x:c r="U250" s="48" t="str">
        <x:v>Fewer than two driver groups have at least 5 observable manager families.</x:v>
      </x:c>
      <x:c r="V250" s="48" t="str">
        <x:v>At least 5 observable manager families in at least 2 driver groups</x:v>
      </x:c>
      <x:c r="W250" s="48" t="str">
        <x:v>&gt;=0.35 separates; &lt;=0.15 does not separate; intermediate is inconclusive/confounded; direct driver-definition tests are CIRCULAR</x:v>
      </x:c>
      <x:c r="X250" s="48" t="str">
        <x:v>MANAGER_SELF_DESCRIPTION; NOT BEHAVIOURAL FREQUENCY</x:v>
      </x:c>
    </x:row>
    <x:row r="251">
      <x:c r="A251" s="48" t="str">
        <x:v>B_GOVERNANCE_SEGMENTATION</x:v>
      </x:c>
      <x:c r="B251" s="48" t="str">
        <x:v>Tier B v1.1 - N=29 rerun</x:v>
      </x:c>
      <x:c r="C251" s="48" t="str">
        <x:v>2026-07-16</x:v>
      </x:c>
      <x:c r="D251" s="48" t="str">
        <x:v>G14</x:v>
      </x:c>
      <x:c r="E251" s="48" t="str">
        <x:v>GATING_DECISION</x:v>
      </x:c>
      <x:c r="F251" s="48" t="str">
        <x:v>Individual veto right</x:v>
      </x:c>
      <x:c r="G251" s="48" t="str">
        <x:v>governance_architecture</x:v>
      </x:c>
      <x:c r="H251" s="48" t="str">
        <x:v>IC_RECOMMENDS_SEPARATE_FINAL_AUTHORITY</x:v>
      </x:c>
      <x:c r="I251" s="48" t="str">
        <x:v>3</x:v>
      </x:c>
      <x:c r="J251" s="48" t="str">
        <x:v>0</x:v>
      </x:c>
      <x:c r="K251" s="48" t="str">
        <x:v>0</x:v>
      </x:c>
      <x:c r="L251" s="48" t="str">
        <x:v>3</x:v>
      </x:c>
      <x:c r="M251" s="48" t="str">
        <x:v>3</x:v>
      </x:c>
      <x:c r="N251" s="48" t="str">
        <x:v>0</x:v>
      </x:c>
      <x:c r="O251" s="48" t="str">
        <x:v>0</x:v>
      </x:c>
      <x:c r="P251" s="48" t="str">
        <x:v>0</x:v>
      </x:c>
      <x:c r="Q251" s="48" t="str">
        <x:v>0.000</x:v>
      </x:c>
      <x:c r="R251" s="48" t="str">
        <x:v>N TOO SMALL</x:v>
      </x:c>
      <x:c r="S251" s="48" t="str"/>
      <x:c r="T251" s="48" t="str">
        <x:v>IC_FINAL_OR_DE_FACTO:N=18,p=0.222</x:v>
      </x:c>
      <x:c r="U251" s="48" t="str">
        <x:v>Fewer than two driver groups have at least 5 observable manager families.</x:v>
      </x:c>
      <x:c r="V251" s="48" t="str">
        <x:v>At least 5 observable manager families in at least 2 driver groups</x:v>
      </x:c>
      <x:c r="W251" s="48" t="str">
        <x:v>&gt;=0.35 separates; &lt;=0.15 does not separate; intermediate is inconclusive/confounded; direct driver-definition tests are CIRCULAR</x:v>
      </x:c>
      <x:c r="X251" s="48" t="str">
        <x:v>MANAGER_SELF_DESCRIPTION; NOT BEHAVIOURAL FREQUENCY</x:v>
      </x:c>
    </x:row>
    <x:row r="252">
      <x:c r="A252" s="48" t="str">
        <x:v>B_GOVERNANCE_SEGMENTATION</x:v>
      </x:c>
      <x:c r="B252" s="48" t="str">
        <x:v>Tier B v1.1 - N=29 rerun</x:v>
      </x:c>
      <x:c r="C252" s="48" t="str">
        <x:v>2026-07-16</x:v>
      </x:c>
      <x:c r="D252" s="48" t="str">
        <x:v>G14</x:v>
      </x:c>
      <x:c r="E252" s="48" t="str">
        <x:v>GATING_DECISION</x:v>
      </x:c>
      <x:c r="F252" s="48" t="str">
        <x:v>Individual veto right</x:v>
      </x:c>
      <x:c r="G252" s="48" t="str">
        <x:v>dedicated_operating_team</x:v>
      </x:c>
      <x:c r="H252" s="48" t="str">
        <x:v>NO_OR_LIMITED</x:v>
      </x:c>
      <x:c r="I252" s="48" t="str">
        <x:v>6</x:v>
      </x:c>
      <x:c r="J252" s="48" t="str">
        <x:v>1</x:v>
      </x:c>
      <x:c r="K252" s="48" t="str">
        <x:v>0</x:v>
      </x:c>
      <x:c r="L252" s="48" t="str">
        <x:v>4</x:v>
      </x:c>
      <x:c r="M252" s="48" t="str">
        <x:v>5</x:v>
      </x:c>
      <x:c r="N252" s="48" t="str">
        <x:v>1</x:v>
      </x:c>
      <x:c r="O252" s="48" t="str">
        <x:v>0</x:v>
      </x:c>
      <x:c r="P252" s="48" t="str">
        <x:v>0</x:v>
      </x:c>
      <x:c r="Q252" s="48" t="str">
        <x:v>0.200</x:v>
      </x:c>
      <x:c r="R252" s="48" t="str">
        <x:v>DRIVER DOES NOT SEPARATE</x:v>
      </x:c>
      <x:c r="S252" s="48" t="str">
        <x:v>0.013</x:v>
      </x:c>
      <x:c r="T252" s="48" t="str">
        <x:v>NO_OR_LIMITED:N=5,p=0.200; YES_DEDICATED:N=16,p=0.188</x:v>
      </x:c>
      <x:c r="U252" s="48" t="str">
        <x:v>Maximum-minus-minimum prevalence among adequately observed groups is no more than 0.15.</x:v>
      </x:c>
      <x:c r="V252" s="48" t="str">
        <x:v>At least 5 observable manager families in at least 2 driver groups</x:v>
      </x:c>
      <x:c r="W252" s="48" t="str">
        <x:v>&gt;=0.35 separates; &lt;=0.15 does not separate; intermediate is inconclusive/confounded; direct driver-definition tests are CIRCULAR</x:v>
      </x:c>
      <x:c r="X252" s="48" t="str">
        <x:v>MANAGER_SELF_DESCRIPTION; NOT BEHAVIOURAL FREQUENCY</x:v>
      </x:c>
    </x:row>
    <x:row r="253">
      <x:c r="A253" s="48" t="str">
        <x:v>B_GOVERNANCE_SEGMENTATION</x:v>
      </x:c>
      <x:c r="B253" s="48" t="str">
        <x:v>Tier B v1.1 - N=29 rerun</x:v>
      </x:c>
      <x:c r="C253" s="48" t="str">
        <x:v>2026-07-16</x:v>
      </x:c>
      <x:c r="D253" s="48" t="str">
        <x:v>G14</x:v>
      </x:c>
      <x:c r="E253" s="48" t="str">
        <x:v>GATING_DECISION</x:v>
      </x:c>
      <x:c r="F253" s="48" t="str">
        <x:v>Individual veto right</x:v>
      </x:c>
      <x:c r="G253" s="48" t="str">
        <x:v>dedicated_operating_team</x:v>
      </x:c>
      <x:c r="H253" s="48" t="str">
        <x:v>YES_DEDICATED</x:v>
      </x:c>
      <x:c r="I253" s="48" t="str">
        <x:v>23</x:v>
      </x:c>
      <x:c r="J253" s="48" t="str">
        <x:v>3</x:v>
      </x:c>
      <x:c r="K253" s="48" t="str">
        <x:v>0</x:v>
      </x:c>
      <x:c r="L253" s="48" t="str">
        <x:v>13</x:v>
      </x:c>
      <x:c r="M253" s="48" t="str">
        <x:v>16</x:v>
      </x:c>
      <x:c r="N253" s="48" t="str">
        <x:v>7</x:v>
      </x:c>
      <x:c r="O253" s="48" t="str">
        <x:v>0</x:v>
      </x:c>
      <x:c r="P253" s="48" t="str">
        <x:v>0</x:v>
      </x:c>
      <x:c r="Q253" s="48" t="str">
        <x:v>0.188</x:v>
      </x:c>
      <x:c r="R253" s="48" t="str">
        <x:v>DRIVER DOES NOT SEPARATE</x:v>
      </x:c>
      <x:c r="S253" s="48" t="str">
        <x:v>0.013</x:v>
      </x:c>
      <x:c r="T253" s="48" t="str">
        <x:v>NO_OR_LIMITED:N=5,p=0.200; YES_DEDICATED:N=16,p=0.188</x:v>
      </x:c>
      <x:c r="U253" s="48" t="str">
        <x:v>Maximum-minus-minimum prevalence among adequately observed groups is no more than 0.15.</x:v>
      </x:c>
      <x:c r="V253" s="48" t="str">
        <x:v>At least 5 observable manager families in at least 2 driver groups</x:v>
      </x:c>
      <x:c r="W253" s="48" t="str">
        <x:v>&gt;=0.35 separates; &lt;=0.15 does not separate; intermediate is inconclusive/confounded; direct driver-definition tests are CIRCULAR</x:v>
      </x:c>
      <x:c r="X253" s="48" t="str">
        <x:v>MANAGER_SELF_DESCRIPTION; NOT BEHAVIOURAL FREQUENCY</x:v>
      </x:c>
    </x:row>
    <x:row r="254">
      <x:c r="A254" s="48" t="str">
        <x:v>B_GOVERNANCE_SEGMENTATION</x:v>
      </x:c>
      <x:c r="B254" s="48" t="str">
        <x:v>Tier B v1.1 - N=29 rerun</x:v>
      </x:c>
      <x:c r="C254" s="48" t="str">
        <x:v>2026-07-16</x:v>
      </x:c>
      <x:c r="D254" s="48" t="str">
        <x:v>G15</x:v>
      </x:c>
      <x:c r="E254" s="48" t="str">
        <x:v>GATING_DECISION</x:v>
      </x:c>
      <x:c r="F254" s="48" t="str">
        <x:v>Two-negative-vote block</x:v>
      </x:c>
      <x:c r="G254" s="48" t="str">
        <x:v>fund_size_archetype</x:v>
      </x:c>
      <x:c r="H254" s="48" t="str">
        <x:v>LARGE_2_TO_LT_5B</x:v>
      </x:c>
      <x:c r="I254" s="48" t="str">
        <x:v>9</x:v>
      </x:c>
      <x:c r="J254" s="48" t="str">
        <x:v>0</x:v>
      </x:c>
      <x:c r="K254" s="48" t="str">
        <x:v>0</x:v>
      </x:c>
      <x:c r="L254" s="48" t="str">
        <x:v>8</x:v>
      </x:c>
      <x:c r="M254" s="48" t="str">
        <x:v>8</x:v>
      </x:c>
      <x:c r="N254" s="48" t="str">
        <x:v>1</x:v>
      </x:c>
      <x:c r="O254" s="48" t="str">
        <x:v>0</x:v>
      </x:c>
      <x:c r="P254" s="48" t="str">
        <x:v>0</x:v>
      </x:c>
      <x:c r="Q254" s="48" t="str">
        <x:v>0.000</x:v>
      </x:c>
      <x:c r="R254" s="48" t="str">
        <x:v>DRIVER DOES NOT SEPARATE</x:v>
      </x:c>
      <x:c r="S254" s="48" t="str">
        <x:v>0.125</x:v>
      </x:c>
      <x:c r="T254" s="48" t="str">
        <x:v>LARGE_2_TO_LT_5B:N=8,p=0.000; MEGA_GE_5B:N=8,p=0.125</x:v>
      </x:c>
      <x:c r="U254" s="48" t="str">
        <x:v>Maximum-minus-minimum prevalence among adequately observed groups is no more than 0.15.</x:v>
      </x:c>
      <x:c r="V254" s="48" t="str">
        <x:v>At least 5 observable manager families in at least 2 driver groups</x:v>
      </x:c>
      <x:c r="W254" s="48" t="str">
        <x:v>&gt;=0.35 separates; &lt;=0.15 does not separate; intermediate is inconclusive/confounded; direct driver-definition tests are CIRCULAR</x:v>
      </x:c>
      <x:c r="X254" s="48" t="str">
        <x:v>MANAGER_SELF_DESCRIPTION; NOT BEHAVIOURAL FREQUENCY</x:v>
      </x:c>
    </x:row>
    <x:row r="255">
      <x:c r="A255" s="48" t="str">
        <x:v>B_GOVERNANCE_SEGMENTATION</x:v>
      </x:c>
      <x:c r="B255" s="48" t="str">
        <x:v>Tier B v1.1 - N=29 rerun</x:v>
      </x:c>
      <x:c r="C255" s="48" t="str">
        <x:v>2026-07-16</x:v>
      </x:c>
      <x:c r="D255" s="48" t="str">
        <x:v>G15</x:v>
      </x:c>
      <x:c r="E255" s="48" t="str">
        <x:v>GATING_DECISION</x:v>
      </x:c>
      <x:c r="F255" s="48" t="str">
        <x:v>Two-negative-vote block</x:v>
      </x:c>
      <x:c r="G255" s="48" t="str">
        <x:v>fund_size_archetype</x:v>
      </x:c>
      <x:c r="H255" s="48" t="str">
        <x:v>LOWER_MID_LT_2B</x:v>
      </x:c>
      <x:c r="I255" s="48" t="str">
        <x:v>8</x:v>
      </x:c>
      <x:c r="J255" s="48" t="str">
        <x:v>0</x:v>
      </x:c>
      <x:c r="K255" s="48" t="str">
        <x:v>0</x:v>
      </x:c>
      <x:c r="L255" s="48" t="str">
        <x:v>4</x:v>
      </x:c>
      <x:c r="M255" s="48" t="str">
        <x:v>4</x:v>
      </x:c>
      <x:c r="N255" s="48" t="str">
        <x:v>4</x:v>
      </x:c>
      <x:c r="O255" s="48" t="str">
        <x:v>0</x:v>
      </x:c>
      <x:c r="P255" s="48" t="str">
        <x:v>0</x:v>
      </x:c>
      <x:c r="Q255" s="48" t="str">
        <x:v>0.000</x:v>
      </x:c>
      <x:c r="R255" s="48" t="str">
        <x:v>DRIVER DOES NOT SEPARATE</x:v>
      </x:c>
      <x:c r="S255" s="48" t="str">
        <x:v>0.125</x:v>
      </x:c>
      <x:c r="T255" s="48" t="str">
        <x:v>LARGE_2_TO_LT_5B:N=8,p=0.000; MEGA_GE_5B:N=8,p=0.125</x:v>
      </x:c>
      <x:c r="U255" s="48" t="str">
        <x:v>Maximum-minus-minimum prevalence among adequately observed groups is no more than 0.15.</x:v>
      </x:c>
      <x:c r="V255" s="48" t="str">
        <x:v>At least 5 observable manager families in at least 2 driver groups</x:v>
      </x:c>
      <x:c r="W255" s="48" t="str">
        <x:v>&gt;=0.35 separates; &lt;=0.15 does not separate; intermediate is inconclusive/confounded; direct driver-definition tests are CIRCULAR</x:v>
      </x:c>
      <x:c r="X255" s="48" t="str">
        <x:v>MANAGER_SELF_DESCRIPTION; NOT BEHAVIOURAL FREQUENCY</x:v>
      </x:c>
    </x:row>
    <x:row r="256">
      <x:c r="A256" s="48" t="str">
        <x:v>B_GOVERNANCE_SEGMENTATION</x:v>
      </x:c>
      <x:c r="B256" s="48" t="str">
        <x:v>Tier B v1.1 - N=29 rerun</x:v>
      </x:c>
      <x:c r="C256" s="48" t="str">
        <x:v>2026-07-16</x:v>
      </x:c>
      <x:c r="D256" s="48" t="str">
        <x:v>G15</x:v>
      </x:c>
      <x:c r="E256" s="48" t="str">
        <x:v>GATING_DECISION</x:v>
      </x:c>
      <x:c r="F256" s="48" t="str">
        <x:v>Two-negative-vote block</x:v>
      </x:c>
      <x:c r="G256" s="48" t="str">
        <x:v>fund_size_archetype</x:v>
      </x:c>
      <x:c r="H256" s="48" t="str">
        <x:v>MEGA_GE_5B</x:v>
      </x:c>
      <x:c r="I256" s="48" t="str">
        <x:v>11</x:v>
      </x:c>
      <x:c r="J256" s="48" t="str">
        <x:v>1</x:v>
      </x:c>
      <x:c r="K256" s="48" t="str">
        <x:v>0</x:v>
      </x:c>
      <x:c r="L256" s="48" t="str">
        <x:v>7</x:v>
      </x:c>
      <x:c r="M256" s="48" t="str">
        <x:v>8</x:v>
      </x:c>
      <x:c r="N256" s="48" t="str">
        <x:v>3</x:v>
      </x:c>
      <x:c r="O256" s="48" t="str">
        <x:v>0</x:v>
      </x:c>
      <x:c r="P256" s="48" t="str">
        <x:v>0</x:v>
      </x:c>
      <x:c r="Q256" s="48" t="str">
        <x:v>0.125</x:v>
      </x:c>
      <x:c r="R256" s="48" t="str">
        <x:v>DRIVER DOES NOT SEPARATE</x:v>
      </x:c>
      <x:c r="S256" s="48" t="str">
        <x:v>0.125</x:v>
      </x:c>
      <x:c r="T256" s="48" t="str">
        <x:v>LARGE_2_TO_LT_5B:N=8,p=0.000; MEGA_GE_5B:N=8,p=0.125</x:v>
      </x:c>
      <x:c r="U256" s="48" t="str">
        <x:v>Maximum-minus-minimum prevalence among adequately observed groups is no more than 0.15.</x:v>
      </x:c>
      <x:c r="V256" s="48" t="str">
        <x:v>At least 5 observable manager families in at least 2 driver groups</x:v>
      </x:c>
      <x:c r="W256" s="48" t="str">
        <x:v>&gt;=0.35 separates; &lt;=0.15 does not separate; intermediate is inconclusive/confounded; direct driver-definition tests are CIRCULAR</x:v>
      </x:c>
      <x:c r="X256" s="48" t="str">
        <x:v>MANAGER_SELF_DESCRIPTION; NOT BEHAVIOURAL FREQUENCY</x:v>
      </x:c>
    </x:row>
    <x:row r="257">
      <x:c r="A257" s="48" t="str">
        <x:v>B_GOVERNANCE_SEGMENTATION</x:v>
      </x:c>
      <x:c r="B257" s="48" t="str">
        <x:v>Tier B v1.1 - N=29 rerun</x:v>
      </x:c>
      <x:c r="C257" s="48" t="str">
        <x:v>2026-07-16</x:v>
      </x:c>
      <x:c r="D257" s="48" t="str">
        <x:v>G15</x:v>
      </x:c>
      <x:c r="E257" s="48" t="str">
        <x:v>GATING_DECISION</x:v>
      </x:c>
      <x:c r="F257" s="48" t="str">
        <x:v>Two-negative-vote block</x:v>
      </x:c>
      <x:c r="G257" s="48" t="str">
        <x:v>fund_size_archetype</x:v>
      </x:c>
      <x:c r="H257" s="48" t="str">
        <x:v>NOT_APPLICABLE</x:v>
      </x:c>
      <x:c r="I257" s="48" t="str">
        <x:v>1</x:v>
      </x:c>
      <x:c r="J257" s="48" t="str">
        <x:v>0</x:v>
      </x:c>
      <x:c r="K257" s="48" t="str">
        <x:v>0</x:v>
      </x:c>
      <x:c r="L257" s="48" t="str">
        <x:v>1</x:v>
      </x:c>
      <x:c r="M257" s="48" t="str">
        <x:v>1</x:v>
      </x:c>
      <x:c r="N257" s="48" t="str">
        <x:v>0</x:v>
      </x:c>
      <x:c r="O257" s="48" t="str">
        <x:v>0</x:v>
      </x:c>
      <x:c r="P257" s="48" t="str">
        <x:v>0</x:v>
      </x:c>
      <x:c r="Q257" s="48" t="str">
        <x:v>0.000</x:v>
      </x:c>
      <x:c r="R257" s="48" t="str">
        <x:v>DRIVER DOES NOT SEPARATE</x:v>
      </x:c>
      <x:c r="S257" s="48" t="str">
        <x:v>0.125</x:v>
      </x:c>
      <x:c r="T257" s="48" t="str">
        <x:v>LARGE_2_TO_LT_5B:N=8,p=0.000; MEGA_GE_5B:N=8,p=0.125</x:v>
      </x:c>
      <x:c r="U257" s="48" t="str">
        <x:v>Maximum-minus-minimum prevalence among adequately observed groups is no more than 0.15.</x:v>
      </x:c>
      <x:c r="V257" s="48" t="str">
        <x:v>At least 5 observable manager families in at least 2 driver groups</x:v>
      </x:c>
      <x:c r="W257" s="48" t="str">
        <x:v>&gt;=0.35 separates; &lt;=0.15 does not separate; intermediate is inconclusive/confounded; direct driver-definition tests are CIRCULAR</x:v>
      </x:c>
      <x:c r="X257" s="48" t="str">
        <x:v>MANAGER_SELF_DESCRIPTION; NOT BEHAVIOURAL FREQUENCY</x:v>
      </x:c>
    </x:row>
    <x:row r="258">
      <x:c r="A258" s="48" t="str">
        <x:v>B_GOVERNANCE_SEGMENTATION</x:v>
      </x:c>
      <x:c r="B258" s="48" t="str">
        <x:v>Tier B v1.1 - N=29 rerun</x:v>
      </x:c>
      <x:c r="C258" s="48" t="str">
        <x:v>2026-07-16</x:v>
      </x:c>
      <x:c r="D258" s="48" t="str">
        <x:v>G15</x:v>
      </x:c>
      <x:c r="E258" s="48" t="str">
        <x:v>GATING_DECISION</x:v>
      </x:c>
      <x:c r="F258" s="48" t="str">
        <x:v>Two-negative-vote block</x:v>
      </x:c>
      <x:c r="G258" s="48" t="str">
        <x:v>strategy</x:v>
      </x:c>
      <x:c r="H258" s="48" t="str">
        <x:v>CONTROL_BUYOUT</x:v>
      </x:c>
      <x:c r="I258" s="48" t="str">
        <x:v>22</x:v>
      </x:c>
      <x:c r="J258" s="48" t="str">
        <x:v>1</x:v>
      </x:c>
      <x:c r="K258" s="48" t="str">
        <x:v>0</x:v>
      </x:c>
      <x:c r="L258" s="48" t="str">
        <x:v>14</x:v>
      </x:c>
      <x:c r="M258" s="48" t="str">
        <x:v>15</x:v>
      </x:c>
      <x:c r="N258" s="48" t="str">
        <x:v>7</x:v>
      </x:c>
      <x:c r="O258" s="48" t="str">
        <x:v>0</x:v>
      </x:c>
      <x:c r="P258" s="48" t="str">
        <x:v>0</x:v>
      </x:c>
      <x:c r="Q258" s="48" t="str">
        <x:v>0.067</x:v>
      </x:c>
      <x:c r="R258" s="48" t="str">
        <x:v>DRIVER DOES NOT SEPARATE</x:v>
      </x:c>
      <x:c r="S258" s="48" t="str">
        <x:v>0.067</x:v>
      </x:c>
      <x:c r="T258" s="48" t="str">
        <x:v>CONTROL_BUYOUT:N=15,p=0.067; GROWTH_CONTROL_HYBRID:N=5,p=0.000</x:v>
      </x:c>
      <x:c r="U258" s="48" t="str">
        <x:v>Maximum-minus-minimum prevalence among adequately observed groups is no more than 0.15.</x:v>
      </x:c>
      <x:c r="V258" s="48" t="str">
        <x:v>At least 5 observable manager families in at least 2 driver groups</x:v>
      </x:c>
      <x:c r="W258" s="48" t="str">
        <x:v>&gt;=0.35 separates; &lt;=0.15 does not separate; intermediate is inconclusive/confounded; direct driver-definition tests are CIRCULAR</x:v>
      </x:c>
      <x:c r="X258" s="48" t="str">
        <x:v>MANAGER_SELF_DESCRIPTION; NOT BEHAVIOURAL FREQUENCY</x:v>
      </x:c>
    </x:row>
    <x:row r="259">
      <x:c r="A259" s="48" t="str">
        <x:v>B_GOVERNANCE_SEGMENTATION</x:v>
      </x:c>
      <x:c r="B259" s="48" t="str">
        <x:v>Tier B v1.1 - N=29 rerun</x:v>
      </x:c>
      <x:c r="C259" s="48" t="str">
        <x:v>2026-07-16</x:v>
      </x:c>
      <x:c r="D259" s="48" t="str">
        <x:v>G15</x:v>
      </x:c>
      <x:c r="E259" s="48" t="str">
        <x:v>GATING_DECISION</x:v>
      </x:c>
      <x:c r="F259" s="48" t="str">
        <x:v>Two-negative-vote block</x:v>
      </x:c>
      <x:c r="G259" s="48" t="str">
        <x:v>strategy</x:v>
      </x:c>
      <x:c r="H259" s="48" t="str">
        <x:v>GROWTH_CONTROL_HYBRID</x:v>
      </x:c>
      <x:c r="I259" s="48" t="str">
        <x:v>6</x:v>
      </x:c>
      <x:c r="J259" s="48" t="str">
        <x:v>0</x:v>
      </x:c>
      <x:c r="K259" s="48" t="str">
        <x:v>0</x:v>
      </x:c>
      <x:c r="L259" s="48" t="str">
        <x:v>5</x:v>
      </x:c>
      <x:c r="M259" s="48" t="str">
        <x:v>5</x:v>
      </x:c>
      <x:c r="N259" s="48" t="str">
        <x:v>1</x:v>
      </x:c>
      <x:c r="O259" s="48" t="str">
        <x:v>0</x:v>
      </x:c>
      <x:c r="P259" s="48" t="str">
        <x:v>0</x:v>
      </x:c>
      <x:c r="Q259" s="48" t="str">
        <x:v>0.000</x:v>
      </x:c>
      <x:c r="R259" s="48" t="str">
        <x:v>DRIVER DOES NOT SEPARATE</x:v>
      </x:c>
      <x:c r="S259" s="48" t="str">
        <x:v>0.067</x:v>
      </x:c>
      <x:c r="T259" s="48" t="str">
        <x:v>CONTROL_BUYOUT:N=15,p=0.067; GROWTH_CONTROL_HYBRID:N=5,p=0.000</x:v>
      </x:c>
      <x:c r="U259" s="48" t="str">
        <x:v>Maximum-minus-minimum prevalence among adequately observed groups is no more than 0.15.</x:v>
      </x:c>
      <x:c r="V259" s="48" t="str">
        <x:v>At least 5 observable manager families in at least 2 driver groups</x:v>
      </x:c>
      <x:c r="W259" s="48" t="str">
        <x:v>&gt;=0.35 separates; &lt;=0.15 does not separate; intermediate is inconclusive/confounded; direct driver-definition tests are CIRCULAR</x:v>
      </x:c>
      <x:c r="X259" s="48" t="str">
        <x:v>MANAGER_SELF_DESCRIPTION; NOT BEHAVIOURAL FREQUENCY</x:v>
      </x:c>
    </x:row>
    <x:row r="260">
      <x:c r="A260" s="48" t="str">
        <x:v>B_GOVERNANCE_SEGMENTATION</x:v>
      </x:c>
      <x:c r="B260" s="48" t="str">
        <x:v>Tier B v1.1 - N=29 rerun</x:v>
      </x:c>
      <x:c r="C260" s="48" t="str">
        <x:v>2026-07-16</x:v>
      </x:c>
      <x:c r="D260" s="48" t="str">
        <x:v>G15</x:v>
      </x:c>
      <x:c r="E260" s="48" t="str">
        <x:v>GATING_DECISION</x:v>
      </x:c>
      <x:c r="F260" s="48" t="str">
        <x:v>Two-negative-vote block</x:v>
      </x:c>
      <x:c r="G260" s="48" t="str">
        <x:v>strategy</x:v>
      </x:c>
      <x:c r="H260" s="48" t="str">
        <x:v>OPPORTUNISTIC_CONTROL</x:v>
      </x:c>
      <x:c r="I260" s="48" t="str">
        <x:v>1</x:v>
      </x:c>
      <x:c r="J260" s="48" t="str">
        <x:v>0</x:v>
      </x:c>
      <x:c r="K260" s="48" t="str">
        <x:v>0</x:v>
      </x:c>
      <x:c r="L260" s="48" t="str">
        <x:v>1</x:v>
      </x:c>
      <x:c r="M260" s="48" t="str">
        <x:v>1</x:v>
      </x:c>
      <x:c r="N260" s="48" t="str">
        <x:v>0</x:v>
      </x:c>
      <x:c r="O260" s="48" t="str">
        <x:v>0</x:v>
      </x:c>
      <x:c r="P260" s="48" t="str">
        <x:v>0</x:v>
      </x:c>
      <x:c r="Q260" s="48" t="str">
        <x:v>0.000</x:v>
      </x:c>
      <x:c r="R260" s="48" t="str">
        <x:v>DRIVER DOES NOT SEPARATE</x:v>
      </x:c>
      <x:c r="S260" s="48" t="str">
        <x:v>0.067</x:v>
      </x:c>
      <x:c r="T260" s="48" t="str">
        <x:v>CONTROL_BUYOUT:N=15,p=0.067; GROWTH_CONTROL_HYBRID:N=5,p=0.000</x:v>
      </x:c>
      <x:c r="U260" s="48" t="str">
        <x:v>Maximum-minus-minimum prevalence among adequately observed groups is no more than 0.15.</x:v>
      </x:c>
      <x:c r="V260" s="48" t="str">
        <x:v>At least 5 observable manager families in at least 2 driver groups</x:v>
      </x:c>
      <x:c r="W260" s="48" t="str">
        <x:v>&gt;=0.35 separates; &lt;=0.15 does not separate; intermediate is inconclusive/confounded; direct driver-definition tests are CIRCULAR</x:v>
      </x:c>
      <x:c r="X260" s="48" t="str">
        <x:v>MANAGER_SELF_DESCRIPTION; NOT BEHAVIOURAL FREQUENCY</x:v>
      </x:c>
    </x:row>
    <x:row r="261">
      <x:c r="A261" s="48" t="str">
        <x:v>B_GOVERNANCE_SEGMENTATION</x:v>
      </x:c>
      <x:c r="B261" s="48" t="str">
        <x:v>Tier B v1.1 - N=29 rerun</x:v>
      </x:c>
      <x:c r="C261" s="48" t="str">
        <x:v>2026-07-16</x:v>
      </x:c>
      <x:c r="D261" s="48" t="str">
        <x:v>G15</x:v>
      </x:c>
      <x:c r="E261" s="48" t="str">
        <x:v>GATING_DECISION</x:v>
      </x:c>
      <x:c r="F261" s="48" t="str">
        <x:v>Two-negative-vote block</x:v>
      </x:c>
      <x:c r="G261" s="48" t="str">
        <x:v>geography</x:v>
      </x:c>
      <x:c r="H261" s="48" t="str">
        <x:v>ASIA_PACIFIC</x:v>
      </x:c>
      <x:c r="I261" s="48" t="str">
        <x:v>4</x:v>
      </x:c>
      <x:c r="J261" s="48" t="str">
        <x:v>0</x:v>
      </x:c>
      <x:c r="K261" s="48" t="str">
        <x:v>0</x:v>
      </x:c>
      <x:c r="L261" s="48" t="str">
        <x:v>3</x:v>
      </x:c>
      <x:c r="M261" s="48" t="str">
        <x:v>3</x:v>
      </x:c>
      <x:c r="N261" s="48" t="str">
        <x:v>1</x:v>
      </x:c>
      <x:c r="O261" s="48" t="str">
        <x:v>0</x:v>
      </x:c>
      <x:c r="P261" s="48" t="str">
        <x:v>0</x:v>
      </x:c>
      <x:c r="Q261" s="48" t="str">
        <x:v>0.000</x:v>
      </x:c>
      <x:c r="R261" s="48" t="str">
        <x:v>DRIVER DOES NOT SEPARATE</x:v>
      </x:c>
      <x:c r="S261" s="48" t="str">
        <x:v>0.143</x:v>
      </x:c>
      <x:c r="T261" s="48" t="str">
        <x:v>GLOBAL_TRANSATLANTIC:N=7,p=0.143; NORTH_AMERICA:N=10,p=0.000</x:v>
      </x:c>
      <x:c r="U261" s="48" t="str">
        <x:v>Maximum-minus-minimum prevalence among adequately observed groups is no more than 0.15.</x:v>
      </x:c>
      <x:c r="V261" s="48" t="str">
        <x:v>At least 5 observable manager families in at least 2 driver groups</x:v>
      </x:c>
      <x:c r="W261" s="48" t="str">
        <x:v>&gt;=0.35 separates; &lt;=0.15 does not separate; intermediate is inconclusive/confounded; direct driver-definition tests are CIRCULAR</x:v>
      </x:c>
      <x:c r="X261" s="48" t="str">
        <x:v>MANAGER_SELF_DESCRIPTION; NOT BEHAVIOURAL FREQUENCY</x:v>
      </x:c>
    </x:row>
    <x:row r="262">
      <x:c r="A262" s="48" t="str">
        <x:v>B_GOVERNANCE_SEGMENTATION</x:v>
      </x:c>
      <x:c r="B262" s="48" t="str">
        <x:v>Tier B v1.1 - N=29 rerun</x:v>
      </x:c>
      <x:c r="C262" s="48" t="str">
        <x:v>2026-07-16</x:v>
      </x:c>
      <x:c r="D262" s="48" t="str">
        <x:v>G15</x:v>
      </x:c>
      <x:c r="E262" s="48" t="str">
        <x:v>GATING_DECISION</x:v>
      </x:c>
      <x:c r="F262" s="48" t="str">
        <x:v>Two-negative-vote block</x:v>
      </x:c>
      <x:c r="G262" s="48" t="str">
        <x:v>geography</x:v>
      </x:c>
      <x:c r="H262" s="48" t="str">
        <x:v>EUROPE</x:v>
      </x:c>
      <x:c r="I262" s="48" t="str">
        <x:v>2</x:v>
      </x:c>
      <x:c r="J262" s="48" t="str">
        <x:v>0</x:v>
      </x:c>
      <x:c r="K262" s="48" t="str">
        <x:v>0</x:v>
      </x:c>
      <x:c r="L262" s="48" t="str">
        <x:v>1</x:v>
      </x:c>
      <x:c r="M262" s="48" t="str">
        <x:v>1</x:v>
      </x:c>
      <x:c r="N262" s="48" t="str">
        <x:v>1</x:v>
      </x:c>
      <x:c r="O262" s="48" t="str">
        <x:v>0</x:v>
      </x:c>
      <x:c r="P262" s="48" t="str">
        <x:v>0</x:v>
      </x:c>
      <x:c r="Q262" s="48" t="str">
        <x:v>0.000</x:v>
      </x:c>
      <x:c r="R262" s="48" t="str">
        <x:v>DRIVER DOES NOT SEPARATE</x:v>
      </x:c>
      <x:c r="S262" s="48" t="str">
        <x:v>0.143</x:v>
      </x:c>
      <x:c r="T262" s="48" t="str">
        <x:v>GLOBAL_TRANSATLANTIC:N=7,p=0.143; NORTH_AMERICA:N=10,p=0.000</x:v>
      </x:c>
      <x:c r="U262" s="48" t="str">
        <x:v>Maximum-minus-minimum prevalence among adequately observed groups is no more than 0.15.</x:v>
      </x:c>
      <x:c r="V262" s="48" t="str">
        <x:v>At least 5 observable manager families in at least 2 driver groups</x:v>
      </x:c>
      <x:c r="W262" s="48" t="str">
        <x:v>&gt;=0.35 separates; &lt;=0.15 does not separate; intermediate is inconclusive/confounded; direct driver-definition tests are CIRCULAR</x:v>
      </x:c>
      <x:c r="X262" s="48" t="str">
        <x:v>MANAGER_SELF_DESCRIPTION; NOT BEHAVIOURAL FREQUENCY</x:v>
      </x:c>
    </x:row>
    <x:row r="263">
      <x:c r="A263" s="48" t="str">
        <x:v>B_GOVERNANCE_SEGMENTATION</x:v>
      </x:c>
      <x:c r="B263" s="48" t="str">
        <x:v>Tier B v1.1 - N=29 rerun</x:v>
      </x:c>
      <x:c r="C263" s="48" t="str">
        <x:v>2026-07-16</x:v>
      </x:c>
      <x:c r="D263" s="48" t="str">
        <x:v>G15</x:v>
      </x:c>
      <x:c r="E263" s="48" t="str">
        <x:v>GATING_DECISION</x:v>
      </x:c>
      <x:c r="F263" s="48" t="str">
        <x:v>Two-negative-vote block</x:v>
      </x:c>
      <x:c r="G263" s="48" t="str">
        <x:v>geography</x:v>
      </x:c>
      <x:c r="H263" s="48" t="str">
        <x:v>GLOBAL_TRANSATLANTIC</x:v>
      </x:c>
      <x:c r="I263" s="48" t="str">
        <x:v>10</x:v>
      </x:c>
      <x:c r="J263" s="48" t="str">
        <x:v>1</x:v>
      </x:c>
      <x:c r="K263" s="48" t="str">
        <x:v>0</x:v>
      </x:c>
      <x:c r="L263" s="48" t="str">
        <x:v>6</x:v>
      </x:c>
      <x:c r="M263" s="48" t="str">
        <x:v>7</x:v>
      </x:c>
      <x:c r="N263" s="48" t="str">
        <x:v>3</x:v>
      </x:c>
      <x:c r="O263" s="48" t="str">
        <x:v>0</x:v>
      </x:c>
      <x:c r="P263" s="48" t="str">
        <x:v>0</x:v>
      </x:c>
      <x:c r="Q263" s="48" t="str">
        <x:v>0.143</x:v>
      </x:c>
      <x:c r="R263" s="48" t="str">
        <x:v>DRIVER DOES NOT SEPARATE</x:v>
      </x:c>
      <x:c r="S263" s="48" t="str">
        <x:v>0.143</x:v>
      </x:c>
      <x:c r="T263" s="48" t="str">
        <x:v>GLOBAL_TRANSATLANTIC:N=7,p=0.143; NORTH_AMERICA:N=10,p=0.000</x:v>
      </x:c>
      <x:c r="U263" s="48" t="str">
        <x:v>Maximum-minus-minimum prevalence among adequately observed groups is no more than 0.15.</x:v>
      </x:c>
      <x:c r="V263" s="48" t="str">
        <x:v>At least 5 observable manager families in at least 2 driver groups</x:v>
      </x:c>
      <x:c r="W263" s="48" t="str">
        <x:v>&gt;=0.35 separates; &lt;=0.15 does not separate; intermediate is inconclusive/confounded; direct driver-definition tests are CIRCULAR</x:v>
      </x:c>
      <x:c r="X263" s="48" t="str">
        <x:v>MANAGER_SELF_DESCRIPTION; NOT BEHAVIOURAL FREQUENCY</x:v>
      </x:c>
    </x:row>
    <x:row r="264">
      <x:c r="A264" s="48" t="str">
        <x:v>B_GOVERNANCE_SEGMENTATION</x:v>
      </x:c>
      <x:c r="B264" s="48" t="str">
        <x:v>Tier B v1.1 - N=29 rerun</x:v>
      </x:c>
      <x:c r="C264" s="48" t="str">
        <x:v>2026-07-16</x:v>
      </x:c>
      <x:c r="D264" s="48" t="str">
        <x:v>G15</x:v>
      </x:c>
      <x:c r="E264" s="48" t="str">
        <x:v>GATING_DECISION</x:v>
      </x:c>
      <x:c r="F264" s="48" t="str">
        <x:v>Two-negative-vote block</x:v>
      </x:c>
      <x:c r="G264" s="48" t="str">
        <x:v>geography</x:v>
      </x:c>
      <x:c r="H264" s="48" t="str">
        <x:v>NORTH_AMERICA</x:v>
      </x:c>
      <x:c r="I264" s="48" t="str">
        <x:v>13</x:v>
      </x:c>
      <x:c r="J264" s="48" t="str">
        <x:v>0</x:v>
      </x:c>
      <x:c r="K264" s="48" t="str">
        <x:v>0</x:v>
      </x:c>
      <x:c r="L264" s="48" t="str">
        <x:v>10</x:v>
      </x:c>
      <x:c r="M264" s="48" t="str">
        <x:v>10</x:v>
      </x:c>
      <x:c r="N264" s="48" t="str">
        <x:v>3</x:v>
      </x:c>
      <x:c r="O264" s="48" t="str">
        <x:v>0</x:v>
      </x:c>
      <x:c r="P264" s="48" t="str">
        <x:v>0</x:v>
      </x:c>
      <x:c r="Q264" s="48" t="str">
        <x:v>0.000</x:v>
      </x:c>
      <x:c r="R264" s="48" t="str">
        <x:v>DRIVER DOES NOT SEPARATE</x:v>
      </x:c>
      <x:c r="S264" s="48" t="str">
        <x:v>0.143</x:v>
      </x:c>
      <x:c r="T264" s="48" t="str">
        <x:v>GLOBAL_TRANSATLANTIC:N=7,p=0.143; NORTH_AMERICA:N=10,p=0.000</x:v>
      </x:c>
      <x:c r="U264" s="48" t="str">
        <x:v>Maximum-minus-minimum prevalence among adequately observed groups is no more than 0.15.</x:v>
      </x:c>
      <x:c r="V264" s="48" t="str">
        <x:v>At least 5 observable manager families in at least 2 driver groups</x:v>
      </x:c>
      <x:c r="W264" s="48" t="str">
        <x:v>&gt;=0.35 separates; &lt;=0.15 does not separate; intermediate is inconclusive/confounded; direct driver-definition tests are CIRCULAR</x:v>
      </x:c>
      <x:c r="X264" s="48" t="str">
        <x:v>MANAGER_SELF_DESCRIPTION; NOT BEHAVIOURAL FREQUENCY</x:v>
      </x:c>
    </x:row>
    <x:row r="265">
      <x:c r="A265" s="48" t="str">
        <x:v>B_GOVERNANCE_SEGMENTATION</x:v>
      </x:c>
      <x:c r="B265" s="48" t="str">
        <x:v>Tier B v1.1 - N=29 rerun</x:v>
      </x:c>
      <x:c r="C265" s="48" t="str">
        <x:v>2026-07-16</x:v>
      </x:c>
      <x:c r="D265" s="48" t="str">
        <x:v>G15</x:v>
      </x:c>
      <x:c r="E265" s="48" t="str">
        <x:v>GATING_DECISION</x:v>
      </x:c>
      <x:c r="F265" s="48" t="str">
        <x:v>Two-negative-vote block</x:v>
      </x:c>
      <x:c r="G265" s="48" t="str">
        <x:v>source_vintage_bin</x:v>
      </x:c>
      <x:c r="H265" s="48" t="str">
        <x:v>2018_2020</x:v>
      </x:c>
      <x:c r="I265" s="48" t="str">
        <x:v>6</x:v>
      </x:c>
      <x:c r="J265" s="48" t="str">
        <x:v>0</x:v>
      </x:c>
      <x:c r="K265" s="48" t="str">
        <x:v>0</x:v>
      </x:c>
      <x:c r="L265" s="48" t="str">
        <x:v>6</x:v>
      </x:c>
      <x:c r="M265" s="48" t="str">
        <x:v>6</x:v>
      </x:c>
      <x:c r="N265" s="48" t="str">
        <x:v>0</x:v>
      </x:c>
      <x:c r="O265" s="48" t="str">
        <x:v>0</x:v>
      </x:c>
      <x:c r="P265" s="48" t="str">
        <x:v>0</x:v>
      </x:c>
      <x:c r="Q265" s="48" t="str">
        <x:v>0.000</x:v>
      </x:c>
      <x:c r="R265" s="48" t="str">
        <x:v>INCONCLUSIVE OR CONFOUNDED</x:v>
      </x:c>
      <x:c r="S265" s="48" t="str">
        <x:v>0.167</x:v>
      </x:c>
      <x:c r="T265" s="48" t="str">
        <x:v>2018_2020:N=6,p=0.000; 2021_2023:N=6,p=0.167; 2024_2026:N=9,p=0.000</x:v>
      </x:c>
      <x:c r="U265" s="48" t="str">
        <x:v>Adequate groups differ, but the maximum-minus-minimum prevalence lies between 0.15 and 0.35.</x:v>
      </x:c>
      <x:c r="V265" s="48" t="str">
        <x:v>At least 5 observable manager families in at least 2 driver groups</x:v>
      </x:c>
      <x:c r="W265" s="48" t="str">
        <x:v>&gt;=0.35 separates; &lt;=0.15 does not separate; intermediate is inconclusive/confounded; direct driver-definition tests are CIRCULAR</x:v>
      </x:c>
      <x:c r="X265" s="48" t="str">
        <x:v>MANAGER_SELF_DESCRIPTION; NOT BEHAVIOURAL FREQUENCY</x:v>
      </x:c>
    </x:row>
    <x:row r="266">
      <x:c r="A266" s="48" t="str">
        <x:v>B_GOVERNANCE_SEGMENTATION</x:v>
      </x:c>
      <x:c r="B266" s="48" t="str">
        <x:v>Tier B v1.1 - N=29 rerun</x:v>
      </x:c>
      <x:c r="C266" s="48" t="str">
        <x:v>2026-07-16</x:v>
      </x:c>
      <x:c r="D266" s="48" t="str">
        <x:v>G15</x:v>
      </x:c>
      <x:c r="E266" s="48" t="str">
        <x:v>GATING_DECISION</x:v>
      </x:c>
      <x:c r="F266" s="48" t="str">
        <x:v>Two-negative-vote block</x:v>
      </x:c>
      <x:c r="G266" s="48" t="str">
        <x:v>source_vintage_bin</x:v>
      </x:c>
      <x:c r="H266" s="48" t="str">
        <x:v>2021_2023</x:v>
      </x:c>
      <x:c r="I266" s="48" t="str">
        <x:v>11</x:v>
      </x:c>
      <x:c r="J266" s="48" t="str">
        <x:v>1</x:v>
      </x:c>
      <x:c r="K266" s="48" t="str">
        <x:v>0</x:v>
      </x:c>
      <x:c r="L266" s="48" t="str">
        <x:v>5</x:v>
      </x:c>
      <x:c r="M266" s="48" t="str">
        <x:v>6</x:v>
      </x:c>
      <x:c r="N266" s="48" t="str">
        <x:v>5</x:v>
      </x:c>
      <x:c r="O266" s="48" t="str">
        <x:v>0</x:v>
      </x:c>
      <x:c r="P266" s="48" t="str">
        <x:v>0</x:v>
      </x:c>
      <x:c r="Q266" s="48" t="str">
        <x:v>0.167</x:v>
      </x:c>
      <x:c r="R266" s="48" t="str">
        <x:v>INCONCLUSIVE OR CONFOUNDED</x:v>
      </x:c>
      <x:c r="S266" s="48" t="str">
        <x:v>0.167</x:v>
      </x:c>
      <x:c r="T266" s="48" t="str">
        <x:v>2018_2020:N=6,p=0.000; 2021_2023:N=6,p=0.167; 2024_2026:N=9,p=0.000</x:v>
      </x:c>
      <x:c r="U266" s="48" t="str">
        <x:v>Adequate groups differ, but the maximum-minus-minimum prevalence lies between 0.15 and 0.35.</x:v>
      </x:c>
      <x:c r="V266" s="48" t="str">
        <x:v>At least 5 observable manager families in at least 2 driver groups</x:v>
      </x:c>
      <x:c r="W266" s="48" t="str">
        <x:v>&gt;=0.35 separates; &lt;=0.15 does not separate; intermediate is inconclusive/confounded; direct driver-definition tests are CIRCULAR</x:v>
      </x:c>
      <x:c r="X266" s="48" t="str">
        <x:v>MANAGER_SELF_DESCRIPTION; NOT BEHAVIOURAL FREQUENCY</x:v>
      </x:c>
    </x:row>
    <x:row r="267">
      <x:c r="A267" s="48" t="str">
        <x:v>B_GOVERNANCE_SEGMENTATION</x:v>
      </x:c>
      <x:c r="B267" s="48" t="str">
        <x:v>Tier B v1.1 - N=29 rerun</x:v>
      </x:c>
      <x:c r="C267" s="48" t="str">
        <x:v>2026-07-16</x:v>
      </x:c>
      <x:c r="D267" s="48" t="str">
        <x:v>G15</x:v>
      </x:c>
      <x:c r="E267" s="48" t="str">
        <x:v>GATING_DECISION</x:v>
      </x:c>
      <x:c r="F267" s="48" t="str">
        <x:v>Two-negative-vote block</x:v>
      </x:c>
      <x:c r="G267" s="48" t="str">
        <x:v>source_vintage_bin</x:v>
      </x:c>
      <x:c r="H267" s="48" t="str">
        <x:v>2024_2026</x:v>
      </x:c>
      <x:c r="I267" s="48" t="str">
        <x:v>12</x:v>
      </x:c>
      <x:c r="J267" s="48" t="str">
        <x:v>0</x:v>
      </x:c>
      <x:c r="K267" s="48" t="str">
        <x:v>0</x:v>
      </x:c>
      <x:c r="L267" s="48" t="str">
        <x:v>9</x:v>
      </x:c>
      <x:c r="M267" s="48" t="str">
        <x:v>9</x:v>
      </x:c>
      <x:c r="N267" s="48" t="str">
        <x:v>3</x:v>
      </x:c>
      <x:c r="O267" s="48" t="str">
        <x:v>0</x:v>
      </x:c>
      <x:c r="P267" s="48" t="str">
        <x:v>0</x:v>
      </x:c>
      <x:c r="Q267" s="48" t="str">
        <x:v>0.000</x:v>
      </x:c>
      <x:c r="R267" s="48" t="str">
        <x:v>INCONCLUSIVE OR CONFOUNDED</x:v>
      </x:c>
      <x:c r="S267" s="48" t="str">
        <x:v>0.167</x:v>
      </x:c>
      <x:c r="T267" s="48" t="str">
        <x:v>2018_2020:N=6,p=0.000; 2021_2023:N=6,p=0.167; 2024_2026:N=9,p=0.000</x:v>
      </x:c>
      <x:c r="U267" s="48" t="str">
        <x:v>Adequate groups differ, but the maximum-minus-minimum prevalence lies between 0.15 and 0.35.</x:v>
      </x:c>
      <x:c r="V267" s="48" t="str">
        <x:v>At least 5 observable manager families in at least 2 driver groups</x:v>
      </x:c>
      <x:c r="W267" s="48" t="str">
        <x:v>&gt;=0.35 separates; &lt;=0.15 does not separate; intermediate is inconclusive/confounded; direct driver-definition tests are CIRCULAR</x:v>
      </x:c>
      <x:c r="X267" s="48" t="str">
        <x:v>MANAGER_SELF_DESCRIPTION; NOT BEHAVIOURAL FREQUENCY</x:v>
      </x:c>
    </x:row>
    <x:row r="268">
      <x:c r="A268" s="48" t="str">
        <x:v>B_GOVERNANCE_SEGMENTATION</x:v>
      </x:c>
      <x:c r="B268" s="48" t="str">
        <x:v>Tier B v1.1 - N=29 rerun</x:v>
      </x:c>
      <x:c r="C268" s="48" t="str">
        <x:v>2026-07-16</x:v>
      </x:c>
      <x:c r="D268" s="48" t="str">
        <x:v>G15</x:v>
      </x:c>
      <x:c r="E268" s="48" t="str">
        <x:v>GATING_DECISION</x:v>
      </x:c>
      <x:c r="F268" s="48" t="str">
        <x:v>Two-negative-vote block</x:v>
      </x:c>
      <x:c r="G268" s="48" t="str">
        <x:v>governance_architecture</x:v>
      </x:c>
      <x:c r="H268" s="48" t="str">
        <x:v>IC_FINAL_OR_DE_FACTO</x:v>
      </x:c>
      <x:c r="I268" s="48" t="str">
        <x:v>26</x:v>
      </x:c>
      <x:c r="J268" s="48" t="str">
        <x:v>1</x:v>
      </x:c>
      <x:c r="K268" s="48" t="str">
        <x:v>0</x:v>
      </x:c>
      <x:c r="L268" s="48" t="str">
        <x:v>17</x:v>
      </x:c>
      <x:c r="M268" s="48" t="str">
        <x:v>18</x:v>
      </x:c>
      <x:c r="N268" s="48" t="str">
        <x:v>8</x:v>
      </x:c>
      <x:c r="O268" s="48" t="str">
        <x:v>0</x:v>
      </x:c>
      <x:c r="P268" s="48" t="str">
        <x:v>0</x:v>
      </x:c>
      <x:c r="Q268" s="48" t="str">
        <x:v>0.056</x:v>
      </x:c>
      <x:c r="R268" s="48" t="str">
        <x:v>N TOO SMALL</x:v>
      </x:c>
      <x:c r="S268" s="48" t="str"/>
      <x:c r="T268" s="48" t="str">
        <x:v>IC_FINAL_OR_DE_FACTO:N=18,p=0.056</x:v>
      </x:c>
      <x:c r="U268" s="48" t="str">
        <x:v>Fewer than two driver groups have at least 5 observable manager families.</x:v>
      </x:c>
      <x:c r="V268" s="48" t="str">
        <x:v>At least 5 observable manager families in at least 2 driver groups</x:v>
      </x:c>
      <x:c r="W268" s="48" t="str">
        <x:v>&gt;=0.35 separates; &lt;=0.15 does not separate; intermediate is inconclusive/confounded; direct driver-definition tests are CIRCULAR</x:v>
      </x:c>
      <x:c r="X268" s="48" t="str">
        <x:v>MANAGER_SELF_DESCRIPTION; NOT BEHAVIOURAL FREQUENCY</x:v>
      </x:c>
    </x:row>
    <x:row r="269">
      <x:c r="A269" s="48" t="str">
        <x:v>B_GOVERNANCE_SEGMENTATION</x:v>
      </x:c>
      <x:c r="B269" s="48" t="str">
        <x:v>Tier B v1.1 - N=29 rerun</x:v>
      </x:c>
      <x:c r="C269" s="48" t="str">
        <x:v>2026-07-16</x:v>
      </x:c>
      <x:c r="D269" s="48" t="str">
        <x:v>G15</x:v>
      </x:c>
      <x:c r="E269" s="48" t="str">
        <x:v>GATING_DECISION</x:v>
      </x:c>
      <x:c r="F269" s="48" t="str">
        <x:v>Two-negative-vote block</x:v>
      </x:c>
      <x:c r="G269" s="48" t="str">
        <x:v>governance_architecture</x:v>
      </x:c>
      <x:c r="H269" s="48" t="str">
        <x:v>IC_RECOMMENDS_SEPARATE_FINAL_AUTHORITY</x:v>
      </x:c>
      <x:c r="I269" s="48" t="str">
        <x:v>3</x:v>
      </x:c>
      <x:c r="J269" s="48" t="str">
        <x:v>0</x:v>
      </x:c>
      <x:c r="K269" s="48" t="str">
        <x:v>0</x:v>
      </x:c>
      <x:c r="L269" s="48" t="str">
        <x:v>3</x:v>
      </x:c>
      <x:c r="M269" s="48" t="str">
        <x:v>3</x:v>
      </x:c>
      <x:c r="N269" s="48" t="str">
        <x:v>0</x:v>
      </x:c>
      <x:c r="O269" s="48" t="str">
        <x:v>0</x:v>
      </x:c>
      <x:c r="P269" s="48" t="str">
        <x:v>0</x:v>
      </x:c>
      <x:c r="Q269" s="48" t="str">
        <x:v>0.000</x:v>
      </x:c>
      <x:c r="R269" s="48" t="str">
        <x:v>N TOO SMALL</x:v>
      </x:c>
      <x:c r="S269" s="48" t="str"/>
      <x:c r="T269" s="48" t="str">
        <x:v>IC_FINAL_OR_DE_FACTO:N=18,p=0.056</x:v>
      </x:c>
      <x:c r="U269" s="48" t="str">
        <x:v>Fewer than two driver groups have at least 5 observable manager families.</x:v>
      </x:c>
      <x:c r="V269" s="48" t="str">
        <x:v>At least 5 observable manager families in at least 2 driver groups</x:v>
      </x:c>
      <x:c r="W269" s="48" t="str">
        <x:v>&gt;=0.35 separates; &lt;=0.15 does not separate; intermediate is inconclusive/confounded; direct driver-definition tests are CIRCULAR</x:v>
      </x:c>
      <x:c r="X269" s="48" t="str">
        <x:v>MANAGER_SELF_DESCRIPTION; NOT BEHAVIOURAL FREQUENCY</x:v>
      </x:c>
    </x:row>
    <x:row r="270">
      <x:c r="A270" s="48" t="str">
        <x:v>B_GOVERNANCE_SEGMENTATION</x:v>
      </x:c>
      <x:c r="B270" s="48" t="str">
        <x:v>Tier B v1.1 - N=29 rerun</x:v>
      </x:c>
      <x:c r="C270" s="48" t="str">
        <x:v>2026-07-16</x:v>
      </x:c>
      <x:c r="D270" s="48" t="str">
        <x:v>G15</x:v>
      </x:c>
      <x:c r="E270" s="48" t="str">
        <x:v>GATING_DECISION</x:v>
      </x:c>
      <x:c r="F270" s="48" t="str">
        <x:v>Two-negative-vote block</x:v>
      </x:c>
      <x:c r="G270" s="48" t="str">
        <x:v>dedicated_operating_team</x:v>
      </x:c>
      <x:c r="H270" s="48" t="str">
        <x:v>NO_OR_LIMITED</x:v>
      </x:c>
      <x:c r="I270" s="48" t="str">
        <x:v>6</x:v>
      </x:c>
      <x:c r="J270" s="48" t="str">
        <x:v>0</x:v>
      </x:c>
      <x:c r="K270" s="48" t="str">
        <x:v>0</x:v>
      </x:c>
      <x:c r="L270" s="48" t="str">
        <x:v>5</x:v>
      </x:c>
      <x:c r="M270" s="48" t="str">
        <x:v>5</x:v>
      </x:c>
      <x:c r="N270" s="48" t="str">
        <x:v>1</x:v>
      </x:c>
      <x:c r="O270" s="48" t="str">
        <x:v>0</x:v>
      </x:c>
      <x:c r="P270" s="48" t="str">
        <x:v>0</x:v>
      </x:c>
      <x:c r="Q270" s="48" t="str">
        <x:v>0.000</x:v>
      </x:c>
      <x:c r="R270" s="48" t="str">
        <x:v>DRIVER DOES NOT SEPARATE</x:v>
      </x:c>
      <x:c r="S270" s="48" t="str">
        <x:v>0.062</x:v>
      </x:c>
      <x:c r="T270" s="48" t="str">
        <x:v>NO_OR_LIMITED:N=5,p=0.000; YES_DEDICATED:N=16,p=0.062</x:v>
      </x:c>
      <x:c r="U270" s="48" t="str">
        <x:v>Maximum-minus-minimum prevalence among adequately observed groups is no more than 0.15.</x:v>
      </x:c>
      <x:c r="V270" s="48" t="str">
        <x:v>At least 5 observable manager families in at least 2 driver groups</x:v>
      </x:c>
      <x:c r="W270" s="48" t="str">
        <x:v>&gt;=0.35 separates; &lt;=0.15 does not separate; intermediate is inconclusive/confounded; direct driver-definition tests are CIRCULAR</x:v>
      </x:c>
      <x:c r="X270" s="48" t="str">
        <x:v>MANAGER_SELF_DESCRIPTION; NOT BEHAVIOURAL FREQUENCY</x:v>
      </x:c>
    </x:row>
    <x:row r="271">
      <x:c r="A271" s="48" t="str">
        <x:v>B_GOVERNANCE_SEGMENTATION</x:v>
      </x:c>
      <x:c r="B271" s="48" t="str">
        <x:v>Tier B v1.1 - N=29 rerun</x:v>
      </x:c>
      <x:c r="C271" s="48" t="str">
        <x:v>2026-07-16</x:v>
      </x:c>
      <x:c r="D271" s="48" t="str">
        <x:v>G15</x:v>
      </x:c>
      <x:c r="E271" s="48" t="str">
        <x:v>GATING_DECISION</x:v>
      </x:c>
      <x:c r="F271" s="48" t="str">
        <x:v>Two-negative-vote block</x:v>
      </x:c>
      <x:c r="G271" s="48" t="str">
        <x:v>dedicated_operating_team</x:v>
      </x:c>
      <x:c r="H271" s="48" t="str">
        <x:v>YES_DEDICATED</x:v>
      </x:c>
      <x:c r="I271" s="48" t="str">
        <x:v>23</x:v>
      </x:c>
      <x:c r="J271" s="48" t="str">
        <x:v>1</x:v>
      </x:c>
      <x:c r="K271" s="48" t="str">
        <x:v>0</x:v>
      </x:c>
      <x:c r="L271" s="48" t="str">
        <x:v>15</x:v>
      </x:c>
      <x:c r="M271" s="48" t="str">
        <x:v>16</x:v>
      </x:c>
      <x:c r="N271" s="48" t="str">
        <x:v>7</x:v>
      </x:c>
      <x:c r="O271" s="48" t="str">
        <x:v>0</x:v>
      </x:c>
      <x:c r="P271" s="48" t="str">
        <x:v>0</x:v>
      </x:c>
      <x:c r="Q271" s="48" t="str">
        <x:v>0.062</x:v>
      </x:c>
      <x:c r="R271" s="48" t="str">
        <x:v>DRIVER DOES NOT SEPARATE</x:v>
      </x:c>
      <x:c r="S271" s="48" t="str">
        <x:v>0.062</x:v>
      </x:c>
      <x:c r="T271" s="48" t="str">
        <x:v>NO_OR_LIMITED:N=5,p=0.000; YES_DEDICATED:N=16,p=0.062</x:v>
      </x:c>
      <x:c r="U271" s="48" t="str">
        <x:v>Maximum-minus-minimum prevalence among adequately observed groups is no more than 0.15.</x:v>
      </x:c>
      <x:c r="V271" s="48" t="str">
        <x:v>At least 5 observable manager families in at least 2 driver groups</x:v>
      </x:c>
      <x:c r="W271" s="48" t="str">
        <x:v>&gt;=0.35 separates; &lt;=0.15 does not separate; intermediate is inconclusive/confounded; direct driver-definition tests are CIRCULAR</x:v>
      </x:c>
      <x:c r="X271" s="48" t="str">
        <x:v>MANAGER_SELF_DESCRIPTION; NOT BEHAVIOURAL FREQUENCY</x:v>
      </x:c>
    </x:row>
    <x:row r="272">
      <x:c r="A272" s="48" t="str">
        <x:v>B_GOVERNANCE_SEGMENTATION</x:v>
      </x:c>
      <x:c r="B272" s="48" t="str">
        <x:v>Tier B v1.1 - N=29 rerun</x:v>
      </x:c>
      <x:c r="C272" s="48" t="str">
        <x:v>2026-07-16</x:v>
      </x:c>
      <x:c r="D272" s="48" t="str">
        <x:v>G16</x:v>
      </x:c>
      <x:c r="E272" s="48" t="str">
        <x:v>GATING_DECISION</x:v>
      </x:c>
      <x:c r="F272" s="48" t="str">
        <x:v>Management presentation before final approval</x:v>
      </x:c>
      <x:c r="G272" s="48" t="str">
        <x:v>fund_size_archetype</x:v>
      </x:c>
      <x:c r="H272" s="48" t="str">
        <x:v>LARGE_2_TO_LT_5B</x:v>
      </x:c>
      <x:c r="I272" s="48" t="str">
        <x:v>9</x:v>
      </x:c>
      <x:c r="J272" s="48" t="str">
        <x:v>3</x:v>
      </x:c>
      <x:c r="K272" s="48" t="str">
        <x:v>1</x:v>
      </x:c>
      <x:c r="L272" s="48" t="str">
        <x:v>0</x:v>
      </x:c>
      <x:c r="M272" s="48" t="str">
        <x:v>3</x:v>
      </x:c>
      <x:c r="N272" s="48" t="str">
        <x:v>6</x:v>
      </x:c>
      <x:c r="O272" s="48" t="str">
        <x:v>0</x:v>
      </x:c>
      <x:c r="P272" s="48" t="str">
        <x:v>0</x:v>
      </x:c>
      <x:c r="Q272" s="48" t="str">
        <x:v>1.000</x:v>
      </x:c>
      <x:c r="R272" s="48" t="str">
        <x:v>N TOO SMALL</x:v>
      </x:c>
      <x:c r="S272" s="48" t="str"/>
      <x:c r="T272" s="48" t="str"/>
      <x:c r="U272" s="48" t="str">
        <x:v>Fewer than two driver groups have at least 5 observable manager families.</x:v>
      </x:c>
      <x:c r="V272" s="48" t="str">
        <x:v>At least 5 observable manager families in at least 2 driver groups</x:v>
      </x:c>
      <x:c r="W272" s="48" t="str">
        <x:v>&gt;=0.35 separates; &lt;=0.15 does not separate; intermediate is inconclusive/confounded; direct driver-definition tests are CIRCULAR</x:v>
      </x:c>
      <x:c r="X272" s="48" t="str">
        <x:v>MANAGER_SELF_DESCRIPTION; NOT BEHAVIOURAL FREQUENCY</x:v>
      </x:c>
    </x:row>
    <x:row r="273">
      <x:c r="A273" s="48" t="str">
        <x:v>B_GOVERNANCE_SEGMENTATION</x:v>
      </x:c>
      <x:c r="B273" s="48" t="str">
        <x:v>Tier B v1.1 - N=29 rerun</x:v>
      </x:c>
      <x:c r="C273" s="48" t="str">
        <x:v>2026-07-16</x:v>
      </x:c>
      <x:c r="D273" s="48" t="str">
        <x:v>G16</x:v>
      </x:c>
      <x:c r="E273" s="48" t="str">
        <x:v>GATING_DECISION</x:v>
      </x:c>
      <x:c r="F273" s="48" t="str">
        <x:v>Management presentation before final approval</x:v>
      </x:c>
      <x:c r="G273" s="48" t="str">
        <x:v>fund_size_archetype</x:v>
      </x:c>
      <x:c r="H273" s="48" t="str">
        <x:v>LOWER_MID_LT_2B</x:v>
      </x:c>
      <x:c r="I273" s="48" t="str">
        <x:v>8</x:v>
      </x:c>
      <x:c r="J273" s="48" t="str">
        <x:v>3</x:v>
      </x:c>
      <x:c r="K273" s="48" t="str">
        <x:v>2</x:v>
      </x:c>
      <x:c r="L273" s="48" t="str">
        <x:v>0</x:v>
      </x:c>
      <x:c r="M273" s="48" t="str">
        <x:v>3</x:v>
      </x:c>
      <x:c r="N273" s="48" t="str">
        <x:v>5</x:v>
      </x:c>
      <x:c r="O273" s="48" t="str">
        <x:v>0</x:v>
      </x:c>
      <x:c r="P273" s="48" t="str">
        <x:v>0</x:v>
      </x:c>
      <x:c r="Q273" s="48" t="str">
        <x:v>1.000</x:v>
      </x:c>
      <x:c r="R273" s="48" t="str">
        <x:v>N TOO SMALL</x:v>
      </x:c>
      <x:c r="S273" s="48" t="str"/>
      <x:c r="T273" s="48" t="str"/>
      <x:c r="U273" s="48" t="str">
        <x:v>Fewer than two driver groups have at least 5 observable manager families.</x:v>
      </x:c>
      <x:c r="V273" s="48" t="str">
        <x:v>At least 5 observable manager families in at least 2 driver groups</x:v>
      </x:c>
      <x:c r="W273" s="48" t="str">
        <x:v>&gt;=0.35 separates; &lt;=0.15 does not separate; intermediate is inconclusive/confounded; direct driver-definition tests are CIRCULAR</x:v>
      </x:c>
      <x:c r="X273" s="48" t="str">
        <x:v>MANAGER_SELF_DESCRIPTION; NOT BEHAVIOURAL FREQUENCY</x:v>
      </x:c>
    </x:row>
    <x:row r="274">
      <x:c r="A274" s="48" t="str">
        <x:v>B_GOVERNANCE_SEGMENTATION</x:v>
      </x:c>
      <x:c r="B274" s="48" t="str">
        <x:v>Tier B v1.1 - N=29 rerun</x:v>
      </x:c>
      <x:c r="C274" s="48" t="str">
        <x:v>2026-07-16</x:v>
      </x:c>
      <x:c r="D274" s="48" t="str">
        <x:v>G16</x:v>
      </x:c>
      <x:c r="E274" s="48" t="str">
        <x:v>GATING_DECISION</x:v>
      </x:c>
      <x:c r="F274" s="48" t="str">
        <x:v>Management presentation before final approval</x:v>
      </x:c>
      <x:c r="G274" s="48" t="str">
        <x:v>fund_size_archetype</x:v>
      </x:c>
      <x:c r="H274" s="48" t="str">
        <x:v>MEGA_GE_5B</x:v>
      </x:c>
      <x:c r="I274" s="48" t="str">
        <x:v>11</x:v>
      </x:c>
      <x:c r="J274" s="48" t="str">
        <x:v>2</x:v>
      </x:c>
      <x:c r="K274" s="48" t="str">
        <x:v>1</x:v>
      </x:c>
      <x:c r="L274" s="48" t="str">
        <x:v>0</x:v>
      </x:c>
      <x:c r="M274" s="48" t="str">
        <x:v>2</x:v>
      </x:c>
      <x:c r="N274" s="48" t="str">
        <x:v>8</x:v>
      </x:c>
      <x:c r="O274" s="48" t="str">
        <x:v>1</x:v>
      </x:c>
      <x:c r="P274" s="48" t="str">
        <x:v>0</x:v>
      </x:c>
      <x:c r="Q274" s="48" t="str">
        <x:v>1.000</x:v>
      </x:c>
      <x:c r="R274" s="48" t="str">
        <x:v>N TOO SMALL</x:v>
      </x:c>
      <x:c r="S274" s="48" t="str"/>
      <x:c r="T274" s="48" t="str"/>
      <x:c r="U274" s="48" t="str">
        <x:v>Fewer than two driver groups have at least 5 observable manager families.</x:v>
      </x:c>
      <x:c r="V274" s="48" t="str">
        <x:v>At least 5 observable manager families in at least 2 driver groups</x:v>
      </x:c>
      <x:c r="W274" s="48" t="str">
        <x:v>&gt;=0.35 separates; &lt;=0.15 does not separate; intermediate is inconclusive/confounded; direct driver-definition tests are CIRCULAR</x:v>
      </x:c>
      <x:c r="X274" s="48" t="str">
        <x:v>MANAGER_SELF_DESCRIPTION; NOT BEHAVIOURAL FREQUENCY</x:v>
      </x:c>
    </x:row>
    <x:row r="275">
      <x:c r="A275" s="48" t="str">
        <x:v>B_GOVERNANCE_SEGMENTATION</x:v>
      </x:c>
      <x:c r="B275" s="48" t="str">
        <x:v>Tier B v1.1 - N=29 rerun</x:v>
      </x:c>
      <x:c r="C275" s="48" t="str">
        <x:v>2026-07-16</x:v>
      </x:c>
      <x:c r="D275" s="48" t="str">
        <x:v>G16</x:v>
      </x:c>
      <x:c r="E275" s="48" t="str">
        <x:v>GATING_DECISION</x:v>
      </x:c>
      <x:c r="F275" s="48" t="str">
        <x:v>Management presentation before final approval</x:v>
      </x:c>
      <x:c r="G275" s="48" t="str">
        <x:v>fund_size_archetype</x:v>
      </x:c>
      <x:c r="H275" s="48" t="str">
        <x:v>NOT_APPLICABLE</x:v>
      </x:c>
      <x:c r="I275" s="48" t="str">
        <x:v>1</x:v>
      </x:c>
      <x:c r="J275" s="48" t="str">
        <x:v>0</x:v>
      </x:c>
      <x:c r="K275" s="48" t="str">
        <x:v>0</x:v>
      </x:c>
      <x:c r="L275" s="48" t="str">
        <x:v>0</x:v>
      </x:c>
      <x:c r="M275" s="48" t="str">
        <x:v>0</x:v>
      </x:c>
      <x:c r="N275" s="48" t="str">
        <x:v>1</x:v>
      </x:c>
      <x:c r="O275" s="48" t="str">
        <x:v>0</x:v>
      </x:c>
      <x:c r="P275" s="48" t="str">
        <x:v>0</x:v>
      </x:c>
      <x:c r="Q275" s="48" t="str"/>
      <x:c r="R275" s="48" t="str">
        <x:v>N TOO SMALL</x:v>
      </x:c>
      <x:c r="S275" s="48" t="str"/>
      <x:c r="T275" s="48" t="str"/>
      <x:c r="U275" s="48" t="str">
        <x:v>Fewer than two driver groups have at least 5 observable manager families.</x:v>
      </x:c>
      <x:c r="V275" s="48" t="str">
        <x:v>At least 5 observable manager families in at least 2 driver groups</x:v>
      </x:c>
      <x:c r="W275" s="48" t="str">
        <x:v>&gt;=0.35 separates; &lt;=0.15 does not separate; intermediate is inconclusive/confounded; direct driver-definition tests are CIRCULAR</x:v>
      </x:c>
      <x:c r="X275" s="48" t="str">
        <x:v>MANAGER_SELF_DESCRIPTION; NOT BEHAVIOURAL FREQUENCY</x:v>
      </x:c>
    </x:row>
    <x:row r="276">
      <x:c r="A276" s="48" t="str">
        <x:v>B_GOVERNANCE_SEGMENTATION</x:v>
      </x:c>
      <x:c r="B276" s="48" t="str">
        <x:v>Tier B v1.1 - N=29 rerun</x:v>
      </x:c>
      <x:c r="C276" s="48" t="str">
        <x:v>2026-07-16</x:v>
      </x:c>
      <x:c r="D276" s="48" t="str">
        <x:v>G16</x:v>
      </x:c>
      <x:c r="E276" s="48" t="str">
        <x:v>GATING_DECISION</x:v>
      </x:c>
      <x:c r="F276" s="48" t="str">
        <x:v>Management presentation before final approval</x:v>
      </x:c>
      <x:c r="G276" s="48" t="str">
        <x:v>strategy</x:v>
      </x:c>
      <x:c r="H276" s="48" t="str">
        <x:v>CONTROL_BUYOUT</x:v>
      </x:c>
      <x:c r="I276" s="48" t="str">
        <x:v>22</x:v>
      </x:c>
      <x:c r="J276" s="48" t="str">
        <x:v>5</x:v>
      </x:c>
      <x:c r="K276" s="48" t="str">
        <x:v>3</x:v>
      </x:c>
      <x:c r="L276" s="48" t="str">
        <x:v>0</x:v>
      </x:c>
      <x:c r="M276" s="48" t="str">
        <x:v>5</x:v>
      </x:c>
      <x:c r="N276" s="48" t="str">
        <x:v>16</x:v>
      </x:c>
      <x:c r="O276" s="48" t="str">
        <x:v>1</x:v>
      </x:c>
      <x:c r="P276" s="48" t="str">
        <x:v>0</x:v>
      </x:c>
      <x:c r="Q276" s="48" t="str">
        <x:v>1.000</x:v>
      </x:c>
      <x:c r="R276" s="48" t="str">
        <x:v>N TOO SMALL</x:v>
      </x:c>
      <x:c r="S276" s="48" t="str"/>
      <x:c r="T276" s="48" t="str">
        <x:v>CONTROL_BUYOUT:N=5,p=1.000</x:v>
      </x:c>
      <x:c r="U276" s="48" t="str">
        <x:v>Fewer than two driver groups have at least 5 observable manager families.</x:v>
      </x:c>
      <x:c r="V276" s="48" t="str">
        <x:v>At least 5 observable manager families in at least 2 driver groups</x:v>
      </x:c>
      <x:c r="W276" s="48" t="str">
        <x:v>&gt;=0.35 separates; &lt;=0.15 does not separate; intermediate is inconclusive/confounded; direct driver-definition tests are CIRCULAR</x:v>
      </x:c>
      <x:c r="X276" s="48" t="str">
        <x:v>MANAGER_SELF_DESCRIPTION; NOT BEHAVIOURAL FREQUENCY</x:v>
      </x:c>
    </x:row>
    <x:row r="277">
      <x:c r="A277" s="48" t="str">
        <x:v>B_GOVERNANCE_SEGMENTATION</x:v>
      </x:c>
      <x:c r="B277" s="48" t="str">
        <x:v>Tier B v1.1 - N=29 rerun</x:v>
      </x:c>
      <x:c r="C277" s="48" t="str">
        <x:v>2026-07-16</x:v>
      </x:c>
      <x:c r="D277" s="48" t="str">
        <x:v>G16</x:v>
      </x:c>
      <x:c r="E277" s="48" t="str">
        <x:v>GATING_DECISION</x:v>
      </x:c>
      <x:c r="F277" s="48" t="str">
        <x:v>Management presentation before final approval</x:v>
      </x:c>
      <x:c r="G277" s="48" t="str">
        <x:v>strategy</x:v>
      </x:c>
      <x:c r="H277" s="48" t="str">
        <x:v>GROWTH_CONTROL_HYBRID</x:v>
      </x:c>
      <x:c r="I277" s="48" t="str">
        <x:v>6</x:v>
      </x:c>
      <x:c r="J277" s="48" t="str">
        <x:v>2</x:v>
      </x:c>
      <x:c r="K277" s="48" t="str">
        <x:v>0</x:v>
      </x:c>
      <x:c r="L277" s="48" t="str">
        <x:v>0</x:v>
      </x:c>
      <x:c r="M277" s="48" t="str">
        <x:v>2</x:v>
      </x:c>
      <x:c r="N277" s="48" t="str">
        <x:v>4</x:v>
      </x:c>
      <x:c r="O277" s="48" t="str">
        <x:v>0</x:v>
      </x:c>
      <x:c r="P277" s="48" t="str">
        <x:v>0</x:v>
      </x:c>
      <x:c r="Q277" s="48" t="str">
        <x:v>1.000</x:v>
      </x:c>
      <x:c r="R277" s="48" t="str">
        <x:v>N TOO SMALL</x:v>
      </x:c>
      <x:c r="S277" s="48" t="str"/>
      <x:c r="T277" s="48" t="str">
        <x:v>CONTROL_BUYOUT:N=5,p=1.000</x:v>
      </x:c>
      <x:c r="U277" s="48" t="str">
        <x:v>Fewer than two driver groups have at least 5 observable manager families.</x:v>
      </x:c>
      <x:c r="V277" s="48" t="str">
        <x:v>At least 5 observable manager families in at least 2 driver groups</x:v>
      </x:c>
      <x:c r="W277" s="48" t="str">
        <x:v>&gt;=0.35 separates; &lt;=0.15 does not separate; intermediate is inconclusive/confounded; direct driver-definition tests are CIRCULAR</x:v>
      </x:c>
      <x:c r="X277" s="48" t="str">
        <x:v>MANAGER_SELF_DESCRIPTION; NOT BEHAVIOURAL FREQUENCY</x:v>
      </x:c>
    </x:row>
    <x:row r="278">
      <x:c r="A278" s="48" t="str">
        <x:v>B_GOVERNANCE_SEGMENTATION</x:v>
      </x:c>
      <x:c r="B278" s="48" t="str">
        <x:v>Tier B v1.1 - N=29 rerun</x:v>
      </x:c>
      <x:c r="C278" s="48" t="str">
        <x:v>2026-07-16</x:v>
      </x:c>
      <x:c r="D278" s="48" t="str">
        <x:v>G16</x:v>
      </x:c>
      <x:c r="E278" s="48" t="str">
        <x:v>GATING_DECISION</x:v>
      </x:c>
      <x:c r="F278" s="48" t="str">
        <x:v>Management presentation before final approval</x:v>
      </x:c>
      <x:c r="G278" s="48" t="str">
        <x:v>strategy</x:v>
      </x:c>
      <x:c r="H278" s="48" t="str">
        <x:v>OPPORTUNISTIC_CONTROL</x:v>
      </x:c>
      <x:c r="I278" s="48" t="str">
        <x:v>1</x:v>
      </x:c>
      <x:c r="J278" s="48" t="str">
        <x:v>1</x:v>
      </x:c>
      <x:c r="K278" s="48" t="str">
        <x:v>1</x:v>
      </x:c>
      <x:c r="L278" s="48" t="str">
        <x:v>0</x:v>
      </x:c>
      <x:c r="M278" s="48" t="str">
        <x:v>1</x:v>
      </x:c>
      <x:c r="N278" s="48" t="str">
        <x:v>0</x:v>
      </x:c>
      <x:c r="O278" s="48" t="str">
        <x:v>0</x:v>
      </x:c>
      <x:c r="P278" s="48" t="str">
        <x:v>0</x:v>
      </x:c>
      <x:c r="Q278" s="48" t="str">
        <x:v>1.000</x:v>
      </x:c>
      <x:c r="R278" s="48" t="str">
        <x:v>N TOO SMALL</x:v>
      </x:c>
      <x:c r="S278" s="48" t="str"/>
      <x:c r="T278" s="48" t="str">
        <x:v>CONTROL_BUYOUT:N=5,p=1.000</x:v>
      </x:c>
      <x:c r="U278" s="48" t="str">
        <x:v>Fewer than two driver groups have at least 5 observable manager families.</x:v>
      </x:c>
      <x:c r="V278" s="48" t="str">
        <x:v>At least 5 observable manager families in at least 2 driver groups</x:v>
      </x:c>
      <x:c r="W278" s="48" t="str">
        <x:v>&gt;=0.35 separates; &lt;=0.15 does not separate; intermediate is inconclusive/confounded; direct driver-definition tests are CIRCULAR</x:v>
      </x:c>
      <x:c r="X278" s="48" t="str">
        <x:v>MANAGER_SELF_DESCRIPTION; NOT BEHAVIOURAL FREQUENCY</x:v>
      </x:c>
    </x:row>
    <x:row r="279">
      <x:c r="A279" s="48" t="str">
        <x:v>B_GOVERNANCE_SEGMENTATION</x:v>
      </x:c>
      <x:c r="B279" s="48" t="str">
        <x:v>Tier B v1.1 - N=29 rerun</x:v>
      </x:c>
      <x:c r="C279" s="48" t="str">
        <x:v>2026-07-16</x:v>
      </x:c>
      <x:c r="D279" s="48" t="str">
        <x:v>G16</x:v>
      </x:c>
      <x:c r="E279" s="48" t="str">
        <x:v>GATING_DECISION</x:v>
      </x:c>
      <x:c r="F279" s="48" t="str">
        <x:v>Management presentation before final approval</x:v>
      </x:c>
      <x:c r="G279" s="48" t="str">
        <x:v>geography</x:v>
      </x:c>
      <x:c r="H279" s="48" t="str">
        <x:v>ASIA_PACIFIC</x:v>
      </x:c>
      <x:c r="I279" s="48" t="str">
        <x:v>4</x:v>
      </x:c>
      <x:c r="J279" s="48" t="str">
        <x:v>0</x:v>
      </x:c>
      <x:c r="K279" s="48" t="str">
        <x:v>0</x:v>
      </x:c>
      <x:c r="L279" s="48" t="str">
        <x:v>0</x:v>
      </x:c>
      <x:c r="M279" s="48" t="str">
        <x:v>0</x:v>
      </x:c>
      <x:c r="N279" s="48" t="str">
        <x:v>4</x:v>
      </x:c>
      <x:c r="O279" s="48" t="str">
        <x:v>0</x:v>
      </x:c>
      <x:c r="P279" s="48" t="str">
        <x:v>0</x:v>
      </x:c>
      <x:c r="Q279" s="48" t="str"/>
      <x:c r="R279" s="48" t="str">
        <x:v>N TOO SMALL</x:v>
      </x:c>
      <x:c r="S279" s="48" t="str"/>
      <x:c r="T279" s="48" t="str">
        <x:v>NORTH_AMERICA:N=6,p=1.000</x:v>
      </x:c>
      <x:c r="U279" s="48" t="str">
        <x:v>Fewer than two driver groups have at least 5 observable manager families.</x:v>
      </x:c>
      <x:c r="V279" s="48" t="str">
        <x:v>At least 5 observable manager families in at least 2 driver groups</x:v>
      </x:c>
      <x:c r="W279" s="48" t="str">
        <x:v>&gt;=0.35 separates; &lt;=0.15 does not separate; intermediate is inconclusive/confounded; direct driver-definition tests are CIRCULAR</x:v>
      </x:c>
      <x:c r="X279" s="48" t="str">
        <x:v>MANAGER_SELF_DESCRIPTION; NOT BEHAVIOURAL FREQUENCY</x:v>
      </x:c>
    </x:row>
    <x:row r="280">
      <x:c r="A280" s="48" t="str">
        <x:v>B_GOVERNANCE_SEGMENTATION</x:v>
      </x:c>
      <x:c r="B280" s="48" t="str">
        <x:v>Tier B v1.1 - N=29 rerun</x:v>
      </x:c>
      <x:c r="C280" s="48" t="str">
        <x:v>2026-07-16</x:v>
      </x:c>
      <x:c r="D280" s="48" t="str">
        <x:v>G16</x:v>
      </x:c>
      <x:c r="E280" s="48" t="str">
        <x:v>GATING_DECISION</x:v>
      </x:c>
      <x:c r="F280" s="48" t="str">
        <x:v>Management presentation before final approval</x:v>
      </x:c>
      <x:c r="G280" s="48" t="str">
        <x:v>geography</x:v>
      </x:c>
      <x:c r="H280" s="48" t="str">
        <x:v>EUROPE</x:v>
      </x:c>
      <x:c r="I280" s="48" t="str">
        <x:v>2</x:v>
      </x:c>
      <x:c r="J280" s="48" t="str">
        <x:v>0</x:v>
      </x:c>
      <x:c r="K280" s="48" t="str">
        <x:v>0</x:v>
      </x:c>
      <x:c r="L280" s="48" t="str">
        <x:v>0</x:v>
      </x:c>
      <x:c r="M280" s="48" t="str">
        <x:v>0</x:v>
      </x:c>
      <x:c r="N280" s="48" t="str">
        <x:v>2</x:v>
      </x:c>
      <x:c r="O280" s="48" t="str">
        <x:v>0</x:v>
      </x:c>
      <x:c r="P280" s="48" t="str">
        <x:v>0</x:v>
      </x:c>
      <x:c r="Q280" s="48" t="str"/>
      <x:c r="R280" s="48" t="str">
        <x:v>N TOO SMALL</x:v>
      </x:c>
      <x:c r="S280" s="48" t="str"/>
      <x:c r="T280" s="48" t="str">
        <x:v>NORTH_AMERICA:N=6,p=1.000</x:v>
      </x:c>
      <x:c r="U280" s="48" t="str">
        <x:v>Fewer than two driver groups have at least 5 observable manager families.</x:v>
      </x:c>
      <x:c r="V280" s="48" t="str">
        <x:v>At least 5 observable manager families in at least 2 driver groups</x:v>
      </x:c>
      <x:c r="W280" s="48" t="str">
        <x:v>&gt;=0.35 separates; &lt;=0.15 does not separate; intermediate is inconclusive/confounded; direct driver-definition tests are CIRCULAR</x:v>
      </x:c>
      <x:c r="X280" s="48" t="str">
        <x:v>MANAGER_SELF_DESCRIPTION; NOT BEHAVIOURAL FREQUENCY</x:v>
      </x:c>
    </x:row>
    <x:row r="281">
      <x:c r="A281" s="48" t="str">
        <x:v>B_GOVERNANCE_SEGMENTATION</x:v>
      </x:c>
      <x:c r="B281" s="48" t="str">
        <x:v>Tier B v1.1 - N=29 rerun</x:v>
      </x:c>
      <x:c r="C281" s="48" t="str">
        <x:v>2026-07-16</x:v>
      </x:c>
      <x:c r="D281" s="48" t="str">
        <x:v>G16</x:v>
      </x:c>
      <x:c r="E281" s="48" t="str">
        <x:v>GATING_DECISION</x:v>
      </x:c>
      <x:c r="F281" s="48" t="str">
        <x:v>Management presentation before final approval</x:v>
      </x:c>
      <x:c r="G281" s="48" t="str">
        <x:v>geography</x:v>
      </x:c>
      <x:c r="H281" s="48" t="str">
        <x:v>GLOBAL_TRANSATLANTIC</x:v>
      </x:c>
      <x:c r="I281" s="48" t="str">
        <x:v>10</x:v>
      </x:c>
      <x:c r="J281" s="48" t="str">
        <x:v>2</x:v>
      </x:c>
      <x:c r="K281" s="48" t="str">
        <x:v>1</x:v>
      </x:c>
      <x:c r="L281" s="48" t="str">
        <x:v>0</x:v>
      </x:c>
      <x:c r="M281" s="48" t="str">
        <x:v>2</x:v>
      </x:c>
      <x:c r="N281" s="48" t="str">
        <x:v>7</x:v>
      </x:c>
      <x:c r="O281" s="48" t="str">
        <x:v>1</x:v>
      </x:c>
      <x:c r="P281" s="48" t="str">
        <x:v>0</x:v>
      </x:c>
      <x:c r="Q281" s="48" t="str">
        <x:v>1.000</x:v>
      </x:c>
      <x:c r="R281" s="48" t="str">
        <x:v>N TOO SMALL</x:v>
      </x:c>
      <x:c r="S281" s="48" t="str"/>
      <x:c r="T281" s="48" t="str">
        <x:v>NORTH_AMERICA:N=6,p=1.000</x:v>
      </x:c>
      <x:c r="U281" s="48" t="str">
        <x:v>Fewer than two driver groups have at least 5 observable manager families.</x:v>
      </x:c>
      <x:c r="V281" s="48" t="str">
        <x:v>At least 5 observable manager families in at least 2 driver groups</x:v>
      </x:c>
      <x:c r="W281" s="48" t="str">
        <x:v>&gt;=0.35 separates; &lt;=0.15 does not separate; intermediate is inconclusive/confounded; direct driver-definition tests are CIRCULAR</x:v>
      </x:c>
      <x:c r="X281" s="48" t="str">
        <x:v>MANAGER_SELF_DESCRIPTION; NOT BEHAVIOURAL FREQUENCY</x:v>
      </x:c>
    </x:row>
    <x:row r="282">
      <x:c r="A282" s="48" t="str">
        <x:v>B_GOVERNANCE_SEGMENTATION</x:v>
      </x:c>
      <x:c r="B282" s="48" t="str">
        <x:v>Tier B v1.1 - N=29 rerun</x:v>
      </x:c>
      <x:c r="C282" s="48" t="str">
        <x:v>2026-07-16</x:v>
      </x:c>
      <x:c r="D282" s="48" t="str">
        <x:v>G16</x:v>
      </x:c>
      <x:c r="E282" s="48" t="str">
        <x:v>GATING_DECISION</x:v>
      </x:c>
      <x:c r="F282" s="48" t="str">
        <x:v>Management presentation before final approval</x:v>
      </x:c>
      <x:c r="G282" s="48" t="str">
        <x:v>geography</x:v>
      </x:c>
      <x:c r="H282" s="48" t="str">
        <x:v>NORTH_AMERICA</x:v>
      </x:c>
      <x:c r="I282" s="48" t="str">
        <x:v>13</x:v>
      </x:c>
      <x:c r="J282" s="48" t="str">
        <x:v>6</x:v>
      </x:c>
      <x:c r="K282" s="48" t="str">
        <x:v>3</x:v>
      </x:c>
      <x:c r="L282" s="48" t="str">
        <x:v>0</x:v>
      </x:c>
      <x:c r="M282" s="48" t="str">
        <x:v>6</x:v>
      </x:c>
      <x:c r="N282" s="48" t="str">
        <x:v>7</x:v>
      </x:c>
      <x:c r="O282" s="48" t="str">
        <x:v>0</x:v>
      </x:c>
      <x:c r="P282" s="48" t="str">
        <x:v>0</x:v>
      </x:c>
      <x:c r="Q282" s="48" t="str">
        <x:v>1.000</x:v>
      </x:c>
      <x:c r="R282" s="48" t="str">
        <x:v>N TOO SMALL</x:v>
      </x:c>
      <x:c r="S282" s="48" t="str"/>
      <x:c r="T282" s="48" t="str">
        <x:v>NORTH_AMERICA:N=6,p=1.000</x:v>
      </x:c>
      <x:c r="U282" s="48" t="str">
        <x:v>Fewer than two driver groups have at least 5 observable manager families.</x:v>
      </x:c>
      <x:c r="V282" s="48" t="str">
        <x:v>At least 5 observable manager families in at least 2 driver groups</x:v>
      </x:c>
      <x:c r="W282" s="48" t="str">
        <x:v>&gt;=0.35 separates; &lt;=0.15 does not separate; intermediate is inconclusive/confounded; direct driver-definition tests are CIRCULAR</x:v>
      </x:c>
      <x:c r="X282" s="48" t="str">
        <x:v>MANAGER_SELF_DESCRIPTION; NOT BEHAVIOURAL FREQUENCY</x:v>
      </x:c>
    </x:row>
    <x:row r="283">
      <x:c r="A283" s="48" t="str">
        <x:v>B_GOVERNANCE_SEGMENTATION</x:v>
      </x:c>
      <x:c r="B283" s="48" t="str">
        <x:v>Tier B v1.1 - N=29 rerun</x:v>
      </x:c>
      <x:c r="C283" s="48" t="str">
        <x:v>2026-07-16</x:v>
      </x:c>
      <x:c r="D283" s="48" t="str">
        <x:v>G16</x:v>
      </x:c>
      <x:c r="E283" s="48" t="str">
        <x:v>GATING_DECISION</x:v>
      </x:c>
      <x:c r="F283" s="48" t="str">
        <x:v>Management presentation before final approval</x:v>
      </x:c>
      <x:c r="G283" s="48" t="str">
        <x:v>source_vintage_bin</x:v>
      </x:c>
      <x:c r="H283" s="48" t="str">
        <x:v>2018_2020</x:v>
      </x:c>
      <x:c r="I283" s="48" t="str">
        <x:v>6</x:v>
      </x:c>
      <x:c r="J283" s="48" t="str">
        <x:v>3</x:v>
      </x:c>
      <x:c r="K283" s="48" t="str">
        <x:v>1</x:v>
      </x:c>
      <x:c r="L283" s="48" t="str">
        <x:v>0</x:v>
      </x:c>
      <x:c r="M283" s="48" t="str">
        <x:v>3</x:v>
      </x:c>
      <x:c r="N283" s="48" t="str">
        <x:v>3</x:v>
      </x:c>
      <x:c r="O283" s="48" t="str">
        <x:v>0</x:v>
      </x:c>
      <x:c r="P283" s="48" t="str">
        <x:v>0</x:v>
      </x:c>
      <x:c r="Q283" s="48" t="str">
        <x:v>1.000</x:v>
      </x:c>
      <x:c r="R283" s="48" t="str">
        <x:v>N TOO SMALL</x:v>
      </x:c>
      <x:c r="S283" s="48" t="str"/>
      <x:c r="T283" s="48" t="str"/>
      <x:c r="U283" s="48" t="str">
        <x:v>Fewer than two driver groups have at least 5 observable manager families.</x:v>
      </x:c>
      <x:c r="V283" s="48" t="str">
        <x:v>At least 5 observable manager families in at least 2 driver groups</x:v>
      </x:c>
      <x:c r="W283" s="48" t="str">
        <x:v>&gt;=0.35 separates; &lt;=0.15 does not separate; intermediate is inconclusive/confounded; direct driver-definition tests are CIRCULAR</x:v>
      </x:c>
      <x:c r="X283" s="48" t="str">
        <x:v>MANAGER_SELF_DESCRIPTION; NOT BEHAVIOURAL FREQUENCY</x:v>
      </x:c>
    </x:row>
    <x:row r="284">
      <x:c r="A284" s="48" t="str">
        <x:v>B_GOVERNANCE_SEGMENTATION</x:v>
      </x:c>
      <x:c r="B284" s="48" t="str">
        <x:v>Tier B v1.1 - N=29 rerun</x:v>
      </x:c>
      <x:c r="C284" s="48" t="str">
        <x:v>2026-07-16</x:v>
      </x:c>
      <x:c r="D284" s="48" t="str">
        <x:v>G16</x:v>
      </x:c>
      <x:c r="E284" s="48" t="str">
        <x:v>GATING_DECISION</x:v>
      </x:c>
      <x:c r="F284" s="48" t="str">
        <x:v>Management presentation before final approval</x:v>
      </x:c>
      <x:c r="G284" s="48" t="str">
        <x:v>source_vintage_bin</x:v>
      </x:c>
      <x:c r="H284" s="48" t="str">
        <x:v>2021_2023</x:v>
      </x:c>
      <x:c r="I284" s="48" t="str">
        <x:v>11</x:v>
      </x:c>
      <x:c r="J284" s="48" t="str">
        <x:v>2</x:v>
      </x:c>
      <x:c r="K284" s="48" t="str">
        <x:v>2</x:v>
      </x:c>
      <x:c r="L284" s="48" t="str">
        <x:v>0</x:v>
      </x:c>
      <x:c r="M284" s="48" t="str">
        <x:v>2</x:v>
      </x:c>
      <x:c r="N284" s="48" t="str">
        <x:v>8</x:v>
      </x:c>
      <x:c r="O284" s="48" t="str">
        <x:v>1</x:v>
      </x:c>
      <x:c r="P284" s="48" t="str">
        <x:v>0</x:v>
      </x:c>
      <x:c r="Q284" s="48" t="str">
        <x:v>1.000</x:v>
      </x:c>
      <x:c r="R284" s="48" t="str">
        <x:v>N TOO SMALL</x:v>
      </x:c>
      <x:c r="S284" s="48" t="str"/>
      <x:c r="T284" s="48" t="str"/>
      <x:c r="U284" s="48" t="str">
        <x:v>Fewer than two driver groups have at least 5 observable manager families.</x:v>
      </x:c>
      <x:c r="V284" s="48" t="str">
        <x:v>At least 5 observable manager families in at least 2 driver groups</x:v>
      </x:c>
      <x:c r="W284" s="48" t="str">
        <x:v>&gt;=0.35 separates; &lt;=0.15 does not separate; intermediate is inconclusive/confounded; direct driver-definition tests are CIRCULAR</x:v>
      </x:c>
      <x:c r="X284" s="48" t="str">
        <x:v>MANAGER_SELF_DESCRIPTION; NOT BEHAVIOURAL FREQUENCY</x:v>
      </x:c>
    </x:row>
    <x:row r="285">
      <x:c r="A285" s="48" t="str">
        <x:v>B_GOVERNANCE_SEGMENTATION</x:v>
      </x:c>
      <x:c r="B285" s="48" t="str">
        <x:v>Tier B v1.1 - N=29 rerun</x:v>
      </x:c>
      <x:c r="C285" s="48" t="str">
        <x:v>2026-07-16</x:v>
      </x:c>
      <x:c r="D285" s="48" t="str">
        <x:v>G16</x:v>
      </x:c>
      <x:c r="E285" s="48" t="str">
        <x:v>GATING_DECISION</x:v>
      </x:c>
      <x:c r="F285" s="48" t="str">
        <x:v>Management presentation before final approval</x:v>
      </x:c>
      <x:c r="G285" s="48" t="str">
        <x:v>source_vintage_bin</x:v>
      </x:c>
      <x:c r="H285" s="48" t="str">
        <x:v>2024_2026</x:v>
      </x:c>
      <x:c r="I285" s="48" t="str">
        <x:v>12</x:v>
      </x:c>
      <x:c r="J285" s="48" t="str">
        <x:v>3</x:v>
      </x:c>
      <x:c r="K285" s="48" t="str">
        <x:v>1</x:v>
      </x:c>
      <x:c r="L285" s="48" t="str">
        <x:v>0</x:v>
      </x:c>
      <x:c r="M285" s="48" t="str">
        <x:v>3</x:v>
      </x:c>
      <x:c r="N285" s="48" t="str">
        <x:v>9</x:v>
      </x:c>
      <x:c r="O285" s="48" t="str">
        <x:v>0</x:v>
      </x:c>
      <x:c r="P285" s="48" t="str">
        <x:v>0</x:v>
      </x:c>
      <x:c r="Q285" s="48" t="str">
        <x:v>1.000</x:v>
      </x:c>
      <x:c r="R285" s="48" t="str">
        <x:v>N TOO SMALL</x:v>
      </x:c>
      <x:c r="S285" s="48" t="str"/>
      <x:c r="T285" s="48" t="str"/>
      <x:c r="U285" s="48" t="str">
        <x:v>Fewer than two driver groups have at least 5 observable manager families.</x:v>
      </x:c>
      <x:c r="V285" s="48" t="str">
        <x:v>At least 5 observable manager families in at least 2 driver groups</x:v>
      </x:c>
      <x:c r="W285" s="48" t="str">
        <x:v>&gt;=0.35 separates; &lt;=0.15 does not separate; intermediate is inconclusive/confounded; direct driver-definition tests are CIRCULAR</x:v>
      </x:c>
      <x:c r="X285" s="48" t="str">
        <x:v>MANAGER_SELF_DESCRIPTION; NOT BEHAVIOURAL FREQUENCY</x:v>
      </x:c>
    </x:row>
    <x:row r="286">
      <x:c r="A286" s="48" t="str">
        <x:v>B_GOVERNANCE_SEGMENTATION</x:v>
      </x:c>
      <x:c r="B286" s="48" t="str">
        <x:v>Tier B v1.1 - N=29 rerun</x:v>
      </x:c>
      <x:c r="C286" s="48" t="str">
        <x:v>2026-07-16</x:v>
      </x:c>
      <x:c r="D286" s="48" t="str">
        <x:v>G16</x:v>
      </x:c>
      <x:c r="E286" s="48" t="str">
        <x:v>GATING_DECISION</x:v>
      </x:c>
      <x:c r="F286" s="48" t="str">
        <x:v>Management presentation before final approval</x:v>
      </x:c>
      <x:c r="G286" s="48" t="str">
        <x:v>governance_architecture</x:v>
      </x:c>
      <x:c r="H286" s="48" t="str">
        <x:v>IC_FINAL_OR_DE_FACTO</x:v>
      </x:c>
      <x:c r="I286" s="48" t="str">
        <x:v>26</x:v>
      </x:c>
      <x:c r="J286" s="48" t="str">
        <x:v>8</x:v>
      </x:c>
      <x:c r="K286" s="48" t="str">
        <x:v>4</x:v>
      </x:c>
      <x:c r="L286" s="48" t="str">
        <x:v>0</x:v>
      </x:c>
      <x:c r="M286" s="48" t="str">
        <x:v>8</x:v>
      </x:c>
      <x:c r="N286" s="48" t="str">
        <x:v>17</x:v>
      </x:c>
      <x:c r="O286" s="48" t="str">
        <x:v>1</x:v>
      </x:c>
      <x:c r="P286" s="48" t="str">
        <x:v>0</x:v>
      </x:c>
      <x:c r="Q286" s="48" t="str">
        <x:v>1.000</x:v>
      </x:c>
      <x:c r="R286" s="48" t="str">
        <x:v>N TOO SMALL</x:v>
      </x:c>
      <x:c r="S286" s="48" t="str"/>
      <x:c r="T286" s="48" t="str">
        <x:v>IC_FINAL_OR_DE_FACTO:N=8,p=1.000</x:v>
      </x:c>
      <x:c r="U286" s="48" t="str">
        <x:v>Fewer than two driver groups have at least 5 observable manager families.</x:v>
      </x:c>
      <x:c r="V286" s="48" t="str">
        <x:v>At least 5 observable manager families in at least 2 driver groups</x:v>
      </x:c>
      <x:c r="W286" s="48" t="str">
        <x:v>&gt;=0.35 separates; &lt;=0.15 does not separate; intermediate is inconclusive/confounded; direct driver-definition tests are CIRCULAR</x:v>
      </x:c>
      <x:c r="X286" s="48" t="str">
        <x:v>MANAGER_SELF_DESCRIPTION; NOT BEHAVIOURAL FREQUENCY</x:v>
      </x:c>
    </x:row>
    <x:row r="287">
      <x:c r="A287" s="48" t="str">
        <x:v>B_GOVERNANCE_SEGMENTATION</x:v>
      </x:c>
      <x:c r="B287" s="48" t="str">
        <x:v>Tier B v1.1 - N=29 rerun</x:v>
      </x:c>
      <x:c r="C287" s="48" t="str">
        <x:v>2026-07-16</x:v>
      </x:c>
      <x:c r="D287" s="48" t="str">
        <x:v>G16</x:v>
      </x:c>
      <x:c r="E287" s="48" t="str">
        <x:v>GATING_DECISION</x:v>
      </x:c>
      <x:c r="F287" s="48" t="str">
        <x:v>Management presentation before final approval</x:v>
      </x:c>
      <x:c r="G287" s="48" t="str">
        <x:v>governance_architecture</x:v>
      </x:c>
      <x:c r="H287" s="48" t="str">
        <x:v>IC_RECOMMENDS_SEPARATE_FINAL_AUTHORITY</x:v>
      </x:c>
      <x:c r="I287" s="48" t="str">
        <x:v>3</x:v>
      </x:c>
      <x:c r="J287" s="48" t="str">
        <x:v>0</x:v>
      </x:c>
      <x:c r="K287" s="48" t="str">
        <x:v>0</x:v>
      </x:c>
      <x:c r="L287" s="48" t="str">
        <x:v>0</x:v>
      </x:c>
      <x:c r="M287" s="48" t="str">
        <x:v>0</x:v>
      </x:c>
      <x:c r="N287" s="48" t="str">
        <x:v>3</x:v>
      </x:c>
      <x:c r="O287" s="48" t="str">
        <x:v>0</x:v>
      </x:c>
      <x:c r="P287" s="48" t="str">
        <x:v>0</x:v>
      </x:c>
      <x:c r="Q287" s="48" t="str"/>
      <x:c r="R287" s="48" t="str">
        <x:v>N TOO SMALL</x:v>
      </x:c>
      <x:c r="S287" s="48" t="str"/>
      <x:c r="T287" s="48" t="str">
        <x:v>IC_FINAL_OR_DE_FACTO:N=8,p=1.000</x:v>
      </x:c>
      <x:c r="U287" s="48" t="str">
        <x:v>Fewer than two driver groups have at least 5 observable manager families.</x:v>
      </x:c>
      <x:c r="V287" s="48" t="str">
        <x:v>At least 5 observable manager families in at least 2 driver groups</x:v>
      </x:c>
      <x:c r="W287" s="48" t="str">
        <x:v>&gt;=0.35 separates; &lt;=0.15 does not separate; intermediate is inconclusive/confounded; direct driver-definition tests are CIRCULAR</x:v>
      </x:c>
      <x:c r="X287" s="48" t="str">
        <x:v>MANAGER_SELF_DESCRIPTION; NOT BEHAVIOURAL FREQUENCY</x:v>
      </x:c>
    </x:row>
    <x:row r="288">
      <x:c r="A288" s="48" t="str">
        <x:v>B_GOVERNANCE_SEGMENTATION</x:v>
      </x:c>
      <x:c r="B288" s="48" t="str">
        <x:v>Tier B v1.1 - N=29 rerun</x:v>
      </x:c>
      <x:c r="C288" s="48" t="str">
        <x:v>2026-07-16</x:v>
      </x:c>
      <x:c r="D288" s="48" t="str">
        <x:v>G16</x:v>
      </x:c>
      <x:c r="E288" s="48" t="str">
        <x:v>GATING_DECISION</x:v>
      </x:c>
      <x:c r="F288" s="48" t="str">
        <x:v>Management presentation before final approval</x:v>
      </x:c>
      <x:c r="G288" s="48" t="str">
        <x:v>dedicated_operating_team</x:v>
      </x:c>
      <x:c r="H288" s="48" t="str">
        <x:v>NO_OR_LIMITED</x:v>
      </x:c>
      <x:c r="I288" s="48" t="str">
        <x:v>6</x:v>
      </x:c>
      <x:c r="J288" s="48" t="str">
        <x:v>1</x:v>
      </x:c>
      <x:c r="K288" s="48" t="str">
        <x:v>0</x:v>
      </x:c>
      <x:c r="L288" s="48" t="str">
        <x:v>0</x:v>
      </x:c>
      <x:c r="M288" s="48" t="str">
        <x:v>1</x:v>
      </x:c>
      <x:c r="N288" s="48" t="str">
        <x:v>5</x:v>
      </x:c>
      <x:c r="O288" s="48" t="str">
        <x:v>0</x:v>
      </x:c>
      <x:c r="P288" s="48" t="str">
        <x:v>0</x:v>
      </x:c>
      <x:c r="Q288" s="48" t="str">
        <x:v>1.000</x:v>
      </x:c>
      <x:c r="R288" s="48" t="str">
        <x:v>N TOO SMALL</x:v>
      </x:c>
      <x:c r="S288" s="48" t="str"/>
      <x:c r="T288" s="48" t="str">
        <x:v>YES_DEDICATED:N=7,p=1.000</x:v>
      </x:c>
      <x:c r="U288" s="48" t="str">
        <x:v>Fewer than two driver groups have at least 5 observable manager families.</x:v>
      </x:c>
      <x:c r="V288" s="48" t="str">
        <x:v>At least 5 observable manager families in at least 2 driver groups</x:v>
      </x:c>
      <x:c r="W288" s="48" t="str">
        <x:v>&gt;=0.35 separates; &lt;=0.15 does not separate; intermediate is inconclusive/confounded; direct driver-definition tests are CIRCULAR</x:v>
      </x:c>
      <x:c r="X288" s="48" t="str">
        <x:v>MANAGER_SELF_DESCRIPTION; NOT BEHAVIOURAL FREQUENCY</x:v>
      </x:c>
    </x:row>
    <x:row r="289">
      <x:c r="A289" s="48" t="str">
        <x:v>B_GOVERNANCE_SEGMENTATION</x:v>
      </x:c>
      <x:c r="B289" s="48" t="str">
        <x:v>Tier B v1.1 - N=29 rerun</x:v>
      </x:c>
      <x:c r="C289" s="48" t="str">
        <x:v>2026-07-16</x:v>
      </x:c>
      <x:c r="D289" s="48" t="str">
        <x:v>G16</x:v>
      </x:c>
      <x:c r="E289" s="48" t="str">
        <x:v>GATING_DECISION</x:v>
      </x:c>
      <x:c r="F289" s="48" t="str">
        <x:v>Management presentation before final approval</x:v>
      </x:c>
      <x:c r="G289" s="48" t="str">
        <x:v>dedicated_operating_team</x:v>
      </x:c>
      <x:c r="H289" s="48" t="str">
        <x:v>YES_DEDICATED</x:v>
      </x:c>
      <x:c r="I289" s="48" t="str">
        <x:v>23</x:v>
      </x:c>
      <x:c r="J289" s="48" t="str">
        <x:v>7</x:v>
      </x:c>
      <x:c r="K289" s="48" t="str">
        <x:v>4</x:v>
      </x:c>
      <x:c r="L289" s="48" t="str">
        <x:v>0</x:v>
      </x:c>
      <x:c r="M289" s="48" t="str">
        <x:v>7</x:v>
      </x:c>
      <x:c r="N289" s="48" t="str">
        <x:v>15</x:v>
      </x:c>
      <x:c r="O289" s="48" t="str">
        <x:v>1</x:v>
      </x:c>
      <x:c r="P289" s="48" t="str">
        <x:v>0</x:v>
      </x:c>
      <x:c r="Q289" s="48" t="str">
        <x:v>1.000</x:v>
      </x:c>
      <x:c r="R289" s="48" t="str">
        <x:v>N TOO SMALL</x:v>
      </x:c>
      <x:c r="S289" s="48" t="str"/>
      <x:c r="T289" s="48" t="str">
        <x:v>YES_DEDICATED:N=7,p=1.000</x:v>
      </x:c>
      <x:c r="U289" s="48" t="str">
        <x:v>Fewer than two driver groups have at least 5 observable manager families.</x:v>
      </x:c>
      <x:c r="V289" s="48" t="str">
        <x:v>At least 5 observable manager families in at least 2 driver groups</x:v>
      </x:c>
      <x:c r="W289" s="48" t="str">
        <x:v>&gt;=0.35 separates; &lt;=0.15 does not separate; intermediate is inconclusive/confounded; direct driver-definition tests are CIRCULAR</x:v>
      </x:c>
      <x:c r="X289" s="48" t="str">
        <x:v>MANAGER_SELF_DESCRIPTION; NOT BEHAVIOURAL FREQUENCY</x:v>
      </x:c>
    </x:row>
    <x:row r="290">
      <x:c r="A290" s="48" t="str">
        <x:v>B_GOVERNANCE_SEGMENTATION</x:v>
      </x:c>
      <x:c r="B290" s="48" t="str">
        <x:v>Tier B v1.1 - N=29 rerun</x:v>
      </x:c>
      <x:c r="C290" s="48" t="str">
        <x:v>2026-07-16</x:v>
      </x:c>
      <x:c r="D290" s="48" t="str">
        <x:v>D01</x:v>
      </x:c>
      <x:c r="E290" s="48" t="str">
        <x:v>DILIGENCE_ORGANIZATION</x:v>
      </x:c>
      <x:c r="F290" s="48" t="str">
        <x:v>External third-party advisers used</x:v>
      </x:c>
      <x:c r="G290" s="48" t="str">
        <x:v>fund_size_archetype</x:v>
      </x:c>
      <x:c r="H290" s="48" t="str">
        <x:v>LARGE_2_TO_LT_5B</x:v>
      </x:c>
      <x:c r="I290" s="48" t="str">
        <x:v>9</x:v>
      </x:c>
      <x:c r="J290" s="48" t="str">
        <x:v>9</x:v>
      </x:c>
      <x:c r="K290" s="48" t="str">
        <x:v>0</x:v>
      </x:c>
      <x:c r="L290" s="48" t="str">
        <x:v>0</x:v>
      </x:c>
      <x:c r="M290" s="48" t="str">
        <x:v>9</x:v>
      </x:c>
      <x:c r="N290" s="48" t="str">
        <x:v>0</x:v>
      </x:c>
      <x:c r="O290" s="48" t="str">
        <x:v>0</x:v>
      </x:c>
      <x:c r="P290" s="48" t="str">
        <x:v>0</x:v>
      </x:c>
      <x:c r="Q290" s="48" t="str">
        <x:v>1.000</x:v>
      </x:c>
      <x:c r="R290" s="48" t="str">
        <x:v>DRIVER DOES NOT SEPARATE</x:v>
      </x:c>
      <x:c r="S290" s="48" t="str">
        <x:v>0.000</x:v>
      </x:c>
      <x:c r="T290" s="48" t="str">
        <x:v>LARGE_2_TO_LT_5B:N=9,p=1.000; LOWER_MID_LT_2B:N=8,p=1.000; MEGA_GE_5B:N=11,p=1.000</x:v>
      </x:c>
      <x:c r="U290" s="48" t="str">
        <x:v>Maximum-minus-minimum prevalence among adequately observed groups is no more than 0.15.</x:v>
      </x:c>
      <x:c r="V290" s="48" t="str">
        <x:v>At least 5 observable manager families in at least 2 driver groups</x:v>
      </x:c>
      <x:c r="W290" s="48" t="str">
        <x:v>&gt;=0.35 separates; &lt;=0.15 does not separate; intermediate is inconclusive/confounded; direct driver-definition tests are CIRCULAR</x:v>
      </x:c>
      <x:c r="X290" s="48" t="str">
        <x:v>MANAGER_SELF_DESCRIPTION; NOT BEHAVIOURAL FREQUENCY</x:v>
      </x:c>
    </x:row>
    <x:row r="291">
      <x:c r="A291" s="48" t="str">
        <x:v>B_GOVERNANCE_SEGMENTATION</x:v>
      </x:c>
      <x:c r="B291" s="48" t="str">
        <x:v>Tier B v1.1 - N=29 rerun</x:v>
      </x:c>
      <x:c r="C291" s="48" t="str">
        <x:v>2026-07-16</x:v>
      </x:c>
      <x:c r="D291" s="48" t="str">
        <x:v>D01</x:v>
      </x:c>
      <x:c r="E291" s="48" t="str">
        <x:v>DILIGENCE_ORGANIZATION</x:v>
      </x:c>
      <x:c r="F291" s="48" t="str">
        <x:v>External third-party advisers used</x:v>
      </x:c>
      <x:c r="G291" s="48" t="str">
        <x:v>fund_size_archetype</x:v>
      </x:c>
      <x:c r="H291" s="48" t="str">
        <x:v>LOWER_MID_LT_2B</x:v>
      </x:c>
      <x:c r="I291" s="48" t="str">
        <x:v>8</x:v>
      </x:c>
      <x:c r="J291" s="48" t="str">
        <x:v>8</x:v>
      </x:c>
      <x:c r="K291" s="48" t="str">
        <x:v>0</x:v>
      </x:c>
      <x:c r="L291" s="48" t="str">
        <x:v>0</x:v>
      </x:c>
      <x:c r="M291" s="48" t="str">
        <x:v>8</x:v>
      </x:c>
      <x:c r="N291" s="48" t="str">
        <x:v>0</x:v>
      </x:c>
      <x:c r="O291" s="48" t="str">
        <x:v>0</x:v>
      </x:c>
      <x:c r="P291" s="48" t="str">
        <x:v>0</x:v>
      </x:c>
      <x:c r="Q291" s="48" t="str">
        <x:v>1.000</x:v>
      </x:c>
      <x:c r="R291" s="48" t="str">
        <x:v>DRIVER DOES NOT SEPARATE</x:v>
      </x:c>
      <x:c r="S291" s="48" t="str">
        <x:v>0.000</x:v>
      </x:c>
      <x:c r="T291" s="48" t="str">
        <x:v>LARGE_2_TO_LT_5B:N=9,p=1.000; LOWER_MID_LT_2B:N=8,p=1.000; MEGA_GE_5B:N=11,p=1.000</x:v>
      </x:c>
      <x:c r="U291" s="48" t="str">
        <x:v>Maximum-minus-minimum prevalence among adequately observed groups is no more than 0.15.</x:v>
      </x:c>
      <x:c r="V291" s="48" t="str">
        <x:v>At least 5 observable manager families in at least 2 driver groups</x:v>
      </x:c>
      <x:c r="W291" s="48" t="str">
        <x:v>&gt;=0.35 separates; &lt;=0.15 does not separate; intermediate is inconclusive/confounded; direct driver-definition tests are CIRCULAR</x:v>
      </x:c>
      <x:c r="X291" s="48" t="str">
        <x:v>MANAGER_SELF_DESCRIPTION; NOT BEHAVIOURAL FREQUENCY</x:v>
      </x:c>
    </x:row>
    <x:row r="292">
      <x:c r="A292" s="48" t="str">
        <x:v>B_GOVERNANCE_SEGMENTATION</x:v>
      </x:c>
      <x:c r="B292" s="48" t="str">
        <x:v>Tier B v1.1 - N=29 rerun</x:v>
      </x:c>
      <x:c r="C292" s="48" t="str">
        <x:v>2026-07-16</x:v>
      </x:c>
      <x:c r="D292" s="48" t="str">
        <x:v>D01</x:v>
      </x:c>
      <x:c r="E292" s="48" t="str">
        <x:v>DILIGENCE_ORGANIZATION</x:v>
      </x:c>
      <x:c r="F292" s="48" t="str">
        <x:v>External third-party advisers used</x:v>
      </x:c>
      <x:c r="G292" s="48" t="str">
        <x:v>fund_size_archetype</x:v>
      </x:c>
      <x:c r="H292" s="48" t="str">
        <x:v>MEGA_GE_5B</x:v>
      </x:c>
      <x:c r="I292" s="48" t="str">
        <x:v>11</x:v>
      </x:c>
      <x:c r="J292" s="48" t="str">
        <x:v>11</x:v>
      </x:c>
      <x:c r="K292" s="48" t="str">
        <x:v>0</x:v>
      </x:c>
      <x:c r="L292" s="48" t="str">
        <x:v>0</x:v>
      </x:c>
      <x:c r="M292" s="48" t="str">
        <x:v>11</x:v>
      </x:c>
      <x:c r="N292" s="48" t="str">
        <x:v>0</x:v>
      </x:c>
      <x:c r="O292" s="48" t="str">
        <x:v>0</x:v>
      </x:c>
      <x:c r="P292" s="48" t="str">
        <x:v>0</x:v>
      </x:c>
      <x:c r="Q292" s="48" t="str">
        <x:v>1.000</x:v>
      </x:c>
      <x:c r="R292" s="48" t="str">
        <x:v>DRIVER DOES NOT SEPARATE</x:v>
      </x:c>
      <x:c r="S292" s="48" t="str">
        <x:v>0.000</x:v>
      </x:c>
      <x:c r="T292" s="48" t="str">
        <x:v>LARGE_2_TO_LT_5B:N=9,p=1.000; LOWER_MID_LT_2B:N=8,p=1.000; MEGA_GE_5B:N=11,p=1.000</x:v>
      </x:c>
      <x:c r="U292" s="48" t="str">
        <x:v>Maximum-minus-minimum prevalence among adequately observed groups is no more than 0.15.</x:v>
      </x:c>
      <x:c r="V292" s="48" t="str">
        <x:v>At least 5 observable manager families in at least 2 driver groups</x:v>
      </x:c>
      <x:c r="W292" s="48" t="str">
        <x:v>&gt;=0.35 separates; &lt;=0.15 does not separate; intermediate is inconclusive/confounded; direct driver-definition tests are CIRCULAR</x:v>
      </x:c>
      <x:c r="X292" s="48" t="str">
        <x:v>MANAGER_SELF_DESCRIPTION; NOT BEHAVIOURAL FREQUENCY</x:v>
      </x:c>
    </x:row>
    <x:row r="293">
      <x:c r="A293" s="48" t="str">
        <x:v>B_GOVERNANCE_SEGMENTATION</x:v>
      </x:c>
      <x:c r="B293" s="48" t="str">
        <x:v>Tier B v1.1 - N=29 rerun</x:v>
      </x:c>
      <x:c r="C293" s="48" t="str">
        <x:v>2026-07-16</x:v>
      </x:c>
      <x:c r="D293" s="48" t="str">
        <x:v>D01</x:v>
      </x:c>
      <x:c r="E293" s="48" t="str">
        <x:v>DILIGENCE_ORGANIZATION</x:v>
      </x:c>
      <x:c r="F293" s="48" t="str">
        <x:v>External third-party advisers used</x:v>
      </x:c>
      <x:c r="G293" s="48" t="str">
        <x:v>fund_size_archetype</x:v>
      </x:c>
      <x:c r="H293" s="48" t="str">
        <x:v>NOT_APPLICABLE</x:v>
      </x:c>
      <x:c r="I293" s="48" t="str">
        <x:v>1</x:v>
      </x:c>
      <x:c r="J293" s="48" t="str">
        <x:v>1</x:v>
      </x:c>
      <x:c r="K293" s="48" t="str">
        <x:v>0</x:v>
      </x:c>
      <x:c r="L293" s="48" t="str">
        <x:v>0</x:v>
      </x:c>
      <x:c r="M293" s="48" t="str">
        <x:v>1</x:v>
      </x:c>
      <x:c r="N293" s="48" t="str">
        <x:v>0</x:v>
      </x:c>
      <x:c r="O293" s="48" t="str">
        <x:v>0</x:v>
      </x:c>
      <x:c r="P293" s="48" t="str">
        <x:v>0</x:v>
      </x:c>
      <x:c r="Q293" s="48" t="str">
        <x:v>1.000</x:v>
      </x:c>
      <x:c r="R293" s="48" t="str">
        <x:v>DRIVER DOES NOT SEPARATE</x:v>
      </x:c>
      <x:c r="S293" s="48" t="str">
        <x:v>0.000</x:v>
      </x:c>
      <x:c r="T293" s="48" t="str">
        <x:v>LARGE_2_TO_LT_5B:N=9,p=1.000; LOWER_MID_LT_2B:N=8,p=1.000; MEGA_GE_5B:N=11,p=1.000</x:v>
      </x:c>
      <x:c r="U293" s="48" t="str">
        <x:v>Maximum-minus-minimum prevalence among adequately observed groups is no more than 0.15.</x:v>
      </x:c>
      <x:c r="V293" s="48" t="str">
        <x:v>At least 5 observable manager families in at least 2 driver groups</x:v>
      </x:c>
      <x:c r="W293" s="48" t="str">
        <x:v>&gt;=0.35 separates; &lt;=0.15 does not separate; intermediate is inconclusive/confounded; direct driver-definition tests are CIRCULAR</x:v>
      </x:c>
      <x:c r="X293" s="48" t="str">
        <x:v>MANAGER_SELF_DESCRIPTION; NOT BEHAVIOURAL FREQUENCY</x:v>
      </x:c>
    </x:row>
    <x:row r="294">
      <x:c r="A294" s="48" t="str">
        <x:v>B_GOVERNANCE_SEGMENTATION</x:v>
      </x:c>
      <x:c r="B294" s="48" t="str">
        <x:v>Tier B v1.1 - N=29 rerun</x:v>
      </x:c>
      <x:c r="C294" s="48" t="str">
        <x:v>2026-07-16</x:v>
      </x:c>
      <x:c r="D294" s="48" t="str">
        <x:v>D01</x:v>
      </x:c>
      <x:c r="E294" s="48" t="str">
        <x:v>DILIGENCE_ORGANIZATION</x:v>
      </x:c>
      <x:c r="F294" s="48" t="str">
        <x:v>External third-party advisers used</x:v>
      </x:c>
      <x:c r="G294" s="48" t="str">
        <x:v>strategy</x:v>
      </x:c>
      <x:c r="H294" s="48" t="str">
        <x:v>CONTROL_BUYOUT</x:v>
      </x:c>
      <x:c r="I294" s="48" t="str">
        <x:v>22</x:v>
      </x:c>
      <x:c r="J294" s="48" t="str">
        <x:v>22</x:v>
      </x:c>
      <x:c r="K294" s="48" t="str">
        <x:v>0</x:v>
      </x:c>
      <x:c r="L294" s="48" t="str">
        <x:v>0</x:v>
      </x:c>
      <x:c r="M294" s="48" t="str">
        <x:v>22</x:v>
      </x:c>
      <x:c r="N294" s="48" t="str">
        <x:v>0</x:v>
      </x:c>
      <x:c r="O294" s="48" t="str">
        <x:v>0</x:v>
      </x:c>
      <x:c r="P294" s="48" t="str">
        <x:v>0</x:v>
      </x:c>
      <x:c r="Q294" s="48" t="str">
        <x:v>1.000</x:v>
      </x:c>
      <x:c r="R294" s="48" t="str">
        <x:v>DRIVER DOES NOT SEPARATE</x:v>
      </x:c>
      <x:c r="S294" s="48" t="str">
        <x:v>0.000</x:v>
      </x:c>
      <x:c r="T294" s="48" t="str">
        <x:v>CONTROL_BUYOUT:N=22,p=1.000; GROWTH_CONTROL_HYBRID:N=6,p=1.000</x:v>
      </x:c>
      <x:c r="U294" s="48" t="str">
        <x:v>Maximum-minus-minimum prevalence among adequately observed groups is no more than 0.15.</x:v>
      </x:c>
      <x:c r="V294" s="48" t="str">
        <x:v>At least 5 observable manager families in at least 2 driver groups</x:v>
      </x:c>
      <x:c r="W294" s="48" t="str">
        <x:v>&gt;=0.35 separates; &lt;=0.15 does not separate; intermediate is inconclusive/confounded; direct driver-definition tests are CIRCULAR</x:v>
      </x:c>
      <x:c r="X294" s="48" t="str">
        <x:v>MANAGER_SELF_DESCRIPTION; NOT BEHAVIOURAL FREQUENCY</x:v>
      </x:c>
    </x:row>
    <x:row r="295">
      <x:c r="A295" s="48" t="str">
        <x:v>B_GOVERNANCE_SEGMENTATION</x:v>
      </x:c>
      <x:c r="B295" s="48" t="str">
        <x:v>Tier B v1.1 - N=29 rerun</x:v>
      </x:c>
      <x:c r="C295" s="48" t="str">
        <x:v>2026-07-16</x:v>
      </x:c>
      <x:c r="D295" s="48" t="str">
        <x:v>D01</x:v>
      </x:c>
      <x:c r="E295" s="48" t="str">
        <x:v>DILIGENCE_ORGANIZATION</x:v>
      </x:c>
      <x:c r="F295" s="48" t="str">
        <x:v>External third-party advisers used</x:v>
      </x:c>
      <x:c r="G295" s="48" t="str">
        <x:v>strategy</x:v>
      </x:c>
      <x:c r="H295" s="48" t="str">
        <x:v>GROWTH_CONTROL_HYBRID</x:v>
      </x:c>
      <x:c r="I295" s="48" t="str">
        <x:v>6</x:v>
      </x:c>
      <x:c r="J295" s="48" t="str">
        <x:v>6</x:v>
      </x:c>
      <x:c r="K295" s="48" t="str">
        <x:v>0</x:v>
      </x:c>
      <x:c r="L295" s="48" t="str">
        <x:v>0</x:v>
      </x:c>
      <x:c r="M295" s="48" t="str">
        <x:v>6</x:v>
      </x:c>
      <x:c r="N295" s="48" t="str">
        <x:v>0</x:v>
      </x:c>
      <x:c r="O295" s="48" t="str">
        <x:v>0</x:v>
      </x:c>
      <x:c r="P295" s="48" t="str">
        <x:v>0</x:v>
      </x:c>
      <x:c r="Q295" s="48" t="str">
        <x:v>1.000</x:v>
      </x:c>
      <x:c r="R295" s="48" t="str">
        <x:v>DRIVER DOES NOT SEPARATE</x:v>
      </x:c>
      <x:c r="S295" s="48" t="str">
        <x:v>0.000</x:v>
      </x:c>
      <x:c r="T295" s="48" t="str">
        <x:v>CONTROL_BUYOUT:N=22,p=1.000; GROWTH_CONTROL_HYBRID:N=6,p=1.000</x:v>
      </x:c>
      <x:c r="U295" s="48" t="str">
        <x:v>Maximum-minus-minimum prevalence among adequately observed groups is no more than 0.15.</x:v>
      </x:c>
      <x:c r="V295" s="48" t="str">
        <x:v>At least 5 observable manager families in at least 2 driver groups</x:v>
      </x:c>
      <x:c r="W295" s="48" t="str">
        <x:v>&gt;=0.35 separates; &lt;=0.15 does not separate; intermediate is inconclusive/confounded; direct driver-definition tests are CIRCULAR</x:v>
      </x:c>
      <x:c r="X295" s="48" t="str">
        <x:v>MANAGER_SELF_DESCRIPTION; NOT BEHAVIOURAL FREQUENCY</x:v>
      </x:c>
    </x:row>
    <x:row r="296">
      <x:c r="A296" s="48" t="str">
        <x:v>B_GOVERNANCE_SEGMENTATION</x:v>
      </x:c>
      <x:c r="B296" s="48" t="str">
        <x:v>Tier B v1.1 - N=29 rerun</x:v>
      </x:c>
      <x:c r="C296" s="48" t="str">
        <x:v>2026-07-16</x:v>
      </x:c>
      <x:c r="D296" s="48" t="str">
        <x:v>D01</x:v>
      </x:c>
      <x:c r="E296" s="48" t="str">
        <x:v>DILIGENCE_ORGANIZATION</x:v>
      </x:c>
      <x:c r="F296" s="48" t="str">
        <x:v>External third-party advisers used</x:v>
      </x:c>
      <x:c r="G296" s="48" t="str">
        <x:v>strategy</x:v>
      </x:c>
      <x:c r="H296" s="48" t="str">
        <x:v>OPPORTUNISTIC_CONTROL</x:v>
      </x:c>
      <x:c r="I296" s="48" t="str">
        <x:v>1</x:v>
      </x:c>
      <x:c r="J296" s="48" t="str">
        <x:v>1</x:v>
      </x:c>
      <x:c r="K296" s="48" t="str">
        <x:v>0</x:v>
      </x:c>
      <x:c r="L296" s="48" t="str">
        <x:v>0</x:v>
      </x:c>
      <x:c r="M296" s="48" t="str">
        <x:v>1</x:v>
      </x:c>
      <x:c r="N296" s="48" t="str">
        <x:v>0</x:v>
      </x:c>
      <x:c r="O296" s="48" t="str">
        <x:v>0</x:v>
      </x:c>
      <x:c r="P296" s="48" t="str">
        <x:v>0</x:v>
      </x:c>
      <x:c r="Q296" s="48" t="str">
        <x:v>1.000</x:v>
      </x:c>
      <x:c r="R296" s="48" t="str">
        <x:v>DRIVER DOES NOT SEPARATE</x:v>
      </x:c>
      <x:c r="S296" s="48" t="str">
        <x:v>0.000</x:v>
      </x:c>
      <x:c r="T296" s="48" t="str">
        <x:v>CONTROL_BUYOUT:N=22,p=1.000; GROWTH_CONTROL_HYBRID:N=6,p=1.000</x:v>
      </x:c>
      <x:c r="U296" s="48" t="str">
        <x:v>Maximum-minus-minimum prevalence among adequately observed groups is no more than 0.15.</x:v>
      </x:c>
      <x:c r="V296" s="48" t="str">
        <x:v>At least 5 observable manager families in at least 2 driver groups</x:v>
      </x:c>
      <x:c r="W296" s="48" t="str">
        <x:v>&gt;=0.35 separates; &lt;=0.15 does not separate; intermediate is inconclusive/confounded; direct driver-definition tests are CIRCULAR</x:v>
      </x:c>
      <x:c r="X296" s="48" t="str">
        <x:v>MANAGER_SELF_DESCRIPTION; NOT BEHAVIOURAL FREQUENCY</x:v>
      </x:c>
    </x:row>
    <x:row r="297">
      <x:c r="A297" s="48" t="str">
        <x:v>B_GOVERNANCE_SEGMENTATION</x:v>
      </x:c>
      <x:c r="B297" s="48" t="str">
        <x:v>Tier B v1.1 - N=29 rerun</x:v>
      </x:c>
      <x:c r="C297" s="48" t="str">
        <x:v>2026-07-16</x:v>
      </x:c>
      <x:c r="D297" s="48" t="str">
        <x:v>D01</x:v>
      </x:c>
      <x:c r="E297" s="48" t="str">
        <x:v>DILIGENCE_ORGANIZATION</x:v>
      </x:c>
      <x:c r="F297" s="48" t="str">
        <x:v>External third-party advisers used</x:v>
      </x:c>
      <x:c r="G297" s="48" t="str">
        <x:v>geography</x:v>
      </x:c>
      <x:c r="H297" s="48" t="str">
        <x:v>ASIA_PACIFIC</x:v>
      </x:c>
      <x:c r="I297" s="48" t="str">
        <x:v>4</x:v>
      </x:c>
      <x:c r="J297" s="48" t="str">
        <x:v>4</x:v>
      </x:c>
      <x:c r="K297" s="48" t="str">
        <x:v>0</x:v>
      </x:c>
      <x:c r="L297" s="48" t="str">
        <x:v>0</x:v>
      </x:c>
      <x:c r="M297" s="48" t="str">
        <x:v>4</x:v>
      </x:c>
      <x:c r="N297" s="48" t="str">
        <x:v>0</x:v>
      </x:c>
      <x:c r="O297" s="48" t="str">
        <x:v>0</x:v>
      </x:c>
      <x:c r="P297" s="48" t="str">
        <x:v>0</x:v>
      </x:c>
      <x:c r="Q297" s="48" t="str">
        <x:v>1.000</x:v>
      </x:c>
      <x:c r="R297" s="48" t="str">
        <x:v>DRIVER DOES NOT SEPARATE</x:v>
      </x:c>
      <x:c r="S297" s="48" t="str">
        <x:v>0.000</x:v>
      </x:c>
      <x:c r="T297" s="48" t="str">
        <x:v>GLOBAL_TRANSATLANTIC:N=10,p=1.000; NORTH_AMERICA:N=13,p=1.000</x:v>
      </x:c>
      <x:c r="U297" s="48" t="str">
        <x:v>Maximum-minus-minimum prevalence among adequately observed groups is no more than 0.15.</x:v>
      </x:c>
      <x:c r="V297" s="48" t="str">
        <x:v>At least 5 observable manager families in at least 2 driver groups</x:v>
      </x:c>
      <x:c r="W297" s="48" t="str">
        <x:v>&gt;=0.35 separates; &lt;=0.15 does not separate; intermediate is inconclusive/confounded; direct driver-definition tests are CIRCULAR</x:v>
      </x:c>
      <x:c r="X297" s="48" t="str">
        <x:v>MANAGER_SELF_DESCRIPTION; NOT BEHAVIOURAL FREQUENCY</x:v>
      </x:c>
    </x:row>
    <x:row r="298">
      <x:c r="A298" s="48" t="str">
        <x:v>B_GOVERNANCE_SEGMENTATION</x:v>
      </x:c>
      <x:c r="B298" s="48" t="str">
        <x:v>Tier B v1.1 - N=29 rerun</x:v>
      </x:c>
      <x:c r="C298" s="48" t="str">
        <x:v>2026-07-16</x:v>
      </x:c>
      <x:c r="D298" s="48" t="str">
        <x:v>D01</x:v>
      </x:c>
      <x:c r="E298" s="48" t="str">
        <x:v>DILIGENCE_ORGANIZATION</x:v>
      </x:c>
      <x:c r="F298" s="48" t="str">
        <x:v>External third-party advisers used</x:v>
      </x:c>
      <x:c r="G298" s="48" t="str">
        <x:v>geography</x:v>
      </x:c>
      <x:c r="H298" s="48" t="str">
        <x:v>EUROPE</x:v>
      </x:c>
      <x:c r="I298" s="48" t="str">
        <x:v>2</x:v>
      </x:c>
      <x:c r="J298" s="48" t="str">
        <x:v>2</x:v>
      </x:c>
      <x:c r="K298" s="48" t="str">
        <x:v>0</x:v>
      </x:c>
      <x:c r="L298" s="48" t="str">
        <x:v>0</x:v>
      </x:c>
      <x:c r="M298" s="48" t="str">
        <x:v>2</x:v>
      </x:c>
      <x:c r="N298" s="48" t="str">
        <x:v>0</x:v>
      </x:c>
      <x:c r="O298" s="48" t="str">
        <x:v>0</x:v>
      </x:c>
      <x:c r="P298" s="48" t="str">
        <x:v>0</x:v>
      </x:c>
      <x:c r="Q298" s="48" t="str">
        <x:v>1.000</x:v>
      </x:c>
      <x:c r="R298" s="48" t="str">
        <x:v>DRIVER DOES NOT SEPARATE</x:v>
      </x:c>
      <x:c r="S298" s="48" t="str">
        <x:v>0.000</x:v>
      </x:c>
      <x:c r="T298" s="48" t="str">
        <x:v>GLOBAL_TRANSATLANTIC:N=10,p=1.000; NORTH_AMERICA:N=13,p=1.000</x:v>
      </x:c>
      <x:c r="U298" s="48" t="str">
        <x:v>Maximum-minus-minimum prevalence among adequately observed groups is no more than 0.15.</x:v>
      </x:c>
      <x:c r="V298" s="48" t="str">
        <x:v>At least 5 observable manager families in at least 2 driver groups</x:v>
      </x:c>
      <x:c r="W298" s="48" t="str">
        <x:v>&gt;=0.35 separates; &lt;=0.15 does not separate; intermediate is inconclusive/confounded; direct driver-definition tests are CIRCULAR</x:v>
      </x:c>
      <x:c r="X298" s="48" t="str">
        <x:v>MANAGER_SELF_DESCRIPTION; NOT BEHAVIOURAL FREQUENCY</x:v>
      </x:c>
    </x:row>
    <x:row r="299">
      <x:c r="A299" s="48" t="str">
        <x:v>B_GOVERNANCE_SEGMENTATION</x:v>
      </x:c>
      <x:c r="B299" s="48" t="str">
        <x:v>Tier B v1.1 - N=29 rerun</x:v>
      </x:c>
      <x:c r="C299" s="48" t="str">
        <x:v>2026-07-16</x:v>
      </x:c>
      <x:c r="D299" s="48" t="str">
        <x:v>D01</x:v>
      </x:c>
      <x:c r="E299" s="48" t="str">
        <x:v>DILIGENCE_ORGANIZATION</x:v>
      </x:c>
      <x:c r="F299" s="48" t="str">
        <x:v>External third-party advisers used</x:v>
      </x:c>
      <x:c r="G299" s="48" t="str">
        <x:v>geography</x:v>
      </x:c>
      <x:c r="H299" s="48" t="str">
        <x:v>GLOBAL_TRANSATLANTIC</x:v>
      </x:c>
      <x:c r="I299" s="48" t="str">
        <x:v>10</x:v>
      </x:c>
      <x:c r="J299" s="48" t="str">
        <x:v>10</x:v>
      </x:c>
      <x:c r="K299" s="48" t="str">
        <x:v>0</x:v>
      </x:c>
      <x:c r="L299" s="48" t="str">
        <x:v>0</x:v>
      </x:c>
      <x:c r="M299" s="48" t="str">
        <x:v>10</x:v>
      </x:c>
      <x:c r="N299" s="48" t="str">
        <x:v>0</x:v>
      </x:c>
      <x:c r="O299" s="48" t="str">
        <x:v>0</x:v>
      </x:c>
      <x:c r="P299" s="48" t="str">
        <x:v>0</x:v>
      </x:c>
      <x:c r="Q299" s="48" t="str">
        <x:v>1.000</x:v>
      </x:c>
      <x:c r="R299" s="48" t="str">
        <x:v>DRIVER DOES NOT SEPARATE</x:v>
      </x:c>
      <x:c r="S299" s="48" t="str">
        <x:v>0.000</x:v>
      </x:c>
      <x:c r="T299" s="48" t="str">
        <x:v>GLOBAL_TRANSATLANTIC:N=10,p=1.000; NORTH_AMERICA:N=13,p=1.000</x:v>
      </x:c>
      <x:c r="U299" s="48" t="str">
        <x:v>Maximum-minus-minimum prevalence among adequately observed groups is no more than 0.15.</x:v>
      </x:c>
      <x:c r="V299" s="48" t="str">
        <x:v>At least 5 observable manager families in at least 2 driver groups</x:v>
      </x:c>
      <x:c r="W299" s="48" t="str">
        <x:v>&gt;=0.35 separates; &lt;=0.15 does not separate; intermediate is inconclusive/confounded; direct driver-definition tests are CIRCULAR</x:v>
      </x:c>
      <x:c r="X299" s="48" t="str">
        <x:v>MANAGER_SELF_DESCRIPTION; NOT BEHAVIOURAL FREQUENCY</x:v>
      </x:c>
    </x:row>
    <x:row r="300">
      <x:c r="A300" s="48" t="str">
        <x:v>B_GOVERNANCE_SEGMENTATION</x:v>
      </x:c>
      <x:c r="B300" s="48" t="str">
        <x:v>Tier B v1.1 - N=29 rerun</x:v>
      </x:c>
      <x:c r="C300" s="48" t="str">
        <x:v>2026-07-16</x:v>
      </x:c>
      <x:c r="D300" s="48" t="str">
        <x:v>D01</x:v>
      </x:c>
      <x:c r="E300" s="48" t="str">
        <x:v>DILIGENCE_ORGANIZATION</x:v>
      </x:c>
      <x:c r="F300" s="48" t="str">
        <x:v>External third-party advisers used</x:v>
      </x:c>
      <x:c r="G300" s="48" t="str">
        <x:v>geography</x:v>
      </x:c>
      <x:c r="H300" s="48" t="str">
        <x:v>NORTH_AMERICA</x:v>
      </x:c>
      <x:c r="I300" s="48" t="str">
        <x:v>13</x:v>
      </x:c>
      <x:c r="J300" s="48" t="str">
        <x:v>13</x:v>
      </x:c>
      <x:c r="K300" s="48" t="str">
        <x:v>0</x:v>
      </x:c>
      <x:c r="L300" s="48" t="str">
        <x:v>0</x:v>
      </x:c>
      <x:c r="M300" s="48" t="str">
        <x:v>13</x:v>
      </x:c>
      <x:c r="N300" s="48" t="str">
        <x:v>0</x:v>
      </x:c>
      <x:c r="O300" s="48" t="str">
        <x:v>0</x:v>
      </x:c>
      <x:c r="P300" s="48" t="str">
        <x:v>0</x:v>
      </x:c>
      <x:c r="Q300" s="48" t="str">
        <x:v>1.000</x:v>
      </x:c>
      <x:c r="R300" s="48" t="str">
        <x:v>DRIVER DOES NOT SEPARATE</x:v>
      </x:c>
      <x:c r="S300" s="48" t="str">
        <x:v>0.000</x:v>
      </x:c>
      <x:c r="T300" s="48" t="str">
        <x:v>GLOBAL_TRANSATLANTIC:N=10,p=1.000; NORTH_AMERICA:N=13,p=1.000</x:v>
      </x:c>
      <x:c r="U300" s="48" t="str">
        <x:v>Maximum-minus-minimum prevalence among adequately observed groups is no more than 0.15.</x:v>
      </x:c>
      <x:c r="V300" s="48" t="str">
        <x:v>At least 5 observable manager families in at least 2 driver groups</x:v>
      </x:c>
      <x:c r="W300" s="48" t="str">
        <x:v>&gt;=0.35 separates; &lt;=0.15 does not separate; intermediate is inconclusive/confounded; direct driver-definition tests are CIRCULAR</x:v>
      </x:c>
      <x:c r="X300" s="48" t="str">
        <x:v>MANAGER_SELF_DESCRIPTION; NOT BEHAVIOURAL FREQUENCY</x:v>
      </x:c>
    </x:row>
    <x:row r="301">
      <x:c r="A301" s="48" t="str">
        <x:v>B_GOVERNANCE_SEGMENTATION</x:v>
      </x:c>
      <x:c r="B301" s="48" t="str">
        <x:v>Tier B v1.1 - N=29 rerun</x:v>
      </x:c>
      <x:c r="C301" s="48" t="str">
        <x:v>2026-07-16</x:v>
      </x:c>
      <x:c r="D301" s="48" t="str">
        <x:v>D01</x:v>
      </x:c>
      <x:c r="E301" s="48" t="str">
        <x:v>DILIGENCE_ORGANIZATION</x:v>
      </x:c>
      <x:c r="F301" s="48" t="str">
        <x:v>External third-party advisers used</x:v>
      </x:c>
      <x:c r="G301" s="48" t="str">
        <x:v>source_vintage_bin</x:v>
      </x:c>
      <x:c r="H301" s="48" t="str">
        <x:v>2018_2020</x:v>
      </x:c>
      <x:c r="I301" s="48" t="str">
        <x:v>6</x:v>
      </x:c>
      <x:c r="J301" s="48" t="str">
        <x:v>6</x:v>
      </x:c>
      <x:c r="K301" s="48" t="str">
        <x:v>0</x:v>
      </x:c>
      <x:c r="L301" s="48" t="str">
        <x:v>0</x:v>
      </x:c>
      <x:c r="M301" s="48" t="str">
        <x:v>6</x:v>
      </x:c>
      <x:c r="N301" s="48" t="str">
        <x:v>0</x:v>
      </x:c>
      <x:c r="O301" s="48" t="str">
        <x:v>0</x:v>
      </x:c>
      <x:c r="P301" s="48" t="str">
        <x:v>0</x:v>
      </x:c>
      <x:c r="Q301" s="48" t="str">
        <x:v>1.000</x:v>
      </x:c>
      <x:c r="R301" s="48" t="str">
        <x:v>DRIVER DOES NOT SEPARATE</x:v>
      </x:c>
      <x:c r="S301" s="48" t="str">
        <x:v>0.000</x:v>
      </x:c>
      <x:c r="T301" s="48" t="str">
        <x:v>2018_2020:N=6,p=1.000; 2021_2023:N=11,p=1.000; 2024_2026:N=12,p=1.000</x:v>
      </x:c>
      <x:c r="U301" s="48" t="str">
        <x:v>Maximum-minus-minimum prevalence among adequately observed groups is no more than 0.15.</x:v>
      </x:c>
      <x:c r="V301" s="48" t="str">
        <x:v>At least 5 observable manager families in at least 2 driver groups</x:v>
      </x:c>
      <x:c r="W301" s="48" t="str">
        <x:v>&gt;=0.35 separates; &lt;=0.15 does not separate; intermediate is inconclusive/confounded; direct driver-definition tests are CIRCULAR</x:v>
      </x:c>
      <x:c r="X301" s="48" t="str">
        <x:v>MANAGER_SELF_DESCRIPTION; NOT BEHAVIOURAL FREQUENCY</x:v>
      </x:c>
    </x:row>
    <x:row r="302">
      <x:c r="A302" s="48" t="str">
        <x:v>B_GOVERNANCE_SEGMENTATION</x:v>
      </x:c>
      <x:c r="B302" s="48" t="str">
        <x:v>Tier B v1.1 - N=29 rerun</x:v>
      </x:c>
      <x:c r="C302" s="48" t="str">
        <x:v>2026-07-16</x:v>
      </x:c>
      <x:c r="D302" s="48" t="str">
        <x:v>D01</x:v>
      </x:c>
      <x:c r="E302" s="48" t="str">
        <x:v>DILIGENCE_ORGANIZATION</x:v>
      </x:c>
      <x:c r="F302" s="48" t="str">
        <x:v>External third-party advisers used</x:v>
      </x:c>
      <x:c r="G302" s="48" t="str">
        <x:v>source_vintage_bin</x:v>
      </x:c>
      <x:c r="H302" s="48" t="str">
        <x:v>2021_2023</x:v>
      </x:c>
      <x:c r="I302" s="48" t="str">
        <x:v>11</x:v>
      </x:c>
      <x:c r="J302" s="48" t="str">
        <x:v>11</x:v>
      </x:c>
      <x:c r="K302" s="48" t="str">
        <x:v>0</x:v>
      </x:c>
      <x:c r="L302" s="48" t="str">
        <x:v>0</x:v>
      </x:c>
      <x:c r="M302" s="48" t="str">
        <x:v>11</x:v>
      </x:c>
      <x:c r="N302" s="48" t="str">
        <x:v>0</x:v>
      </x:c>
      <x:c r="O302" s="48" t="str">
        <x:v>0</x:v>
      </x:c>
      <x:c r="P302" s="48" t="str">
        <x:v>0</x:v>
      </x:c>
      <x:c r="Q302" s="48" t="str">
        <x:v>1.000</x:v>
      </x:c>
      <x:c r="R302" s="48" t="str">
        <x:v>DRIVER DOES NOT SEPARATE</x:v>
      </x:c>
      <x:c r="S302" s="48" t="str">
        <x:v>0.000</x:v>
      </x:c>
      <x:c r="T302" s="48" t="str">
        <x:v>2018_2020:N=6,p=1.000; 2021_2023:N=11,p=1.000; 2024_2026:N=12,p=1.000</x:v>
      </x:c>
      <x:c r="U302" s="48" t="str">
        <x:v>Maximum-minus-minimum prevalence among adequately observed groups is no more than 0.15.</x:v>
      </x:c>
      <x:c r="V302" s="48" t="str">
        <x:v>At least 5 observable manager families in at least 2 driver groups</x:v>
      </x:c>
      <x:c r="W302" s="48" t="str">
        <x:v>&gt;=0.35 separates; &lt;=0.15 does not separate; intermediate is inconclusive/confounded; direct driver-definition tests are CIRCULAR</x:v>
      </x:c>
      <x:c r="X302" s="48" t="str">
        <x:v>MANAGER_SELF_DESCRIPTION; NOT BEHAVIOURAL FREQUENCY</x:v>
      </x:c>
    </x:row>
    <x:row r="303">
      <x:c r="A303" s="48" t="str">
        <x:v>B_GOVERNANCE_SEGMENTATION</x:v>
      </x:c>
      <x:c r="B303" s="48" t="str">
        <x:v>Tier B v1.1 - N=29 rerun</x:v>
      </x:c>
      <x:c r="C303" s="48" t="str">
        <x:v>2026-07-16</x:v>
      </x:c>
      <x:c r="D303" s="48" t="str">
        <x:v>D01</x:v>
      </x:c>
      <x:c r="E303" s="48" t="str">
        <x:v>DILIGENCE_ORGANIZATION</x:v>
      </x:c>
      <x:c r="F303" s="48" t="str">
        <x:v>External third-party advisers used</x:v>
      </x:c>
      <x:c r="G303" s="48" t="str">
        <x:v>source_vintage_bin</x:v>
      </x:c>
      <x:c r="H303" s="48" t="str">
        <x:v>2024_2026</x:v>
      </x:c>
      <x:c r="I303" s="48" t="str">
        <x:v>12</x:v>
      </x:c>
      <x:c r="J303" s="48" t="str">
        <x:v>12</x:v>
      </x:c>
      <x:c r="K303" s="48" t="str">
        <x:v>0</x:v>
      </x:c>
      <x:c r="L303" s="48" t="str">
        <x:v>0</x:v>
      </x:c>
      <x:c r="M303" s="48" t="str">
        <x:v>12</x:v>
      </x:c>
      <x:c r="N303" s="48" t="str">
        <x:v>0</x:v>
      </x:c>
      <x:c r="O303" s="48" t="str">
        <x:v>0</x:v>
      </x:c>
      <x:c r="P303" s="48" t="str">
        <x:v>0</x:v>
      </x:c>
      <x:c r="Q303" s="48" t="str">
        <x:v>1.000</x:v>
      </x:c>
      <x:c r="R303" s="48" t="str">
        <x:v>DRIVER DOES NOT SEPARATE</x:v>
      </x:c>
      <x:c r="S303" s="48" t="str">
        <x:v>0.000</x:v>
      </x:c>
      <x:c r="T303" s="48" t="str">
        <x:v>2018_2020:N=6,p=1.000; 2021_2023:N=11,p=1.000; 2024_2026:N=12,p=1.000</x:v>
      </x:c>
      <x:c r="U303" s="48" t="str">
        <x:v>Maximum-minus-minimum prevalence among adequately observed groups is no more than 0.15.</x:v>
      </x:c>
      <x:c r="V303" s="48" t="str">
        <x:v>At least 5 observable manager families in at least 2 driver groups</x:v>
      </x:c>
      <x:c r="W303" s="48" t="str">
        <x:v>&gt;=0.35 separates; &lt;=0.15 does not separate; intermediate is inconclusive/confounded; direct driver-definition tests are CIRCULAR</x:v>
      </x:c>
      <x:c r="X303" s="48" t="str">
        <x:v>MANAGER_SELF_DESCRIPTION; NOT BEHAVIOURAL FREQUENCY</x:v>
      </x:c>
    </x:row>
    <x:row r="304">
      <x:c r="A304" s="48" t="str">
        <x:v>B_GOVERNANCE_SEGMENTATION</x:v>
      </x:c>
      <x:c r="B304" s="48" t="str">
        <x:v>Tier B v1.1 - N=29 rerun</x:v>
      </x:c>
      <x:c r="C304" s="48" t="str">
        <x:v>2026-07-16</x:v>
      </x:c>
      <x:c r="D304" s="48" t="str">
        <x:v>D01</x:v>
      </x:c>
      <x:c r="E304" s="48" t="str">
        <x:v>DILIGENCE_ORGANIZATION</x:v>
      </x:c>
      <x:c r="F304" s="48" t="str">
        <x:v>External third-party advisers used</x:v>
      </x:c>
      <x:c r="G304" s="48" t="str">
        <x:v>governance_architecture</x:v>
      </x:c>
      <x:c r="H304" s="48" t="str">
        <x:v>IC_FINAL_OR_DE_FACTO</x:v>
      </x:c>
      <x:c r="I304" s="48" t="str">
        <x:v>26</x:v>
      </x:c>
      <x:c r="J304" s="48" t="str">
        <x:v>26</x:v>
      </x:c>
      <x:c r="K304" s="48" t="str">
        <x:v>0</x:v>
      </x:c>
      <x:c r="L304" s="48" t="str">
        <x:v>0</x:v>
      </x:c>
      <x:c r="M304" s="48" t="str">
        <x:v>26</x:v>
      </x:c>
      <x:c r="N304" s="48" t="str">
        <x:v>0</x:v>
      </x:c>
      <x:c r="O304" s="48" t="str">
        <x:v>0</x:v>
      </x:c>
      <x:c r="P304" s="48" t="str">
        <x:v>0</x:v>
      </x:c>
      <x:c r="Q304" s="48" t="str">
        <x:v>1.000</x:v>
      </x:c>
      <x:c r="R304" s="48" t="str">
        <x:v>N TOO SMALL</x:v>
      </x:c>
      <x:c r="S304" s="48" t="str"/>
      <x:c r="T304" s="48" t="str">
        <x:v>IC_FINAL_OR_DE_FACTO:N=26,p=1.000</x:v>
      </x:c>
      <x:c r="U304" s="48" t="str">
        <x:v>Fewer than two driver groups have at least 5 observable manager families.</x:v>
      </x:c>
      <x:c r="V304" s="48" t="str">
        <x:v>At least 5 observable manager families in at least 2 driver groups</x:v>
      </x:c>
      <x:c r="W304" s="48" t="str">
        <x:v>&gt;=0.35 separates; &lt;=0.15 does not separate; intermediate is inconclusive/confounded; direct driver-definition tests are CIRCULAR</x:v>
      </x:c>
      <x:c r="X304" s="48" t="str">
        <x:v>MANAGER_SELF_DESCRIPTION; NOT BEHAVIOURAL FREQUENCY</x:v>
      </x:c>
    </x:row>
    <x:row r="305">
      <x:c r="A305" s="48" t="str">
        <x:v>B_GOVERNANCE_SEGMENTATION</x:v>
      </x:c>
      <x:c r="B305" s="48" t="str">
        <x:v>Tier B v1.1 - N=29 rerun</x:v>
      </x:c>
      <x:c r="C305" s="48" t="str">
        <x:v>2026-07-16</x:v>
      </x:c>
      <x:c r="D305" s="48" t="str">
        <x:v>D01</x:v>
      </x:c>
      <x:c r="E305" s="48" t="str">
        <x:v>DILIGENCE_ORGANIZATION</x:v>
      </x:c>
      <x:c r="F305" s="48" t="str">
        <x:v>External third-party advisers used</x:v>
      </x:c>
      <x:c r="G305" s="48" t="str">
        <x:v>governance_architecture</x:v>
      </x:c>
      <x:c r="H305" s="48" t="str">
        <x:v>IC_RECOMMENDS_SEPARATE_FINAL_AUTHORITY</x:v>
      </x:c>
      <x:c r="I305" s="48" t="str">
        <x:v>3</x:v>
      </x:c>
      <x:c r="J305" s="48" t="str">
        <x:v>3</x:v>
      </x:c>
      <x:c r="K305" s="48" t="str">
        <x:v>0</x:v>
      </x:c>
      <x:c r="L305" s="48" t="str">
        <x:v>0</x:v>
      </x:c>
      <x:c r="M305" s="48" t="str">
        <x:v>3</x:v>
      </x:c>
      <x:c r="N305" s="48" t="str">
        <x:v>0</x:v>
      </x:c>
      <x:c r="O305" s="48" t="str">
        <x:v>0</x:v>
      </x:c>
      <x:c r="P305" s="48" t="str">
        <x:v>0</x:v>
      </x:c>
      <x:c r="Q305" s="48" t="str">
        <x:v>1.000</x:v>
      </x:c>
      <x:c r="R305" s="48" t="str">
        <x:v>N TOO SMALL</x:v>
      </x:c>
      <x:c r="S305" s="48" t="str"/>
      <x:c r="T305" s="48" t="str">
        <x:v>IC_FINAL_OR_DE_FACTO:N=26,p=1.000</x:v>
      </x:c>
      <x:c r="U305" s="48" t="str">
        <x:v>Fewer than two driver groups have at least 5 observable manager families.</x:v>
      </x:c>
      <x:c r="V305" s="48" t="str">
        <x:v>At least 5 observable manager families in at least 2 driver groups</x:v>
      </x:c>
      <x:c r="W305" s="48" t="str">
        <x:v>&gt;=0.35 separates; &lt;=0.15 does not separate; intermediate is inconclusive/confounded; direct driver-definition tests are CIRCULAR</x:v>
      </x:c>
      <x:c r="X305" s="48" t="str">
        <x:v>MANAGER_SELF_DESCRIPTION; NOT BEHAVIOURAL FREQUENCY</x:v>
      </x:c>
    </x:row>
    <x:row r="306">
      <x:c r="A306" s="48" t="str">
        <x:v>B_GOVERNANCE_SEGMENTATION</x:v>
      </x:c>
      <x:c r="B306" s="48" t="str">
        <x:v>Tier B v1.1 - N=29 rerun</x:v>
      </x:c>
      <x:c r="C306" s="48" t="str">
        <x:v>2026-07-16</x:v>
      </x:c>
      <x:c r="D306" s="48" t="str">
        <x:v>D01</x:v>
      </x:c>
      <x:c r="E306" s="48" t="str">
        <x:v>DILIGENCE_ORGANIZATION</x:v>
      </x:c>
      <x:c r="F306" s="48" t="str">
        <x:v>External third-party advisers used</x:v>
      </x:c>
      <x:c r="G306" s="48" t="str">
        <x:v>dedicated_operating_team</x:v>
      </x:c>
      <x:c r="H306" s="48" t="str">
        <x:v>NO_OR_LIMITED</x:v>
      </x:c>
      <x:c r="I306" s="48" t="str">
        <x:v>6</x:v>
      </x:c>
      <x:c r="J306" s="48" t="str">
        <x:v>6</x:v>
      </x:c>
      <x:c r="K306" s="48" t="str">
        <x:v>0</x:v>
      </x:c>
      <x:c r="L306" s="48" t="str">
        <x:v>0</x:v>
      </x:c>
      <x:c r="M306" s="48" t="str">
        <x:v>6</x:v>
      </x:c>
      <x:c r="N306" s="48" t="str">
        <x:v>0</x:v>
      </x:c>
      <x:c r="O306" s="48" t="str">
        <x:v>0</x:v>
      </x:c>
      <x:c r="P306" s="48" t="str">
        <x:v>0</x:v>
      </x:c>
      <x:c r="Q306" s="48" t="str">
        <x:v>1.000</x:v>
      </x:c>
      <x:c r="R306" s="48" t="str">
        <x:v>DRIVER DOES NOT SEPARATE</x:v>
      </x:c>
      <x:c r="S306" s="48" t="str">
        <x:v>0.000</x:v>
      </x:c>
      <x:c r="T306" s="48" t="str">
        <x:v>NO_OR_LIMITED:N=6,p=1.000; YES_DEDICATED:N=23,p=1.000</x:v>
      </x:c>
      <x:c r="U306" s="48" t="str">
        <x:v>Maximum-minus-minimum prevalence among adequately observed groups is no more than 0.15.</x:v>
      </x:c>
      <x:c r="V306" s="48" t="str">
        <x:v>At least 5 observable manager families in at least 2 driver groups</x:v>
      </x:c>
      <x:c r="W306" s="48" t="str">
        <x:v>&gt;=0.35 separates; &lt;=0.15 does not separate; intermediate is inconclusive/confounded; direct driver-definition tests are CIRCULAR</x:v>
      </x:c>
      <x:c r="X306" s="48" t="str">
        <x:v>MANAGER_SELF_DESCRIPTION; NOT BEHAVIOURAL FREQUENCY</x:v>
      </x:c>
    </x:row>
    <x:row r="307">
      <x:c r="A307" s="48" t="str">
        <x:v>B_GOVERNANCE_SEGMENTATION</x:v>
      </x:c>
      <x:c r="B307" s="48" t="str">
        <x:v>Tier B v1.1 - N=29 rerun</x:v>
      </x:c>
      <x:c r="C307" s="48" t="str">
        <x:v>2026-07-16</x:v>
      </x:c>
      <x:c r="D307" s="48" t="str">
        <x:v>D01</x:v>
      </x:c>
      <x:c r="E307" s="48" t="str">
        <x:v>DILIGENCE_ORGANIZATION</x:v>
      </x:c>
      <x:c r="F307" s="48" t="str">
        <x:v>External third-party advisers used</x:v>
      </x:c>
      <x:c r="G307" s="48" t="str">
        <x:v>dedicated_operating_team</x:v>
      </x:c>
      <x:c r="H307" s="48" t="str">
        <x:v>YES_DEDICATED</x:v>
      </x:c>
      <x:c r="I307" s="48" t="str">
        <x:v>23</x:v>
      </x:c>
      <x:c r="J307" s="48" t="str">
        <x:v>23</x:v>
      </x:c>
      <x:c r="K307" s="48" t="str">
        <x:v>0</x:v>
      </x:c>
      <x:c r="L307" s="48" t="str">
        <x:v>0</x:v>
      </x:c>
      <x:c r="M307" s="48" t="str">
        <x:v>23</x:v>
      </x:c>
      <x:c r="N307" s="48" t="str">
        <x:v>0</x:v>
      </x:c>
      <x:c r="O307" s="48" t="str">
        <x:v>0</x:v>
      </x:c>
      <x:c r="P307" s="48" t="str">
        <x:v>0</x:v>
      </x:c>
      <x:c r="Q307" s="48" t="str">
        <x:v>1.000</x:v>
      </x:c>
      <x:c r="R307" s="48" t="str">
        <x:v>DRIVER DOES NOT SEPARATE</x:v>
      </x:c>
      <x:c r="S307" s="48" t="str">
        <x:v>0.000</x:v>
      </x:c>
      <x:c r="T307" s="48" t="str">
        <x:v>NO_OR_LIMITED:N=6,p=1.000; YES_DEDICATED:N=23,p=1.000</x:v>
      </x:c>
      <x:c r="U307" s="48" t="str">
        <x:v>Maximum-minus-minimum prevalence among adequately observed groups is no more than 0.15.</x:v>
      </x:c>
      <x:c r="V307" s="48" t="str">
        <x:v>At least 5 observable manager families in at least 2 driver groups</x:v>
      </x:c>
      <x:c r="W307" s="48" t="str">
        <x:v>&gt;=0.35 separates; &lt;=0.15 does not separate; intermediate is inconclusive/confounded; direct driver-definition tests are CIRCULAR</x:v>
      </x:c>
      <x:c r="X307" s="48" t="str">
        <x:v>MANAGER_SELF_DESCRIPTION; NOT BEHAVIOURAL FREQUENCY</x:v>
      </x:c>
    </x:row>
    <x:row r="308">
      <x:c r="A308" s="48" t="str">
        <x:v>B_GOVERNANCE_SEGMENTATION</x:v>
      </x:c>
      <x:c r="B308" s="48" t="str">
        <x:v>Tier B v1.1 - N=29 rerun</x:v>
      </x:c>
      <x:c r="C308" s="48" t="str">
        <x:v>2026-07-16</x:v>
      </x:c>
      <x:c r="D308" s="48" t="str">
        <x:v>D02</x:v>
      </x:c>
      <x:c r="E308" s="48" t="str">
        <x:v>DILIGENCE_ORGANIZATION</x:v>
      </x:c>
      <x:c r="F308" s="48" t="str">
        <x:v>Adviser or diligence spend formally gated</x:v>
      </x:c>
      <x:c r="G308" s="48" t="str">
        <x:v>fund_size_archetype</x:v>
      </x:c>
      <x:c r="H308" s="48" t="str">
        <x:v>LARGE_2_TO_LT_5B</x:v>
      </x:c>
      <x:c r="I308" s="48" t="str">
        <x:v>9</x:v>
      </x:c>
      <x:c r="J308" s="48" t="str">
        <x:v>9</x:v>
      </x:c>
      <x:c r="K308" s="48" t="str">
        <x:v>3</x:v>
      </x:c>
      <x:c r="L308" s="48" t="str">
        <x:v>0</x:v>
      </x:c>
      <x:c r="M308" s="48" t="str">
        <x:v>9</x:v>
      </x:c>
      <x:c r="N308" s="48" t="str">
        <x:v>0</x:v>
      </x:c>
      <x:c r="O308" s="48" t="str">
        <x:v>0</x:v>
      </x:c>
      <x:c r="P308" s="48" t="str">
        <x:v>0</x:v>
      </x:c>
      <x:c r="Q308" s="48" t="str">
        <x:v>1.000</x:v>
      </x:c>
      <x:c r="R308" s="48" t="str">
        <x:v>DRIVER DOES NOT SEPARATE</x:v>
      </x:c>
      <x:c r="S308" s="48" t="str">
        <x:v>0.000</x:v>
      </x:c>
      <x:c r="T308" s="48" t="str">
        <x:v>LARGE_2_TO_LT_5B:N=9,p=1.000; LOWER_MID_LT_2B:N=5,p=1.000; MEGA_GE_5B:N=8,p=1.000</x:v>
      </x:c>
      <x:c r="U308" s="48" t="str">
        <x:v>Maximum-minus-minimum prevalence among adequately observed groups is no more than 0.15.</x:v>
      </x:c>
      <x:c r="V308" s="48" t="str">
        <x:v>At least 5 observable manager families in at least 2 driver groups</x:v>
      </x:c>
      <x:c r="W308" s="48" t="str">
        <x:v>&gt;=0.35 separates; &lt;=0.15 does not separate; intermediate is inconclusive/confounded; direct driver-definition tests are CIRCULAR</x:v>
      </x:c>
      <x:c r="X308" s="48" t="str">
        <x:v>MANAGER_SELF_DESCRIPTION; NOT BEHAVIOURAL FREQUENCY</x:v>
      </x:c>
    </x:row>
    <x:row r="309">
      <x:c r="A309" s="48" t="str">
        <x:v>B_GOVERNANCE_SEGMENTATION</x:v>
      </x:c>
      <x:c r="B309" s="48" t="str">
        <x:v>Tier B v1.1 - N=29 rerun</x:v>
      </x:c>
      <x:c r="C309" s="48" t="str">
        <x:v>2026-07-16</x:v>
      </x:c>
      <x:c r="D309" s="48" t="str">
        <x:v>D02</x:v>
      </x:c>
      <x:c r="E309" s="48" t="str">
        <x:v>DILIGENCE_ORGANIZATION</x:v>
      </x:c>
      <x:c r="F309" s="48" t="str">
        <x:v>Adviser or diligence spend formally gated</x:v>
      </x:c>
      <x:c r="G309" s="48" t="str">
        <x:v>fund_size_archetype</x:v>
      </x:c>
      <x:c r="H309" s="48" t="str">
        <x:v>LOWER_MID_LT_2B</x:v>
      </x:c>
      <x:c r="I309" s="48" t="str">
        <x:v>8</x:v>
      </x:c>
      <x:c r="J309" s="48" t="str">
        <x:v>5</x:v>
      </x:c>
      <x:c r="K309" s="48" t="str">
        <x:v>1</x:v>
      </x:c>
      <x:c r="L309" s="48" t="str">
        <x:v>0</x:v>
      </x:c>
      <x:c r="M309" s="48" t="str">
        <x:v>5</x:v>
      </x:c>
      <x:c r="N309" s="48" t="str">
        <x:v>3</x:v>
      </x:c>
      <x:c r="O309" s="48" t="str">
        <x:v>0</x:v>
      </x:c>
      <x:c r="P309" s="48" t="str">
        <x:v>0</x:v>
      </x:c>
      <x:c r="Q309" s="48" t="str">
        <x:v>1.000</x:v>
      </x:c>
      <x:c r="R309" s="48" t="str">
        <x:v>DRIVER DOES NOT SEPARATE</x:v>
      </x:c>
      <x:c r="S309" s="48" t="str">
        <x:v>0.000</x:v>
      </x:c>
      <x:c r="T309" s="48" t="str">
        <x:v>LARGE_2_TO_LT_5B:N=9,p=1.000; LOWER_MID_LT_2B:N=5,p=1.000; MEGA_GE_5B:N=8,p=1.000</x:v>
      </x:c>
      <x:c r="U309" s="48" t="str">
        <x:v>Maximum-minus-minimum prevalence among adequately observed groups is no more than 0.15.</x:v>
      </x:c>
      <x:c r="V309" s="48" t="str">
        <x:v>At least 5 observable manager families in at least 2 driver groups</x:v>
      </x:c>
      <x:c r="W309" s="48" t="str">
        <x:v>&gt;=0.35 separates; &lt;=0.15 does not separate; intermediate is inconclusive/confounded; direct driver-definition tests are CIRCULAR</x:v>
      </x:c>
      <x:c r="X309" s="48" t="str">
        <x:v>MANAGER_SELF_DESCRIPTION; NOT BEHAVIOURAL FREQUENCY</x:v>
      </x:c>
    </x:row>
    <x:row r="310">
      <x:c r="A310" s="48" t="str">
        <x:v>B_GOVERNANCE_SEGMENTATION</x:v>
      </x:c>
      <x:c r="B310" s="48" t="str">
        <x:v>Tier B v1.1 - N=29 rerun</x:v>
      </x:c>
      <x:c r="C310" s="48" t="str">
        <x:v>2026-07-16</x:v>
      </x:c>
      <x:c r="D310" s="48" t="str">
        <x:v>D02</x:v>
      </x:c>
      <x:c r="E310" s="48" t="str">
        <x:v>DILIGENCE_ORGANIZATION</x:v>
      </x:c>
      <x:c r="F310" s="48" t="str">
        <x:v>Adviser or diligence spend formally gated</x:v>
      </x:c>
      <x:c r="G310" s="48" t="str">
        <x:v>fund_size_archetype</x:v>
      </x:c>
      <x:c r="H310" s="48" t="str">
        <x:v>MEGA_GE_5B</x:v>
      </x:c>
      <x:c r="I310" s="48" t="str">
        <x:v>11</x:v>
      </x:c>
      <x:c r="J310" s="48" t="str">
        <x:v>8</x:v>
      </x:c>
      <x:c r="K310" s="48" t="str">
        <x:v>1</x:v>
      </x:c>
      <x:c r="L310" s="48" t="str">
        <x:v>0</x:v>
      </x:c>
      <x:c r="M310" s="48" t="str">
        <x:v>8</x:v>
      </x:c>
      <x:c r="N310" s="48" t="str">
        <x:v>3</x:v>
      </x:c>
      <x:c r="O310" s="48" t="str">
        <x:v>0</x:v>
      </x:c>
      <x:c r="P310" s="48" t="str">
        <x:v>0</x:v>
      </x:c>
      <x:c r="Q310" s="48" t="str">
        <x:v>1.000</x:v>
      </x:c>
      <x:c r="R310" s="48" t="str">
        <x:v>DRIVER DOES NOT SEPARATE</x:v>
      </x:c>
      <x:c r="S310" s="48" t="str">
        <x:v>0.000</x:v>
      </x:c>
      <x:c r="T310" s="48" t="str">
        <x:v>LARGE_2_TO_LT_5B:N=9,p=1.000; LOWER_MID_LT_2B:N=5,p=1.000; MEGA_GE_5B:N=8,p=1.000</x:v>
      </x:c>
      <x:c r="U310" s="48" t="str">
        <x:v>Maximum-minus-minimum prevalence among adequately observed groups is no more than 0.15.</x:v>
      </x:c>
      <x:c r="V310" s="48" t="str">
        <x:v>At least 5 observable manager families in at least 2 driver groups</x:v>
      </x:c>
      <x:c r="W310" s="48" t="str">
        <x:v>&gt;=0.35 separates; &lt;=0.15 does not separate; intermediate is inconclusive/confounded; direct driver-definition tests are CIRCULAR</x:v>
      </x:c>
      <x:c r="X310" s="48" t="str">
        <x:v>MANAGER_SELF_DESCRIPTION; NOT BEHAVIOURAL FREQUENCY</x:v>
      </x:c>
    </x:row>
    <x:row r="311">
      <x:c r="A311" s="48" t="str">
        <x:v>B_GOVERNANCE_SEGMENTATION</x:v>
      </x:c>
      <x:c r="B311" s="48" t="str">
        <x:v>Tier B v1.1 - N=29 rerun</x:v>
      </x:c>
      <x:c r="C311" s="48" t="str">
        <x:v>2026-07-16</x:v>
      </x:c>
      <x:c r="D311" s="48" t="str">
        <x:v>D02</x:v>
      </x:c>
      <x:c r="E311" s="48" t="str">
        <x:v>DILIGENCE_ORGANIZATION</x:v>
      </x:c>
      <x:c r="F311" s="48" t="str">
        <x:v>Adviser or diligence spend formally gated</x:v>
      </x:c>
      <x:c r="G311" s="48" t="str">
        <x:v>fund_size_archetype</x:v>
      </x:c>
      <x:c r="H311" s="48" t="str">
        <x:v>NOT_APPLICABLE</x:v>
      </x:c>
      <x:c r="I311" s="48" t="str">
        <x:v>1</x:v>
      </x:c>
      <x:c r="J311" s="48" t="str">
        <x:v>1</x:v>
      </x:c>
      <x:c r="K311" s="48" t="str">
        <x:v>0</x:v>
      </x:c>
      <x:c r="L311" s="48" t="str">
        <x:v>0</x:v>
      </x:c>
      <x:c r="M311" s="48" t="str">
        <x:v>1</x:v>
      </x:c>
      <x:c r="N311" s="48" t="str">
        <x:v>0</x:v>
      </x:c>
      <x:c r="O311" s="48" t="str">
        <x:v>0</x:v>
      </x:c>
      <x:c r="P311" s="48" t="str">
        <x:v>0</x:v>
      </x:c>
      <x:c r="Q311" s="48" t="str">
        <x:v>1.000</x:v>
      </x:c>
      <x:c r="R311" s="48" t="str">
        <x:v>DRIVER DOES NOT SEPARATE</x:v>
      </x:c>
      <x:c r="S311" s="48" t="str">
        <x:v>0.000</x:v>
      </x:c>
      <x:c r="T311" s="48" t="str">
        <x:v>LARGE_2_TO_LT_5B:N=9,p=1.000; LOWER_MID_LT_2B:N=5,p=1.000; MEGA_GE_5B:N=8,p=1.000</x:v>
      </x:c>
      <x:c r="U311" s="48" t="str">
        <x:v>Maximum-minus-minimum prevalence among adequately observed groups is no more than 0.15.</x:v>
      </x:c>
      <x:c r="V311" s="48" t="str">
        <x:v>At least 5 observable manager families in at least 2 driver groups</x:v>
      </x:c>
      <x:c r="W311" s="48" t="str">
        <x:v>&gt;=0.35 separates; &lt;=0.15 does not separate; intermediate is inconclusive/confounded; direct driver-definition tests are CIRCULAR</x:v>
      </x:c>
      <x:c r="X311" s="48" t="str">
        <x:v>MANAGER_SELF_DESCRIPTION; NOT BEHAVIOURAL FREQUENCY</x:v>
      </x:c>
    </x:row>
    <x:row r="312">
      <x:c r="A312" s="48" t="str">
        <x:v>B_GOVERNANCE_SEGMENTATION</x:v>
      </x:c>
      <x:c r="B312" s="48" t="str">
        <x:v>Tier B v1.1 - N=29 rerun</x:v>
      </x:c>
      <x:c r="C312" s="48" t="str">
        <x:v>2026-07-16</x:v>
      </x:c>
      <x:c r="D312" s="48" t="str">
        <x:v>D02</x:v>
      </x:c>
      <x:c r="E312" s="48" t="str">
        <x:v>DILIGENCE_ORGANIZATION</x:v>
      </x:c>
      <x:c r="F312" s="48" t="str">
        <x:v>Adviser or diligence spend formally gated</x:v>
      </x:c>
      <x:c r="G312" s="48" t="str">
        <x:v>strategy</x:v>
      </x:c>
      <x:c r="H312" s="48" t="str">
        <x:v>CONTROL_BUYOUT</x:v>
      </x:c>
      <x:c r="I312" s="48" t="str">
        <x:v>22</x:v>
      </x:c>
      <x:c r="J312" s="48" t="str">
        <x:v>19</x:v>
      </x:c>
      <x:c r="K312" s="48" t="str">
        <x:v>5</x:v>
      </x:c>
      <x:c r="L312" s="48" t="str">
        <x:v>0</x:v>
      </x:c>
      <x:c r="M312" s="48" t="str">
        <x:v>19</x:v>
      </x:c>
      <x:c r="N312" s="48" t="str">
        <x:v>3</x:v>
      </x:c>
      <x:c r="O312" s="48" t="str">
        <x:v>0</x:v>
      </x:c>
      <x:c r="P312" s="48" t="str">
        <x:v>0</x:v>
      </x:c>
      <x:c r="Q312" s="48" t="str">
        <x:v>1.000</x:v>
      </x:c>
      <x:c r="R312" s="48" t="str">
        <x:v>N TOO SMALL</x:v>
      </x:c>
      <x:c r="S312" s="48" t="str"/>
      <x:c r="T312" s="48" t="str">
        <x:v>CONTROL_BUYOUT:N=19,p=1.000</x:v>
      </x:c>
      <x:c r="U312" s="48" t="str">
        <x:v>Fewer than two driver groups have at least 5 observable manager families.</x:v>
      </x:c>
      <x:c r="V312" s="48" t="str">
        <x:v>At least 5 observable manager families in at least 2 driver groups</x:v>
      </x:c>
      <x:c r="W312" s="48" t="str">
        <x:v>&gt;=0.35 separates; &lt;=0.15 does not separate; intermediate is inconclusive/confounded; direct driver-definition tests are CIRCULAR</x:v>
      </x:c>
      <x:c r="X312" s="48" t="str">
        <x:v>MANAGER_SELF_DESCRIPTION; NOT BEHAVIOURAL FREQUENCY</x:v>
      </x:c>
    </x:row>
    <x:row r="313">
      <x:c r="A313" s="48" t="str">
        <x:v>B_GOVERNANCE_SEGMENTATION</x:v>
      </x:c>
      <x:c r="B313" s="48" t="str">
        <x:v>Tier B v1.1 - N=29 rerun</x:v>
      </x:c>
      <x:c r="C313" s="48" t="str">
        <x:v>2026-07-16</x:v>
      </x:c>
      <x:c r="D313" s="48" t="str">
        <x:v>D02</x:v>
      </x:c>
      <x:c r="E313" s="48" t="str">
        <x:v>DILIGENCE_ORGANIZATION</x:v>
      </x:c>
      <x:c r="F313" s="48" t="str">
        <x:v>Adviser or diligence spend formally gated</x:v>
      </x:c>
      <x:c r="G313" s="48" t="str">
        <x:v>strategy</x:v>
      </x:c>
      <x:c r="H313" s="48" t="str">
        <x:v>GROWTH_CONTROL_HYBRID</x:v>
      </x:c>
      <x:c r="I313" s="48" t="str">
        <x:v>6</x:v>
      </x:c>
      <x:c r="J313" s="48" t="str">
        <x:v>3</x:v>
      </x:c>
      <x:c r="K313" s="48" t="str">
        <x:v>0</x:v>
      </x:c>
      <x:c r="L313" s="48" t="str">
        <x:v>0</x:v>
      </x:c>
      <x:c r="M313" s="48" t="str">
        <x:v>3</x:v>
      </x:c>
      <x:c r="N313" s="48" t="str">
        <x:v>3</x:v>
      </x:c>
      <x:c r="O313" s="48" t="str">
        <x:v>0</x:v>
      </x:c>
      <x:c r="P313" s="48" t="str">
        <x:v>0</x:v>
      </x:c>
      <x:c r="Q313" s="48" t="str">
        <x:v>1.000</x:v>
      </x:c>
      <x:c r="R313" s="48" t="str">
        <x:v>N TOO SMALL</x:v>
      </x:c>
      <x:c r="S313" s="48" t="str"/>
      <x:c r="T313" s="48" t="str">
        <x:v>CONTROL_BUYOUT:N=19,p=1.000</x:v>
      </x:c>
      <x:c r="U313" s="48" t="str">
        <x:v>Fewer than two driver groups have at least 5 observable manager families.</x:v>
      </x:c>
      <x:c r="V313" s="48" t="str">
        <x:v>At least 5 observable manager families in at least 2 driver groups</x:v>
      </x:c>
      <x:c r="W313" s="48" t="str">
        <x:v>&gt;=0.35 separates; &lt;=0.15 does not separate; intermediate is inconclusive/confounded; direct driver-definition tests are CIRCULAR</x:v>
      </x:c>
      <x:c r="X313" s="48" t="str">
        <x:v>MANAGER_SELF_DESCRIPTION; NOT BEHAVIOURAL FREQUENCY</x:v>
      </x:c>
    </x:row>
    <x:row r="314">
      <x:c r="A314" s="48" t="str">
        <x:v>B_GOVERNANCE_SEGMENTATION</x:v>
      </x:c>
      <x:c r="B314" s="48" t="str">
        <x:v>Tier B v1.1 - N=29 rerun</x:v>
      </x:c>
      <x:c r="C314" s="48" t="str">
        <x:v>2026-07-16</x:v>
      </x:c>
      <x:c r="D314" s="48" t="str">
        <x:v>D02</x:v>
      </x:c>
      <x:c r="E314" s="48" t="str">
        <x:v>DILIGENCE_ORGANIZATION</x:v>
      </x:c>
      <x:c r="F314" s="48" t="str">
        <x:v>Adviser or diligence spend formally gated</x:v>
      </x:c>
      <x:c r="G314" s="48" t="str">
        <x:v>strategy</x:v>
      </x:c>
      <x:c r="H314" s="48" t="str">
        <x:v>OPPORTUNISTIC_CONTROL</x:v>
      </x:c>
      <x:c r="I314" s="48" t="str">
        <x:v>1</x:v>
      </x:c>
      <x:c r="J314" s="48" t="str">
        <x:v>1</x:v>
      </x:c>
      <x:c r="K314" s="48" t="str">
        <x:v>0</x:v>
      </x:c>
      <x:c r="L314" s="48" t="str">
        <x:v>0</x:v>
      </x:c>
      <x:c r="M314" s="48" t="str">
        <x:v>1</x:v>
      </x:c>
      <x:c r="N314" s="48" t="str">
        <x:v>0</x:v>
      </x:c>
      <x:c r="O314" s="48" t="str">
        <x:v>0</x:v>
      </x:c>
      <x:c r="P314" s="48" t="str">
        <x:v>0</x:v>
      </x:c>
      <x:c r="Q314" s="48" t="str">
        <x:v>1.000</x:v>
      </x:c>
      <x:c r="R314" s="48" t="str">
        <x:v>N TOO SMALL</x:v>
      </x:c>
      <x:c r="S314" s="48" t="str"/>
      <x:c r="T314" s="48" t="str">
        <x:v>CONTROL_BUYOUT:N=19,p=1.000</x:v>
      </x:c>
      <x:c r="U314" s="48" t="str">
        <x:v>Fewer than two driver groups have at least 5 observable manager families.</x:v>
      </x:c>
      <x:c r="V314" s="48" t="str">
        <x:v>At least 5 observable manager families in at least 2 driver groups</x:v>
      </x:c>
      <x:c r="W314" s="48" t="str">
        <x:v>&gt;=0.35 separates; &lt;=0.15 does not separate; intermediate is inconclusive/confounded; direct driver-definition tests are CIRCULAR</x:v>
      </x:c>
      <x:c r="X314" s="48" t="str">
        <x:v>MANAGER_SELF_DESCRIPTION; NOT BEHAVIOURAL FREQUENCY</x:v>
      </x:c>
    </x:row>
    <x:row r="315">
      <x:c r="A315" s="48" t="str">
        <x:v>B_GOVERNANCE_SEGMENTATION</x:v>
      </x:c>
      <x:c r="B315" s="48" t="str">
        <x:v>Tier B v1.1 - N=29 rerun</x:v>
      </x:c>
      <x:c r="C315" s="48" t="str">
        <x:v>2026-07-16</x:v>
      </x:c>
      <x:c r="D315" s="48" t="str">
        <x:v>D02</x:v>
      </x:c>
      <x:c r="E315" s="48" t="str">
        <x:v>DILIGENCE_ORGANIZATION</x:v>
      </x:c>
      <x:c r="F315" s="48" t="str">
        <x:v>Adviser or diligence spend formally gated</x:v>
      </x:c>
      <x:c r="G315" s="48" t="str">
        <x:v>geography</x:v>
      </x:c>
      <x:c r="H315" s="48" t="str">
        <x:v>ASIA_PACIFIC</x:v>
      </x:c>
      <x:c r="I315" s="48" t="str">
        <x:v>4</x:v>
      </x:c>
      <x:c r="J315" s="48" t="str">
        <x:v>4</x:v>
      </x:c>
      <x:c r="K315" s="48" t="str">
        <x:v>0</x:v>
      </x:c>
      <x:c r="L315" s="48" t="str">
        <x:v>0</x:v>
      </x:c>
      <x:c r="M315" s="48" t="str">
        <x:v>4</x:v>
      </x:c>
      <x:c r="N315" s="48" t="str">
        <x:v>0</x:v>
      </x:c>
      <x:c r="O315" s="48" t="str">
        <x:v>0</x:v>
      </x:c>
      <x:c r="P315" s="48" t="str">
        <x:v>0</x:v>
      </x:c>
      <x:c r="Q315" s="48" t="str">
        <x:v>1.000</x:v>
      </x:c>
      <x:c r="R315" s="48" t="str">
        <x:v>DRIVER DOES NOT SEPARATE</x:v>
      </x:c>
      <x:c r="S315" s="48" t="str">
        <x:v>0.000</x:v>
      </x:c>
      <x:c r="T315" s="48" t="str">
        <x:v>GLOBAL_TRANSATLANTIC:N=7,p=1.000; NORTH_AMERICA:N=10,p=1.000</x:v>
      </x:c>
      <x:c r="U315" s="48" t="str">
        <x:v>Maximum-minus-minimum prevalence among adequately observed groups is no more than 0.15.</x:v>
      </x:c>
      <x:c r="V315" s="48" t="str">
        <x:v>At least 5 observable manager families in at least 2 driver groups</x:v>
      </x:c>
      <x:c r="W315" s="48" t="str">
        <x:v>&gt;=0.35 separates; &lt;=0.15 does not separate; intermediate is inconclusive/confounded; direct driver-definition tests are CIRCULAR</x:v>
      </x:c>
      <x:c r="X315" s="48" t="str">
        <x:v>MANAGER_SELF_DESCRIPTION; NOT BEHAVIOURAL FREQUENCY</x:v>
      </x:c>
    </x:row>
    <x:row r="316">
      <x:c r="A316" s="48" t="str">
        <x:v>B_GOVERNANCE_SEGMENTATION</x:v>
      </x:c>
      <x:c r="B316" s="48" t="str">
        <x:v>Tier B v1.1 - N=29 rerun</x:v>
      </x:c>
      <x:c r="C316" s="48" t="str">
        <x:v>2026-07-16</x:v>
      </x:c>
      <x:c r="D316" s="48" t="str">
        <x:v>D02</x:v>
      </x:c>
      <x:c r="E316" s="48" t="str">
        <x:v>DILIGENCE_ORGANIZATION</x:v>
      </x:c>
      <x:c r="F316" s="48" t="str">
        <x:v>Adviser or diligence spend formally gated</x:v>
      </x:c>
      <x:c r="G316" s="48" t="str">
        <x:v>geography</x:v>
      </x:c>
      <x:c r="H316" s="48" t="str">
        <x:v>EUROPE</x:v>
      </x:c>
      <x:c r="I316" s="48" t="str">
        <x:v>2</x:v>
      </x:c>
      <x:c r="J316" s="48" t="str">
        <x:v>2</x:v>
      </x:c>
      <x:c r="K316" s="48" t="str">
        <x:v>0</x:v>
      </x:c>
      <x:c r="L316" s="48" t="str">
        <x:v>0</x:v>
      </x:c>
      <x:c r="M316" s="48" t="str">
        <x:v>2</x:v>
      </x:c>
      <x:c r="N316" s="48" t="str">
        <x:v>0</x:v>
      </x:c>
      <x:c r="O316" s="48" t="str">
        <x:v>0</x:v>
      </x:c>
      <x:c r="P316" s="48" t="str">
        <x:v>0</x:v>
      </x:c>
      <x:c r="Q316" s="48" t="str">
        <x:v>1.000</x:v>
      </x:c>
      <x:c r="R316" s="48" t="str">
        <x:v>DRIVER DOES NOT SEPARATE</x:v>
      </x:c>
      <x:c r="S316" s="48" t="str">
        <x:v>0.000</x:v>
      </x:c>
      <x:c r="T316" s="48" t="str">
        <x:v>GLOBAL_TRANSATLANTIC:N=7,p=1.000; NORTH_AMERICA:N=10,p=1.000</x:v>
      </x:c>
      <x:c r="U316" s="48" t="str">
        <x:v>Maximum-minus-minimum prevalence among adequately observed groups is no more than 0.15.</x:v>
      </x:c>
      <x:c r="V316" s="48" t="str">
        <x:v>At least 5 observable manager families in at least 2 driver groups</x:v>
      </x:c>
      <x:c r="W316" s="48" t="str">
        <x:v>&gt;=0.35 separates; &lt;=0.15 does not separate; intermediate is inconclusive/confounded; direct driver-definition tests are CIRCULAR</x:v>
      </x:c>
      <x:c r="X316" s="48" t="str">
        <x:v>MANAGER_SELF_DESCRIPTION; NOT BEHAVIOURAL FREQUENCY</x:v>
      </x:c>
    </x:row>
    <x:row r="317">
      <x:c r="A317" s="48" t="str">
        <x:v>B_GOVERNANCE_SEGMENTATION</x:v>
      </x:c>
      <x:c r="B317" s="48" t="str">
        <x:v>Tier B v1.1 - N=29 rerun</x:v>
      </x:c>
      <x:c r="C317" s="48" t="str">
        <x:v>2026-07-16</x:v>
      </x:c>
      <x:c r="D317" s="48" t="str">
        <x:v>D02</x:v>
      </x:c>
      <x:c r="E317" s="48" t="str">
        <x:v>DILIGENCE_ORGANIZATION</x:v>
      </x:c>
      <x:c r="F317" s="48" t="str">
        <x:v>Adviser or diligence spend formally gated</x:v>
      </x:c>
      <x:c r="G317" s="48" t="str">
        <x:v>geography</x:v>
      </x:c>
      <x:c r="H317" s="48" t="str">
        <x:v>GLOBAL_TRANSATLANTIC</x:v>
      </x:c>
      <x:c r="I317" s="48" t="str">
        <x:v>10</x:v>
      </x:c>
      <x:c r="J317" s="48" t="str">
        <x:v>7</x:v>
      </x:c>
      <x:c r="K317" s="48" t="str">
        <x:v>1</x:v>
      </x:c>
      <x:c r="L317" s="48" t="str">
        <x:v>0</x:v>
      </x:c>
      <x:c r="M317" s="48" t="str">
        <x:v>7</x:v>
      </x:c>
      <x:c r="N317" s="48" t="str">
        <x:v>3</x:v>
      </x:c>
      <x:c r="O317" s="48" t="str">
        <x:v>0</x:v>
      </x:c>
      <x:c r="P317" s="48" t="str">
        <x:v>0</x:v>
      </x:c>
      <x:c r="Q317" s="48" t="str">
        <x:v>1.000</x:v>
      </x:c>
      <x:c r="R317" s="48" t="str">
        <x:v>DRIVER DOES NOT SEPARATE</x:v>
      </x:c>
      <x:c r="S317" s="48" t="str">
        <x:v>0.000</x:v>
      </x:c>
      <x:c r="T317" s="48" t="str">
        <x:v>GLOBAL_TRANSATLANTIC:N=7,p=1.000; NORTH_AMERICA:N=10,p=1.000</x:v>
      </x:c>
      <x:c r="U317" s="48" t="str">
        <x:v>Maximum-minus-minimum prevalence among adequately observed groups is no more than 0.15.</x:v>
      </x:c>
      <x:c r="V317" s="48" t="str">
        <x:v>At least 5 observable manager families in at least 2 driver groups</x:v>
      </x:c>
      <x:c r="W317" s="48" t="str">
        <x:v>&gt;=0.35 separates; &lt;=0.15 does not separate; intermediate is inconclusive/confounded; direct driver-definition tests are CIRCULAR</x:v>
      </x:c>
      <x:c r="X317" s="48" t="str">
        <x:v>MANAGER_SELF_DESCRIPTION; NOT BEHAVIOURAL FREQUENCY</x:v>
      </x:c>
    </x:row>
    <x:row r="318">
      <x:c r="A318" s="48" t="str">
        <x:v>B_GOVERNANCE_SEGMENTATION</x:v>
      </x:c>
      <x:c r="B318" s="48" t="str">
        <x:v>Tier B v1.1 - N=29 rerun</x:v>
      </x:c>
      <x:c r="C318" s="48" t="str">
        <x:v>2026-07-16</x:v>
      </x:c>
      <x:c r="D318" s="48" t="str">
        <x:v>D02</x:v>
      </x:c>
      <x:c r="E318" s="48" t="str">
        <x:v>DILIGENCE_ORGANIZATION</x:v>
      </x:c>
      <x:c r="F318" s="48" t="str">
        <x:v>Adviser or diligence spend formally gated</x:v>
      </x:c>
      <x:c r="G318" s="48" t="str">
        <x:v>geography</x:v>
      </x:c>
      <x:c r="H318" s="48" t="str">
        <x:v>NORTH_AMERICA</x:v>
      </x:c>
      <x:c r="I318" s="48" t="str">
        <x:v>13</x:v>
      </x:c>
      <x:c r="J318" s="48" t="str">
        <x:v>10</x:v>
      </x:c>
      <x:c r="K318" s="48" t="str">
        <x:v>4</x:v>
      </x:c>
      <x:c r="L318" s="48" t="str">
        <x:v>0</x:v>
      </x:c>
      <x:c r="M318" s="48" t="str">
        <x:v>10</x:v>
      </x:c>
      <x:c r="N318" s="48" t="str">
        <x:v>3</x:v>
      </x:c>
      <x:c r="O318" s="48" t="str">
        <x:v>0</x:v>
      </x:c>
      <x:c r="P318" s="48" t="str">
        <x:v>0</x:v>
      </x:c>
      <x:c r="Q318" s="48" t="str">
        <x:v>1.000</x:v>
      </x:c>
      <x:c r="R318" s="48" t="str">
        <x:v>DRIVER DOES NOT SEPARATE</x:v>
      </x:c>
      <x:c r="S318" s="48" t="str">
        <x:v>0.000</x:v>
      </x:c>
      <x:c r="T318" s="48" t="str">
        <x:v>GLOBAL_TRANSATLANTIC:N=7,p=1.000; NORTH_AMERICA:N=10,p=1.000</x:v>
      </x:c>
      <x:c r="U318" s="48" t="str">
        <x:v>Maximum-minus-minimum prevalence among adequately observed groups is no more than 0.15.</x:v>
      </x:c>
      <x:c r="V318" s="48" t="str">
        <x:v>At least 5 observable manager families in at least 2 driver groups</x:v>
      </x:c>
      <x:c r="W318" s="48" t="str">
        <x:v>&gt;=0.35 separates; &lt;=0.15 does not separate; intermediate is inconclusive/confounded; direct driver-definition tests are CIRCULAR</x:v>
      </x:c>
      <x:c r="X318" s="48" t="str">
        <x:v>MANAGER_SELF_DESCRIPTION; NOT BEHAVIOURAL FREQUENCY</x:v>
      </x:c>
    </x:row>
    <x:row r="319">
      <x:c r="A319" s="48" t="str">
        <x:v>B_GOVERNANCE_SEGMENTATION</x:v>
      </x:c>
      <x:c r="B319" s="48" t="str">
        <x:v>Tier B v1.1 - N=29 rerun</x:v>
      </x:c>
      <x:c r="C319" s="48" t="str">
        <x:v>2026-07-16</x:v>
      </x:c>
      <x:c r="D319" s="48" t="str">
        <x:v>D02</x:v>
      </x:c>
      <x:c r="E319" s="48" t="str">
        <x:v>DILIGENCE_ORGANIZATION</x:v>
      </x:c>
      <x:c r="F319" s="48" t="str">
        <x:v>Adviser or diligence spend formally gated</x:v>
      </x:c>
      <x:c r="G319" s="48" t="str">
        <x:v>source_vintage_bin</x:v>
      </x:c>
      <x:c r="H319" s="48" t="str">
        <x:v>2018_2020</x:v>
      </x:c>
      <x:c r="I319" s="48" t="str">
        <x:v>6</x:v>
      </x:c>
      <x:c r="J319" s="48" t="str">
        <x:v>5</x:v>
      </x:c>
      <x:c r="K319" s="48" t="str">
        <x:v>1</x:v>
      </x:c>
      <x:c r="L319" s="48" t="str">
        <x:v>0</x:v>
      </x:c>
      <x:c r="M319" s="48" t="str">
        <x:v>5</x:v>
      </x:c>
      <x:c r="N319" s="48" t="str">
        <x:v>1</x:v>
      </x:c>
      <x:c r="O319" s="48" t="str">
        <x:v>0</x:v>
      </x:c>
      <x:c r="P319" s="48" t="str">
        <x:v>0</x:v>
      </x:c>
      <x:c r="Q319" s="48" t="str">
        <x:v>1.000</x:v>
      </x:c>
      <x:c r="R319" s="48" t="str">
        <x:v>DRIVER DOES NOT SEPARATE</x:v>
      </x:c>
      <x:c r="S319" s="48" t="str">
        <x:v>0.000</x:v>
      </x:c>
      <x:c r="T319" s="48" t="str">
        <x:v>2018_2020:N=5,p=1.000; 2021_2023:N=9,p=1.000; 2024_2026:N=9,p=1.000</x:v>
      </x:c>
      <x:c r="U319" s="48" t="str">
        <x:v>Maximum-minus-minimum prevalence among adequately observed groups is no more than 0.15.</x:v>
      </x:c>
      <x:c r="V319" s="48" t="str">
        <x:v>At least 5 observable manager families in at least 2 driver groups</x:v>
      </x:c>
      <x:c r="W319" s="48" t="str">
        <x:v>&gt;=0.35 separates; &lt;=0.15 does not separate; intermediate is inconclusive/confounded; direct driver-definition tests are CIRCULAR</x:v>
      </x:c>
      <x:c r="X319" s="48" t="str">
        <x:v>MANAGER_SELF_DESCRIPTION; NOT BEHAVIOURAL FREQUENCY</x:v>
      </x:c>
    </x:row>
    <x:row r="320">
      <x:c r="A320" s="48" t="str">
        <x:v>B_GOVERNANCE_SEGMENTATION</x:v>
      </x:c>
      <x:c r="B320" s="48" t="str">
        <x:v>Tier B v1.1 - N=29 rerun</x:v>
      </x:c>
      <x:c r="C320" s="48" t="str">
        <x:v>2026-07-16</x:v>
      </x:c>
      <x:c r="D320" s="48" t="str">
        <x:v>D02</x:v>
      </x:c>
      <x:c r="E320" s="48" t="str">
        <x:v>DILIGENCE_ORGANIZATION</x:v>
      </x:c>
      <x:c r="F320" s="48" t="str">
        <x:v>Adviser or diligence spend formally gated</x:v>
      </x:c>
      <x:c r="G320" s="48" t="str">
        <x:v>source_vintage_bin</x:v>
      </x:c>
      <x:c r="H320" s="48" t="str">
        <x:v>2021_2023</x:v>
      </x:c>
      <x:c r="I320" s="48" t="str">
        <x:v>11</x:v>
      </x:c>
      <x:c r="J320" s="48" t="str">
        <x:v>9</x:v>
      </x:c>
      <x:c r="K320" s="48" t="str">
        <x:v>2</x:v>
      </x:c>
      <x:c r="L320" s="48" t="str">
        <x:v>0</x:v>
      </x:c>
      <x:c r="M320" s="48" t="str">
        <x:v>9</x:v>
      </x:c>
      <x:c r="N320" s="48" t="str">
        <x:v>2</x:v>
      </x:c>
      <x:c r="O320" s="48" t="str">
        <x:v>0</x:v>
      </x:c>
      <x:c r="P320" s="48" t="str">
        <x:v>0</x:v>
      </x:c>
      <x:c r="Q320" s="48" t="str">
        <x:v>1.000</x:v>
      </x:c>
      <x:c r="R320" s="48" t="str">
        <x:v>DRIVER DOES NOT SEPARATE</x:v>
      </x:c>
      <x:c r="S320" s="48" t="str">
        <x:v>0.000</x:v>
      </x:c>
      <x:c r="T320" s="48" t="str">
        <x:v>2018_2020:N=5,p=1.000; 2021_2023:N=9,p=1.000; 2024_2026:N=9,p=1.000</x:v>
      </x:c>
      <x:c r="U320" s="48" t="str">
        <x:v>Maximum-minus-minimum prevalence among adequately observed groups is no more than 0.15.</x:v>
      </x:c>
      <x:c r="V320" s="48" t="str">
        <x:v>At least 5 observable manager families in at least 2 driver groups</x:v>
      </x:c>
      <x:c r="W320" s="48" t="str">
        <x:v>&gt;=0.35 separates; &lt;=0.15 does not separate; intermediate is inconclusive/confounded; direct driver-definition tests are CIRCULAR</x:v>
      </x:c>
      <x:c r="X320" s="48" t="str">
        <x:v>MANAGER_SELF_DESCRIPTION; NOT BEHAVIOURAL FREQUENCY</x:v>
      </x:c>
    </x:row>
    <x:row r="321">
      <x:c r="A321" s="48" t="str">
        <x:v>B_GOVERNANCE_SEGMENTATION</x:v>
      </x:c>
      <x:c r="B321" s="48" t="str">
        <x:v>Tier B v1.1 - N=29 rerun</x:v>
      </x:c>
      <x:c r="C321" s="48" t="str">
        <x:v>2026-07-16</x:v>
      </x:c>
      <x:c r="D321" s="48" t="str">
        <x:v>D02</x:v>
      </x:c>
      <x:c r="E321" s="48" t="str">
        <x:v>DILIGENCE_ORGANIZATION</x:v>
      </x:c>
      <x:c r="F321" s="48" t="str">
        <x:v>Adviser or diligence spend formally gated</x:v>
      </x:c>
      <x:c r="G321" s="48" t="str">
        <x:v>source_vintage_bin</x:v>
      </x:c>
      <x:c r="H321" s="48" t="str">
        <x:v>2024_2026</x:v>
      </x:c>
      <x:c r="I321" s="48" t="str">
        <x:v>12</x:v>
      </x:c>
      <x:c r="J321" s="48" t="str">
        <x:v>9</x:v>
      </x:c>
      <x:c r="K321" s="48" t="str">
        <x:v>2</x:v>
      </x:c>
      <x:c r="L321" s="48" t="str">
        <x:v>0</x:v>
      </x:c>
      <x:c r="M321" s="48" t="str">
        <x:v>9</x:v>
      </x:c>
      <x:c r="N321" s="48" t="str">
        <x:v>3</x:v>
      </x:c>
      <x:c r="O321" s="48" t="str">
        <x:v>0</x:v>
      </x:c>
      <x:c r="P321" s="48" t="str">
        <x:v>0</x:v>
      </x:c>
      <x:c r="Q321" s="48" t="str">
        <x:v>1.000</x:v>
      </x:c>
      <x:c r="R321" s="48" t="str">
        <x:v>DRIVER DOES NOT SEPARATE</x:v>
      </x:c>
      <x:c r="S321" s="48" t="str">
        <x:v>0.000</x:v>
      </x:c>
      <x:c r="T321" s="48" t="str">
        <x:v>2018_2020:N=5,p=1.000; 2021_2023:N=9,p=1.000; 2024_2026:N=9,p=1.000</x:v>
      </x:c>
      <x:c r="U321" s="48" t="str">
        <x:v>Maximum-minus-minimum prevalence among adequately observed groups is no more than 0.15.</x:v>
      </x:c>
      <x:c r="V321" s="48" t="str">
        <x:v>At least 5 observable manager families in at least 2 driver groups</x:v>
      </x:c>
      <x:c r="W321" s="48" t="str">
        <x:v>&gt;=0.35 separates; &lt;=0.15 does not separate; intermediate is inconclusive/confounded; direct driver-definition tests are CIRCULAR</x:v>
      </x:c>
      <x:c r="X321" s="48" t="str">
        <x:v>MANAGER_SELF_DESCRIPTION; NOT BEHAVIOURAL FREQUENCY</x:v>
      </x:c>
    </x:row>
    <x:row r="322">
      <x:c r="A322" s="48" t="str">
        <x:v>B_GOVERNANCE_SEGMENTATION</x:v>
      </x:c>
      <x:c r="B322" s="48" t="str">
        <x:v>Tier B v1.1 - N=29 rerun</x:v>
      </x:c>
      <x:c r="C322" s="48" t="str">
        <x:v>2026-07-16</x:v>
      </x:c>
      <x:c r="D322" s="48" t="str">
        <x:v>D02</x:v>
      </x:c>
      <x:c r="E322" s="48" t="str">
        <x:v>DILIGENCE_ORGANIZATION</x:v>
      </x:c>
      <x:c r="F322" s="48" t="str">
        <x:v>Adviser or diligence spend formally gated</x:v>
      </x:c>
      <x:c r="G322" s="48" t="str">
        <x:v>governance_architecture</x:v>
      </x:c>
      <x:c r="H322" s="48" t="str">
        <x:v>IC_FINAL_OR_DE_FACTO</x:v>
      </x:c>
      <x:c r="I322" s="48" t="str">
        <x:v>26</x:v>
      </x:c>
      <x:c r="J322" s="48" t="str">
        <x:v>20</x:v>
      </x:c>
      <x:c r="K322" s="48" t="str">
        <x:v>5</x:v>
      </x:c>
      <x:c r="L322" s="48" t="str">
        <x:v>0</x:v>
      </x:c>
      <x:c r="M322" s="48" t="str">
        <x:v>20</x:v>
      </x:c>
      <x:c r="N322" s="48" t="str">
        <x:v>6</x:v>
      </x:c>
      <x:c r="O322" s="48" t="str">
        <x:v>0</x:v>
      </x:c>
      <x:c r="P322" s="48" t="str">
        <x:v>0</x:v>
      </x:c>
      <x:c r="Q322" s="48" t="str">
        <x:v>1.000</x:v>
      </x:c>
      <x:c r="R322" s="48" t="str">
        <x:v>N TOO SMALL</x:v>
      </x:c>
      <x:c r="S322" s="48" t="str"/>
      <x:c r="T322" s="48" t="str">
        <x:v>IC_FINAL_OR_DE_FACTO:N=20,p=1.000</x:v>
      </x:c>
      <x:c r="U322" s="48" t="str">
        <x:v>Fewer than two driver groups have at least 5 observable manager families.</x:v>
      </x:c>
      <x:c r="V322" s="48" t="str">
        <x:v>At least 5 observable manager families in at least 2 driver groups</x:v>
      </x:c>
      <x:c r="W322" s="48" t="str">
        <x:v>&gt;=0.35 separates; &lt;=0.15 does not separate; intermediate is inconclusive/confounded; direct driver-definition tests are CIRCULAR</x:v>
      </x:c>
      <x:c r="X322" s="48" t="str">
        <x:v>MANAGER_SELF_DESCRIPTION; NOT BEHAVIOURAL FREQUENCY</x:v>
      </x:c>
    </x:row>
    <x:row r="323">
      <x:c r="A323" s="48" t="str">
        <x:v>B_GOVERNANCE_SEGMENTATION</x:v>
      </x:c>
      <x:c r="B323" s="48" t="str">
        <x:v>Tier B v1.1 - N=29 rerun</x:v>
      </x:c>
      <x:c r="C323" s="48" t="str">
        <x:v>2026-07-16</x:v>
      </x:c>
      <x:c r="D323" s="48" t="str">
        <x:v>D02</x:v>
      </x:c>
      <x:c r="E323" s="48" t="str">
        <x:v>DILIGENCE_ORGANIZATION</x:v>
      </x:c>
      <x:c r="F323" s="48" t="str">
        <x:v>Adviser or diligence spend formally gated</x:v>
      </x:c>
      <x:c r="G323" s="48" t="str">
        <x:v>governance_architecture</x:v>
      </x:c>
      <x:c r="H323" s="48" t="str">
        <x:v>IC_RECOMMENDS_SEPARATE_FINAL_AUTHORITY</x:v>
      </x:c>
      <x:c r="I323" s="48" t="str">
        <x:v>3</x:v>
      </x:c>
      <x:c r="J323" s="48" t="str">
        <x:v>3</x:v>
      </x:c>
      <x:c r="K323" s="48" t="str">
        <x:v>0</x:v>
      </x:c>
      <x:c r="L323" s="48" t="str">
        <x:v>0</x:v>
      </x:c>
      <x:c r="M323" s="48" t="str">
        <x:v>3</x:v>
      </x:c>
      <x:c r="N323" s="48" t="str">
        <x:v>0</x:v>
      </x:c>
      <x:c r="O323" s="48" t="str">
        <x:v>0</x:v>
      </x:c>
      <x:c r="P323" s="48" t="str">
        <x:v>0</x:v>
      </x:c>
      <x:c r="Q323" s="48" t="str">
        <x:v>1.000</x:v>
      </x:c>
      <x:c r="R323" s="48" t="str">
        <x:v>N TOO SMALL</x:v>
      </x:c>
      <x:c r="S323" s="48" t="str"/>
      <x:c r="T323" s="48" t="str">
        <x:v>IC_FINAL_OR_DE_FACTO:N=20,p=1.000</x:v>
      </x:c>
      <x:c r="U323" s="48" t="str">
        <x:v>Fewer than two driver groups have at least 5 observable manager families.</x:v>
      </x:c>
      <x:c r="V323" s="48" t="str">
        <x:v>At least 5 observable manager families in at least 2 driver groups</x:v>
      </x:c>
      <x:c r="W323" s="48" t="str">
        <x:v>&gt;=0.35 separates; &lt;=0.15 does not separate; intermediate is inconclusive/confounded; direct driver-definition tests are CIRCULAR</x:v>
      </x:c>
      <x:c r="X323" s="48" t="str">
        <x:v>MANAGER_SELF_DESCRIPTION; NOT BEHAVIOURAL FREQUENCY</x:v>
      </x:c>
    </x:row>
    <x:row r="324">
      <x:c r="A324" s="48" t="str">
        <x:v>B_GOVERNANCE_SEGMENTATION</x:v>
      </x:c>
      <x:c r="B324" s="48" t="str">
        <x:v>Tier B v1.1 - N=29 rerun</x:v>
      </x:c>
      <x:c r="C324" s="48" t="str">
        <x:v>2026-07-16</x:v>
      </x:c>
      <x:c r="D324" s="48" t="str">
        <x:v>D02</x:v>
      </x:c>
      <x:c r="E324" s="48" t="str">
        <x:v>DILIGENCE_ORGANIZATION</x:v>
      </x:c>
      <x:c r="F324" s="48" t="str">
        <x:v>Adviser or diligence spend formally gated</x:v>
      </x:c>
      <x:c r="G324" s="48" t="str">
        <x:v>dedicated_operating_team</x:v>
      </x:c>
      <x:c r="H324" s="48" t="str">
        <x:v>NO_OR_LIMITED</x:v>
      </x:c>
      <x:c r="I324" s="48" t="str">
        <x:v>6</x:v>
      </x:c>
      <x:c r="J324" s="48" t="str">
        <x:v>3</x:v>
      </x:c>
      <x:c r="K324" s="48" t="str">
        <x:v>0</x:v>
      </x:c>
      <x:c r="L324" s="48" t="str">
        <x:v>0</x:v>
      </x:c>
      <x:c r="M324" s="48" t="str">
        <x:v>3</x:v>
      </x:c>
      <x:c r="N324" s="48" t="str">
        <x:v>3</x:v>
      </x:c>
      <x:c r="O324" s="48" t="str">
        <x:v>0</x:v>
      </x:c>
      <x:c r="P324" s="48" t="str">
        <x:v>0</x:v>
      </x:c>
      <x:c r="Q324" s="48" t="str">
        <x:v>1.000</x:v>
      </x:c>
      <x:c r="R324" s="48" t="str">
        <x:v>N TOO SMALL</x:v>
      </x:c>
      <x:c r="S324" s="48" t="str"/>
      <x:c r="T324" s="48" t="str">
        <x:v>YES_DEDICATED:N=20,p=1.000</x:v>
      </x:c>
      <x:c r="U324" s="48" t="str">
        <x:v>Fewer than two driver groups have at least 5 observable manager families.</x:v>
      </x:c>
      <x:c r="V324" s="48" t="str">
        <x:v>At least 5 observable manager families in at least 2 driver groups</x:v>
      </x:c>
      <x:c r="W324" s="48" t="str">
        <x:v>&gt;=0.35 separates; &lt;=0.15 does not separate; intermediate is inconclusive/confounded; direct driver-definition tests are CIRCULAR</x:v>
      </x:c>
      <x:c r="X324" s="48" t="str">
        <x:v>MANAGER_SELF_DESCRIPTION; NOT BEHAVIOURAL FREQUENCY</x:v>
      </x:c>
    </x:row>
    <x:row r="325">
      <x:c r="A325" s="48" t="str">
        <x:v>B_GOVERNANCE_SEGMENTATION</x:v>
      </x:c>
      <x:c r="B325" s="48" t="str">
        <x:v>Tier B v1.1 - N=29 rerun</x:v>
      </x:c>
      <x:c r="C325" s="48" t="str">
        <x:v>2026-07-16</x:v>
      </x:c>
      <x:c r="D325" s="48" t="str">
        <x:v>D02</x:v>
      </x:c>
      <x:c r="E325" s="48" t="str">
        <x:v>DILIGENCE_ORGANIZATION</x:v>
      </x:c>
      <x:c r="F325" s="48" t="str">
        <x:v>Adviser or diligence spend formally gated</x:v>
      </x:c>
      <x:c r="G325" s="48" t="str">
        <x:v>dedicated_operating_team</x:v>
      </x:c>
      <x:c r="H325" s="48" t="str">
        <x:v>YES_DEDICATED</x:v>
      </x:c>
      <x:c r="I325" s="48" t="str">
        <x:v>23</x:v>
      </x:c>
      <x:c r="J325" s="48" t="str">
        <x:v>20</x:v>
      </x:c>
      <x:c r="K325" s="48" t="str">
        <x:v>5</x:v>
      </x:c>
      <x:c r="L325" s="48" t="str">
        <x:v>0</x:v>
      </x:c>
      <x:c r="M325" s="48" t="str">
        <x:v>20</x:v>
      </x:c>
      <x:c r="N325" s="48" t="str">
        <x:v>3</x:v>
      </x:c>
      <x:c r="O325" s="48" t="str">
        <x:v>0</x:v>
      </x:c>
      <x:c r="P325" s="48" t="str">
        <x:v>0</x:v>
      </x:c>
      <x:c r="Q325" s="48" t="str">
        <x:v>1.000</x:v>
      </x:c>
      <x:c r="R325" s="48" t="str">
        <x:v>N TOO SMALL</x:v>
      </x:c>
      <x:c r="S325" s="48" t="str"/>
      <x:c r="T325" s="48" t="str">
        <x:v>YES_DEDICATED:N=20,p=1.000</x:v>
      </x:c>
      <x:c r="U325" s="48" t="str">
        <x:v>Fewer than two driver groups have at least 5 observable manager families.</x:v>
      </x:c>
      <x:c r="V325" s="48" t="str">
        <x:v>At least 5 observable manager families in at least 2 driver groups</x:v>
      </x:c>
      <x:c r="W325" s="48" t="str">
        <x:v>&gt;=0.35 separates; &lt;=0.15 does not separate; intermediate is inconclusive/confounded; direct driver-definition tests are CIRCULAR</x:v>
      </x:c>
      <x:c r="X325" s="48" t="str">
        <x:v>MANAGER_SELF_DESCRIPTION; NOT BEHAVIOURAL FREQUENCY</x:v>
      </x:c>
    </x:row>
    <x:row r="326">
      <x:c r="A326" s="48" t="str">
        <x:v>B_GOVERNANCE_SEGMENTATION</x:v>
      </x:c>
      <x:c r="B326" s="48" t="str">
        <x:v>Tier B v1.1 - N=29 rerun</x:v>
      </x:c>
      <x:c r="C326" s="48" t="str">
        <x:v>2026-07-16</x:v>
      </x:c>
      <x:c r="D326" s="48" t="str">
        <x:v>D03</x:v>
      </x:c>
      <x:c r="E326" s="48" t="str">
        <x:v>DILIGENCE_ORGANIZATION</x:v>
      </x:c>
      <x:c r="F326" s="48" t="str">
        <x:v>Major external adviser work principally after exclusivity or LOI</x:v>
      </x:c>
      <x:c r="G326" s="48" t="str">
        <x:v>fund_size_archetype</x:v>
      </x:c>
      <x:c r="H326" s="48" t="str">
        <x:v>LARGE_2_TO_LT_5B</x:v>
      </x:c>
      <x:c r="I326" s="48" t="str">
        <x:v>9</x:v>
      </x:c>
      <x:c r="J326" s="48" t="str">
        <x:v>5</x:v>
      </x:c>
      <x:c r="K326" s="48" t="str">
        <x:v>1</x:v>
      </x:c>
      <x:c r="L326" s="48" t="str">
        <x:v>0</x:v>
      </x:c>
      <x:c r="M326" s="48" t="str">
        <x:v>5</x:v>
      </x:c>
      <x:c r="N326" s="48" t="str">
        <x:v>4</x:v>
      </x:c>
      <x:c r="O326" s="48" t="str">
        <x:v>0</x:v>
      </x:c>
      <x:c r="P326" s="48" t="str">
        <x:v>0</x:v>
      </x:c>
      <x:c r="Q326" s="48" t="str">
        <x:v>1.000</x:v>
      </x:c>
      <x:c r="R326" s="48" t="str">
        <x:v>N TOO SMALL</x:v>
      </x:c>
      <x:c r="S326" s="48" t="str"/>
      <x:c r="T326" s="48" t="str">
        <x:v>LARGE_2_TO_LT_5B:N=5,p=1.000</x:v>
      </x:c>
      <x:c r="U326" s="48" t="str">
        <x:v>Fewer than two driver groups have at least 5 observable manager families.</x:v>
      </x:c>
      <x:c r="V326" s="48" t="str">
        <x:v>At least 5 observable manager families in at least 2 driver groups</x:v>
      </x:c>
      <x:c r="W326" s="48" t="str">
        <x:v>&gt;=0.35 separates; &lt;=0.15 does not separate; intermediate is inconclusive/confounded; direct driver-definition tests are CIRCULAR</x:v>
      </x:c>
      <x:c r="X326" s="48" t="str">
        <x:v>MANAGER_SELF_DESCRIPTION; NOT BEHAVIOURAL FREQUENCY</x:v>
      </x:c>
    </x:row>
    <x:row r="327">
      <x:c r="A327" s="48" t="str">
        <x:v>B_GOVERNANCE_SEGMENTATION</x:v>
      </x:c>
      <x:c r="B327" s="48" t="str">
        <x:v>Tier B v1.1 - N=29 rerun</x:v>
      </x:c>
      <x:c r="C327" s="48" t="str">
        <x:v>2026-07-16</x:v>
      </x:c>
      <x:c r="D327" s="48" t="str">
        <x:v>D03</x:v>
      </x:c>
      <x:c r="E327" s="48" t="str">
        <x:v>DILIGENCE_ORGANIZATION</x:v>
      </x:c>
      <x:c r="F327" s="48" t="str">
        <x:v>Major external adviser work principally after exclusivity or LOI</x:v>
      </x:c>
      <x:c r="G327" s="48" t="str">
        <x:v>fund_size_archetype</x:v>
      </x:c>
      <x:c r="H327" s="48" t="str">
        <x:v>LOWER_MID_LT_2B</x:v>
      </x:c>
      <x:c r="I327" s="48" t="str">
        <x:v>8</x:v>
      </x:c>
      <x:c r="J327" s="48" t="str">
        <x:v>3</x:v>
      </x:c>
      <x:c r="K327" s="48" t="str">
        <x:v>1</x:v>
      </x:c>
      <x:c r="L327" s="48" t="str">
        <x:v>0</x:v>
      </x:c>
      <x:c r="M327" s="48" t="str">
        <x:v>3</x:v>
      </x:c>
      <x:c r="N327" s="48" t="str">
        <x:v>5</x:v>
      </x:c>
      <x:c r="O327" s="48" t="str">
        <x:v>0</x:v>
      </x:c>
      <x:c r="P327" s="48" t="str">
        <x:v>0</x:v>
      </x:c>
      <x:c r="Q327" s="48" t="str">
        <x:v>1.000</x:v>
      </x:c>
      <x:c r="R327" s="48" t="str">
        <x:v>N TOO SMALL</x:v>
      </x:c>
      <x:c r="S327" s="48" t="str"/>
      <x:c r="T327" s="48" t="str">
        <x:v>LARGE_2_TO_LT_5B:N=5,p=1.000</x:v>
      </x:c>
      <x:c r="U327" s="48" t="str">
        <x:v>Fewer than two driver groups have at least 5 observable manager families.</x:v>
      </x:c>
      <x:c r="V327" s="48" t="str">
        <x:v>At least 5 observable manager families in at least 2 driver groups</x:v>
      </x:c>
      <x:c r="W327" s="48" t="str">
        <x:v>&gt;=0.35 separates; &lt;=0.15 does not separate; intermediate is inconclusive/confounded; direct driver-definition tests are CIRCULAR</x:v>
      </x:c>
      <x:c r="X327" s="48" t="str">
        <x:v>MANAGER_SELF_DESCRIPTION; NOT BEHAVIOURAL FREQUENCY</x:v>
      </x:c>
    </x:row>
    <x:row r="328">
      <x:c r="A328" s="48" t="str">
        <x:v>B_GOVERNANCE_SEGMENTATION</x:v>
      </x:c>
      <x:c r="B328" s="48" t="str">
        <x:v>Tier B v1.1 - N=29 rerun</x:v>
      </x:c>
      <x:c r="C328" s="48" t="str">
        <x:v>2026-07-16</x:v>
      </x:c>
      <x:c r="D328" s="48" t="str">
        <x:v>D03</x:v>
      </x:c>
      <x:c r="E328" s="48" t="str">
        <x:v>DILIGENCE_ORGANIZATION</x:v>
      </x:c>
      <x:c r="F328" s="48" t="str">
        <x:v>Major external adviser work principally after exclusivity or LOI</x:v>
      </x:c>
      <x:c r="G328" s="48" t="str">
        <x:v>fund_size_archetype</x:v>
      </x:c>
      <x:c r="H328" s="48" t="str">
        <x:v>MEGA_GE_5B</x:v>
      </x:c>
      <x:c r="I328" s="48" t="str">
        <x:v>11</x:v>
      </x:c>
      <x:c r="J328" s="48" t="str">
        <x:v>0</x:v>
      </x:c>
      <x:c r="K328" s="48" t="str">
        <x:v>0</x:v>
      </x:c>
      <x:c r="L328" s="48" t="str">
        <x:v>0</x:v>
      </x:c>
      <x:c r="M328" s="48" t="str">
        <x:v>0</x:v>
      </x:c>
      <x:c r="N328" s="48" t="str">
        <x:v>11</x:v>
      </x:c>
      <x:c r="O328" s="48" t="str">
        <x:v>0</x:v>
      </x:c>
      <x:c r="P328" s="48" t="str">
        <x:v>0</x:v>
      </x:c>
      <x:c r="Q328" s="48" t="str"/>
      <x:c r="R328" s="48" t="str">
        <x:v>N TOO SMALL</x:v>
      </x:c>
      <x:c r="S328" s="48" t="str"/>
      <x:c r="T328" s="48" t="str">
        <x:v>LARGE_2_TO_LT_5B:N=5,p=1.000</x:v>
      </x:c>
      <x:c r="U328" s="48" t="str">
        <x:v>Fewer than two driver groups have at least 5 observable manager families.</x:v>
      </x:c>
      <x:c r="V328" s="48" t="str">
        <x:v>At least 5 observable manager families in at least 2 driver groups</x:v>
      </x:c>
      <x:c r="W328" s="48" t="str">
        <x:v>&gt;=0.35 separates; &lt;=0.15 does not separate; intermediate is inconclusive/confounded; direct driver-definition tests are CIRCULAR</x:v>
      </x:c>
      <x:c r="X328" s="48" t="str">
        <x:v>MANAGER_SELF_DESCRIPTION; NOT BEHAVIOURAL FREQUENCY</x:v>
      </x:c>
    </x:row>
    <x:row r="329">
      <x:c r="A329" s="48" t="str">
        <x:v>B_GOVERNANCE_SEGMENTATION</x:v>
      </x:c>
      <x:c r="B329" s="48" t="str">
        <x:v>Tier B v1.1 - N=29 rerun</x:v>
      </x:c>
      <x:c r="C329" s="48" t="str">
        <x:v>2026-07-16</x:v>
      </x:c>
      <x:c r="D329" s="48" t="str">
        <x:v>D03</x:v>
      </x:c>
      <x:c r="E329" s="48" t="str">
        <x:v>DILIGENCE_ORGANIZATION</x:v>
      </x:c>
      <x:c r="F329" s="48" t="str">
        <x:v>Major external adviser work principally after exclusivity or LOI</x:v>
      </x:c>
      <x:c r="G329" s="48" t="str">
        <x:v>fund_size_archetype</x:v>
      </x:c>
      <x:c r="H329" s="48" t="str">
        <x:v>NOT_APPLICABLE</x:v>
      </x:c>
      <x:c r="I329" s="48" t="str">
        <x:v>1</x:v>
      </x:c>
      <x:c r="J329" s="48" t="str">
        <x:v>1</x:v>
      </x:c>
      <x:c r="K329" s="48" t="str">
        <x:v>1</x:v>
      </x:c>
      <x:c r="L329" s="48" t="str">
        <x:v>0</x:v>
      </x:c>
      <x:c r="M329" s="48" t="str">
        <x:v>1</x:v>
      </x:c>
      <x:c r="N329" s="48" t="str">
        <x:v>0</x:v>
      </x:c>
      <x:c r="O329" s="48" t="str">
        <x:v>0</x:v>
      </x:c>
      <x:c r="P329" s="48" t="str">
        <x:v>0</x:v>
      </x:c>
      <x:c r="Q329" s="48" t="str">
        <x:v>1.000</x:v>
      </x:c>
      <x:c r="R329" s="48" t="str">
        <x:v>N TOO SMALL</x:v>
      </x:c>
      <x:c r="S329" s="48" t="str"/>
      <x:c r="T329" s="48" t="str">
        <x:v>LARGE_2_TO_LT_5B:N=5,p=1.000</x:v>
      </x:c>
      <x:c r="U329" s="48" t="str">
        <x:v>Fewer than two driver groups have at least 5 observable manager families.</x:v>
      </x:c>
      <x:c r="V329" s="48" t="str">
        <x:v>At least 5 observable manager families in at least 2 driver groups</x:v>
      </x:c>
      <x:c r="W329" s="48" t="str">
        <x:v>&gt;=0.35 separates; &lt;=0.15 does not separate; intermediate is inconclusive/confounded; direct driver-definition tests are CIRCULAR</x:v>
      </x:c>
      <x:c r="X329" s="48" t="str">
        <x:v>MANAGER_SELF_DESCRIPTION; NOT BEHAVIOURAL FREQUENCY</x:v>
      </x:c>
    </x:row>
    <x:row r="330">
      <x:c r="A330" s="48" t="str">
        <x:v>B_GOVERNANCE_SEGMENTATION</x:v>
      </x:c>
      <x:c r="B330" s="48" t="str">
        <x:v>Tier B v1.1 - N=29 rerun</x:v>
      </x:c>
      <x:c r="C330" s="48" t="str">
        <x:v>2026-07-16</x:v>
      </x:c>
      <x:c r="D330" s="48" t="str">
        <x:v>D03</x:v>
      </x:c>
      <x:c r="E330" s="48" t="str">
        <x:v>DILIGENCE_ORGANIZATION</x:v>
      </x:c>
      <x:c r="F330" s="48" t="str">
        <x:v>Major external adviser work principally after exclusivity or LOI</x:v>
      </x:c>
      <x:c r="G330" s="48" t="str">
        <x:v>strategy</x:v>
      </x:c>
      <x:c r="H330" s="48" t="str">
        <x:v>CONTROL_BUYOUT</x:v>
      </x:c>
      <x:c r="I330" s="48" t="str">
        <x:v>22</x:v>
      </x:c>
      <x:c r="J330" s="48" t="str">
        <x:v>6</x:v>
      </x:c>
      <x:c r="K330" s="48" t="str">
        <x:v>2</x:v>
      </x:c>
      <x:c r="L330" s="48" t="str">
        <x:v>0</x:v>
      </x:c>
      <x:c r="M330" s="48" t="str">
        <x:v>6</x:v>
      </x:c>
      <x:c r="N330" s="48" t="str">
        <x:v>16</x:v>
      </x:c>
      <x:c r="O330" s="48" t="str">
        <x:v>0</x:v>
      </x:c>
      <x:c r="P330" s="48" t="str">
        <x:v>0</x:v>
      </x:c>
      <x:c r="Q330" s="48" t="str">
        <x:v>1.000</x:v>
      </x:c>
      <x:c r="R330" s="48" t="str">
        <x:v>N TOO SMALL</x:v>
      </x:c>
      <x:c r="S330" s="48" t="str"/>
      <x:c r="T330" s="48" t="str">
        <x:v>CONTROL_BUYOUT:N=6,p=1.000</x:v>
      </x:c>
      <x:c r="U330" s="48" t="str">
        <x:v>Fewer than two driver groups have at least 5 observable manager families.</x:v>
      </x:c>
      <x:c r="V330" s="48" t="str">
        <x:v>At least 5 observable manager families in at least 2 driver groups</x:v>
      </x:c>
      <x:c r="W330" s="48" t="str">
        <x:v>&gt;=0.35 separates; &lt;=0.15 does not separate; intermediate is inconclusive/confounded; direct driver-definition tests are CIRCULAR</x:v>
      </x:c>
      <x:c r="X330" s="48" t="str">
        <x:v>MANAGER_SELF_DESCRIPTION; NOT BEHAVIOURAL FREQUENCY</x:v>
      </x:c>
    </x:row>
    <x:row r="331">
      <x:c r="A331" s="48" t="str">
        <x:v>B_GOVERNANCE_SEGMENTATION</x:v>
      </x:c>
      <x:c r="B331" s="48" t="str">
        <x:v>Tier B v1.1 - N=29 rerun</x:v>
      </x:c>
      <x:c r="C331" s="48" t="str">
        <x:v>2026-07-16</x:v>
      </x:c>
      <x:c r="D331" s="48" t="str">
        <x:v>D03</x:v>
      </x:c>
      <x:c r="E331" s="48" t="str">
        <x:v>DILIGENCE_ORGANIZATION</x:v>
      </x:c>
      <x:c r="F331" s="48" t="str">
        <x:v>Major external adviser work principally after exclusivity or LOI</x:v>
      </x:c>
      <x:c r="G331" s="48" t="str">
        <x:v>strategy</x:v>
      </x:c>
      <x:c r="H331" s="48" t="str">
        <x:v>GROWTH_CONTROL_HYBRID</x:v>
      </x:c>
      <x:c r="I331" s="48" t="str">
        <x:v>6</x:v>
      </x:c>
      <x:c r="J331" s="48" t="str">
        <x:v>3</x:v>
      </x:c>
      <x:c r="K331" s="48" t="str">
        <x:v>1</x:v>
      </x:c>
      <x:c r="L331" s="48" t="str">
        <x:v>0</x:v>
      </x:c>
      <x:c r="M331" s="48" t="str">
        <x:v>3</x:v>
      </x:c>
      <x:c r="N331" s="48" t="str">
        <x:v>3</x:v>
      </x:c>
      <x:c r="O331" s="48" t="str">
        <x:v>0</x:v>
      </x:c>
      <x:c r="P331" s="48" t="str">
        <x:v>0</x:v>
      </x:c>
      <x:c r="Q331" s="48" t="str">
        <x:v>1.000</x:v>
      </x:c>
      <x:c r="R331" s="48" t="str">
        <x:v>N TOO SMALL</x:v>
      </x:c>
      <x:c r="S331" s="48" t="str"/>
      <x:c r="T331" s="48" t="str">
        <x:v>CONTROL_BUYOUT:N=6,p=1.000</x:v>
      </x:c>
      <x:c r="U331" s="48" t="str">
        <x:v>Fewer than two driver groups have at least 5 observable manager families.</x:v>
      </x:c>
      <x:c r="V331" s="48" t="str">
        <x:v>At least 5 observable manager families in at least 2 driver groups</x:v>
      </x:c>
      <x:c r="W331" s="48" t="str">
        <x:v>&gt;=0.35 separates; &lt;=0.15 does not separate; intermediate is inconclusive/confounded; direct driver-definition tests are CIRCULAR</x:v>
      </x:c>
      <x:c r="X331" s="48" t="str">
        <x:v>MANAGER_SELF_DESCRIPTION; NOT BEHAVIOURAL FREQUENCY</x:v>
      </x:c>
    </x:row>
    <x:row r="332">
      <x:c r="A332" s="48" t="str">
        <x:v>B_GOVERNANCE_SEGMENTATION</x:v>
      </x:c>
      <x:c r="B332" s="48" t="str">
        <x:v>Tier B v1.1 - N=29 rerun</x:v>
      </x:c>
      <x:c r="C332" s="48" t="str">
        <x:v>2026-07-16</x:v>
      </x:c>
      <x:c r="D332" s="48" t="str">
        <x:v>D03</x:v>
      </x:c>
      <x:c r="E332" s="48" t="str">
        <x:v>DILIGENCE_ORGANIZATION</x:v>
      </x:c>
      <x:c r="F332" s="48" t="str">
        <x:v>Major external adviser work principally after exclusivity or LOI</x:v>
      </x:c>
      <x:c r="G332" s="48" t="str">
        <x:v>strategy</x:v>
      </x:c>
      <x:c r="H332" s="48" t="str">
        <x:v>OPPORTUNISTIC_CONTROL</x:v>
      </x:c>
      <x:c r="I332" s="48" t="str">
        <x:v>1</x:v>
      </x:c>
      <x:c r="J332" s="48" t="str">
        <x:v>0</x:v>
      </x:c>
      <x:c r="K332" s="48" t="str">
        <x:v>0</x:v>
      </x:c>
      <x:c r="L332" s="48" t="str">
        <x:v>0</x:v>
      </x:c>
      <x:c r="M332" s="48" t="str">
        <x:v>0</x:v>
      </x:c>
      <x:c r="N332" s="48" t="str">
        <x:v>1</x:v>
      </x:c>
      <x:c r="O332" s="48" t="str">
        <x:v>0</x:v>
      </x:c>
      <x:c r="P332" s="48" t="str">
        <x:v>0</x:v>
      </x:c>
      <x:c r="Q332" s="48" t="str"/>
      <x:c r="R332" s="48" t="str">
        <x:v>N TOO SMALL</x:v>
      </x:c>
      <x:c r="S332" s="48" t="str"/>
      <x:c r="T332" s="48" t="str">
        <x:v>CONTROL_BUYOUT:N=6,p=1.000</x:v>
      </x:c>
      <x:c r="U332" s="48" t="str">
        <x:v>Fewer than two driver groups have at least 5 observable manager families.</x:v>
      </x:c>
      <x:c r="V332" s="48" t="str">
        <x:v>At least 5 observable manager families in at least 2 driver groups</x:v>
      </x:c>
      <x:c r="W332" s="48" t="str">
        <x:v>&gt;=0.35 separates; &lt;=0.15 does not separate; intermediate is inconclusive/confounded; direct driver-definition tests are CIRCULAR</x:v>
      </x:c>
      <x:c r="X332" s="48" t="str">
        <x:v>MANAGER_SELF_DESCRIPTION; NOT BEHAVIOURAL FREQUENCY</x:v>
      </x:c>
    </x:row>
    <x:row r="333">
      <x:c r="A333" s="48" t="str">
        <x:v>B_GOVERNANCE_SEGMENTATION</x:v>
      </x:c>
      <x:c r="B333" s="48" t="str">
        <x:v>Tier B v1.1 - N=29 rerun</x:v>
      </x:c>
      <x:c r="C333" s="48" t="str">
        <x:v>2026-07-16</x:v>
      </x:c>
      <x:c r="D333" s="48" t="str">
        <x:v>D03</x:v>
      </x:c>
      <x:c r="E333" s="48" t="str">
        <x:v>DILIGENCE_ORGANIZATION</x:v>
      </x:c>
      <x:c r="F333" s="48" t="str">
        <x:v>Major external adviser work principally after exclusivity or LOI</x:v>
      </x:c>
      <x:c r="G333" s="48" t="str">
        <x:v>geography</x:v>
      </x:c>
      <x:c r="H333" s="48" t="str">
        <x:v>ASIA_PACIFIC</x:v>
      </x:c>
      <x:c r="I333" s="48" t="str">
        <x:v>4</x:v>
      </x:c>
      <x:c r="J333" s="48" t="str">
        <x:v>1</x:v>
      </x:c>
      <x:c r="K333" s="48" t="str">
        <x:v>0</x:v>
      </x:c>
      <x:c r="L333" s="48" t="str">
        <x:v>0</x:v>
      </x:c>
      <x:c r="M333" s="48" t="str">
        <x:v>1</x:v>
      </x:c>
      <x:c r="N333" s="48" t="str">
        <x:v>3</x:v>
      </x:c>
      <x:c r="O333" s="48" t="str">
        <x:v>0</x:v>
      </x:c>
      <x:c r="P333" s="48" t="str">
        <x:v>0</x:v>
      </x:c>
      <x:c r="Q333" s="48" t="str">
        <x:v>1.000</x:v>
      </x:c>
      <x:c r="R333" s="48" t="str">
        <x:v>N TOO SMALL</x:v>
      </x:c>
      <x:c r="S333" s="48" t="str"/>
      <x:c r="T333" s="48" t="str">
        <x:v>NORTH_AMERICA:N=6,p=1.000</x:v>
      </x:c>
      <x:c r="U333" s="48" t="str">
        <x:v>Fewer than two driver groups have at least 5 observable manager families.</x:v>
      </x:c>
      <x:c r="V333" s="48" t="str">
        <x:v>At least 5 observable manager families in at least 2 driver groups</x:v>
      </x:c>
      <x:c r="W333" s="48" t="str">
        <x:v>&gt;=0.35 separates; &lt;=0.15 does not separate; intermediate is inconclusive/confounded; direct driver-definition tests are CIRCULAR</x:v>
      </x:c>
      <x:c r="X333" s="48" t="str">
        <x:v>MANAGER_SELF_DESCRIPTION; NOT BEHAVIOURAL FREQUENCY</x:v>
      </x:c>
    </x:row>
    <x:row r="334">
      <x:c r="A334" s="48" t="str">
        <x:v>B_GOVERNANCE_SEGMENTATION</x:v>
      </x:c>
      <x:c r="B334" s="48" t="str">
        <x:v>Tier B v1.1 - N=29 rerun</x:v>
      </x:c>
      <x:c r="C334" s="48" t="str">
        <x:v>2026-07-16</x:v>
      </x:c>
      <x:c r="D334" s="48" t="str">
        <x:v>D03</x:v>
      </x:c>
      <x:c r="E334" s="48" t="str">
        <x:v>DILIGENCE_ORGANIZATION</x:v>
      </x:c>
      <x:c r="F334" s="48" t="str">
        <x:v>Major external adviser work principally after exclusivity or LOI</x:v>
      </x:c>
      <x:c r="G334" s="48" t="str">
        <x:v>geography</x:v>
      </x:c>
      <x:c r="H334" s="48" t="str">
        <x:v>EUROPE</x:v>
      </x:c>
      <x:c r="I334" s="48" t="str">
        <x:v>2</x:v>
      </x:c>
      <x:c r="J334" s="48" t="str">
        <x:v>1</x:v>
      </x:c>
      <x:c r="K334" s="48" t="str">
        <x:v>1</x:v>
      </x:c>
      <x:c r="L334" s="48" t="str">
        <x:v>0</x:v>
      </x:c>
      <x:c r="M334" s="48" t="str">
        <x:v>1</x:v>
      </x:c>
      <x:c r="N334" s="48" t="str">
        <x:v>1</x:v>
      </x:c>
      <x:c r="O334" s="48" t="str">
        <x:v>0</x:v>
      </x:c>
      <x:c r="P334" s="48" t="str">
        <x:v>0</x:v>
      </x:c>
      <x:c r="Q334" s="48" t="str">
        <x:v>1.000</x:v>
      </x:c>
      <x:c r="R334" s="48" t="str">
        <x:v>N TOO SMALL</x:v>
      </x:c>
      <x:c r="S334" s="48" t="str"/>
      <x:c r="T334" s="48" t="str">
        <x:v>NORTH_AMERICA:N=6,p=1.000</x:v>
      </x:c>
      <x:c r="U334" s="48" t="str">
        <x:v>Fewer than two driver groups have at least 5 observable manager families.</x:v>
      </x:c>
      <x:c r="V334" s="48" t="str">
        <x:v>At least 5 observable manager families in at least 2 driver groups</x:v>
      </x:c>
      <x:c r="W334" s="48" t="str">
        <x:v>&gt;=0.35 separates; &lt;=0.15 does not separate; intermediate is inconclusive/confounded; direct driver-definition tests are CIRCULAR</x:v>
      </x:c>
      <x:c r="X334" s="48" t="str">
        <x:v>MANAGER_SELF_DESCRIPTION; NOT BEHAVIOURAL FREQUENCY</x:v>
      </x:c>
    </x:row>
    <x:row r="335">
      <x:c r="A335" s="48" t="str">
        <x:v>B_GOVERNANCE_SEGMENTATION</x:v>
      </x:c>
      <x:c r="B335" s="48" t="str">
        <x:v>Tier B v1.1 - N=29 rerun</x:v>
      </x:c>
      <x:c r="C335" s="48" t="str">
        <x:v>2026-07-16</x:v>
      </x:c>
      <x:c r="D335" s="48" t="str">
        <x:v>D03</x:v>
      </x:c>
      <x:c r="E335" s="48" t="str">
        <x:v>DILIGENCE_ORGANIZATION</x:v>
      </x:c>
      <x:c r="F335" s="48" t="str">
        <x:v>Major external adviser work principally after exclusivity or LOI</x:v>
      </x:c>
      <x:c r="G335" s="48" t="str">
        <x:v>geography</x:v>
      </x:c>
      <x:c r="H335" s="48" t="str">
        <x:v>GLOBAL_TRANSATLANTIC</x:v>
      </x:c>
      <x:c r="I335" s="48" t="str">
        <x:v>10</x:v>
      </x:c>
      <x:c r="J335" s="48" t="str">
        <x:v>1</x:v>
      </x:c>
      <x:c r="K335" s="48" t="str">
        <x:v>0</x:v>
      </x:c>
      <x:c r="L335" s="48" t="str">
        <x:v>0</x:v>
      </x:c>
      <x:c r="M335" s="48" t="str">
        <x:v>1</x:v>
      </x:c>
      <x:c r="N335" s="48" t="str">
        <x:v>9</x:v>
      </x:c>
      <x:c r="O335" s="48" t="str">
        <x:v>0</x:v>
      </x:c>
      <x:c r="P335" s="48" t="str">
        <x:v>0</x:v>
      </x:c>
      <x:c r="Q335" s="48" t="str">
        <x:v>1.000</x:v>
      </x:c>
      <x:c r="R335" s="48" t="str">
        <x:v>N TOO SMALL</x:v>
      </x:c>
      <x:c r="S335" s="48" t="str"/>
      <x:c r="T335" s="48" t="str">
        <x:v>NORTH_AMERICA:N=6,p=1.000</x:v>
      </x:c>
      <x:c r="U335" s="48" t="str">
        <x:v>Fewer than two driver groups have at least 5 observable manager families.</x:v>
      </x:c>
      <x:c r="V335" s="48" t="str">
        <x:v>At least 5 observable manager families in at least 2 driver groups</x:v>
      </x:c>
      <x:c r="W335" s="48" t="str">
        <x:v>&gt;=0.35 separates; &lt;=0.15 does not separate; intermediate is inconclusive/confounded; direct driver-definition tests are CIRCULAR</x:v>
      </x:c>
      <x:c r="X335" s="48" t="str">
        <x:v>MANAGER_SELF_DESCRIPTION; NOT BEHAVIOURAL FREQUENCY</x:v>
      </x:c>
    </x:row>
    <x:row r="336">
      <x:c r="A336" s="48" t="str">
        <x:v>B_GOVERNANCE_SEGMENTATION</x:v>
      </x:c>
      <x:c r="B336" s="48" t="str">
        <x:v>Tier B v1.1 - N=29 rerun</x:v>
      </x:c>
      <x:c r="C336" s="48" t="str">
        <x:v>2026-07-16</x:v>
      </x:c>
      <x:c r="D336" s="48" t="str">
        <x:v>D03</x:v>
      </x:c>
      <x:c r="E336" s="48" t="str">
        <x:v>DILIGENCE_ORGANIZATION</x:v>
      </x:c>
      <x:c r="F336" s="48" t="str">
        <x:v>Major external adviser work principally after exclusivity or LOI</x:v>
      </x:c>
      <x:c r="G336" s="48" t="str">
        <x:v>geography</x:v>
      </x:c>
      <x:c r="H336" s="48" t="str">
        <x:v>NORTH_AMERICA</x:v>
      </x:c>
      <x:c r="I336" s="48" t="str">
        <x:v>13</x:v>
      </x:c>
      <x:c r="J336" s="48" t="str">
        <x:v>6</x:v>
      </x:c>
      <x:c r="K336" s="48" t="str">
        <x:v>2</x:v>
      </x:c>
      <x:c r="L336" s="48" t="str">
        <x:v>0</x:v>
      </x:c>
      <x:c r="M336" s="48" t="str">
        <x:v>6</x:v>
      </x:c>
      <x:c r="N336" s="48" t="str">
        <x:v>7</x:v>
      </x:c>
      <x:c r="O336" s="48" t="str">
        <x:v>0</x:v>
      </x:c>
      <x:c r="P336" s="48" t="str">
        <x:v>0</x:v>
      </x:c>
      <x:c r="Q336" s="48" t="str">
        <x:v>1.000</x:v>
      </x:c>
      <x:c r="R336" s="48" t="str">
        <x:v>N TOO SMALL</x:v>
      </x:c>
      <x:c r="S336" s="48" t="str"/>
      <x:c r="T336" s="48" t="str">
        <x:v>NORTH_AMERICA:N=6,p=1.000</x:v>
      </x:c>
      <x:c r="U336" s="48" t="str">
        <x:v>Fewer than two driver groups have at least 5 observable manager families.</x:v>
      </x:c>
      <x:c r="V336" s="48" t="str">
        <x:v>At least 5 observable manager families in at least 2 driver groups</x:v>
      </x:c>
      <x:c r="W336" s="48" t="str">
        <x:v>&gt;=0.35 separates; &lt;=0.15 does not separate; intermediate is inconclusive/confounded; direct driver-definition tests are CIRCULAR</x:v>
      </x:c>
      <x:c r="X336" s="48" t="str">
        <x:v>MANAGER_SELF_DESCRIPTION; NOT BEHAVIOURAL FREQUENCY</x:v>
      </x:c>
    </x:row>
    <x:row r="337">
      <x:c r="A337" s="48" t="str">
        <x:v>B_GOVERNANCE_SEGMENTATION</x:v>
      </x:c>
      <x:c r="B337" s="48" t="str">
        <x:v>Tier B v1.1 - N=29 rerun</x:v>
      </x:c>
      <x:c r="C337" s="48" t="str">
        <x:v>2026-07-16</x:v>
      </x:c>
      <x:c r="D337" s="48" t="str">
        <x:v>D03</x:v>
      </x:c>
      <x:c r="E337" s="48" t="str">
        <x:v>DILIGENCE_ORGANIZATION</x:v>
      </x:c>
      <x:c r="F337" s="48" t="str">
        <x:v>Major external adviser work principally after exclusivity or LOI</x:v>
      </x:c>
      <x:c r="G337" s="48" t="str">
        <x:v>source_vintage_bin</x:v>
      </x:c>
      <x:c r="H337" s="48" t="str">
        <x:v>2018_2020</x:v>
      </x:c>
      <x:c r="I337" s="48" t="str">
        <x:v>6</x:v>
      </x:c>
      <x:c r="J337" s="48" t="str">
        <x:v>1</x:v>
      </x:c>
      <x:c r="K337" s="48" t="str">
        <x:v>0</x:v>
      </x:c>
      <x:c r="L337" s="48" t="str">
        <x:v>0</x:v>
      </x:c>
      <x:c r="M337" s="48" t="str">
        <x:v>1</x:v>
      </x:c>
      <x:c r="N337" s="48" t="str">
        <x:v>5</x:v>
      </x:c>
      <x:c r="O337" s="48" t="str">
        <x:v>0</x:v>
      </x:c>
      <x:c r="P337" s="48" t="str">
        <x:v>0</x:v>
      </x:c>
      <x:c r="Q337" s="48" t="str">
        <x:v>1.000</x:v>
      </x:c>
      <x:c r="R337" s="48" t="str">
        <x:v>N TOO SMALL</x:v>
      </x:c>
      <x:c r="S337" s="48" t="str"/>
      <x:c r="T337" s="48" t="str">
        <x:v>2024_2026:N=6,p=1.000</x:v>
      </x:c>
      <x:c r="U337" s="48" t="str">
        <x:v>Fewer than two driver groups have at least 5 observable manager families.</x:v>
      </x:c>
      <x:c r="V337" s="48" t="str">
        <x:v>At least 5 observable manager families in at least 2 driver groups</x:v>
      </x:c>
      <x:c r="W337" s="48" t="str">
        <x:v>&gt;=0.35 separates; &lt;=0.15 does not separate; intermediate is inconclusive/confounded; direct driver-definition tests are CIRCULAR</x:v>
      </x:c>
      <x:c r="X337" s="48" t="str">
        <x:v>MANAGER_SELF_DESCRIPTION; NOT BEHAVIOURAL FREQUENCY</x:v>
      </x:c>
    </x:row>
    <x:row r="338">
      <x:c r="A338" s="48" t="str">
        <x:v>B_GOVERNANCE_SEGMENTATION</x:v>
      </x:c>
      <x:c r="B338" s="48" t="str">
        <x:v>Tier B v1.1 - N=29 rerun</x:v>
      </x:c>
      <x:c r="C338" s="48" t="str">
        <x:v>2026-07-16</x:v>
      </x:c>
      <x:c r="D338" s="48" t="str">
        <x:v>D03</x:v>
      </x:c>
      <x:c r="E338" s="48" t="str">
        <x:v>DILIGENCE_ORGANIZATION</x:v>
      </x:c>
      <x:c r="F338" s="48" t="str">
        <x:v>Major external adviser work principally after exclusivity or LOI</x:v>
      </x:c>
      <x:c r="G338" s="48" t="str">
        <x:v>source_vintage_bin</x:v>
      </x:c>
      <x:c r="H338" s="48" t="str">
        <x:v>2021_2023</x:v>
      </x:c>
      <x:c r="I338" s="48" t="str">
        <x:v>11</x:v>
      </x:c>
      <x:c r="J338" s="48" t="str">
        <x:v>2</x:v>
      </x:c>
      <x:c r="K338" s="48" t="str">
        <x:v>1</x:v>
      </x:c>
      <x:c r="L338" s="48" t="str">
        <x:v>0</x:v>
      </x:c>
      <x:c r="M338" s="48" t="str">
        <x:v>2</x:v>
      </x:c>
      <x:c r="N338" s="48" t="str">
        <x:v>9</x:v>
      </x:c>
      <x:c r="O338" s="48" t="str">
        <x:v>0</x:v>
      </x:c>
      <x:c r="P338" s="48" t="str">
        <x:v>0</x:v>
      </x:c>
      <x:c r="Q338" s="48" t="str">
        <x:v>1.000</x:v>
      </x:c>
      <x:c r="R338" s="48" t="str">
        <x:v>N TOO SMALL</x:v>
      </x:c>
      <x:c r="S338" s="48" t="str"/>
      <x:c r="T338" s="48" t="str">
        <x:v>2024_2026:N=6,p=1.000</x:v>
      </x:c>
      <x:c r="U338" s="48" t="str">
        <x:v>Fewer than two driver groups have at least 5 observable manager families.</x:v>
      </x:c>
      <x:c r="V338" s="48" t="str">
        <x:v>At least 5 observable manager families in at least 2 driver groups</x:v>
      </x:c>
      <x:c r="W338" s="48" t="str">
        <x:v>&gt;=0.35 separates; &lt;=0.15 does not separate; intermediate is inconclusive/confounded; direct driver-definition tests are CIRCULAR</x:v>
      </x:c>
      <x:c r="X338" s="48" t="str">
        <x:v>MANAGER_SELF_DESCRIPTION; NOT BEHAVIOURAL FREQUENCY</x:v>
      </x:c>
    </x:row>
    <x:row r="339">
      <x:c r="A339" s="48" t="str">
        <x:v>B_GOVERNANCE_SEGMENTATION</x:v>
      </x:c>
      <x:c r="B339" s="48" t="str">
        <x:v>Tier B v1.1 - N=29 rerun</x:v>
      </x:c>
      <x:c r="C339" s="48" t="str">
        <x:v>2026-07-16</x:v>
      </x:c>
      <x:c r="D339" s="48" t="str">
        <x:v>D03</x:v>
      </x:c>
      <x:c r="E339" s="48" t="str">
        <x:v>DILIGENCE_ORGANIZATION</x:v>
      </x:c>
      <x:c r="F339" s="48" t="str">
        <x:v>Major external adviser work principally after exclusivity or LOI</x:v>
      </x:c>
      <x:c r="G339" s="48" t="str">
        <x:v>source_vintage_bin</x:v>
      </x:c>
      <x:c r="H339" s="48" t="str">
        <x:v>2024_2026</x:v>
      </x:c>
      <x:c r="I339" s="48" t="str">
        <x:v>12</x:v>
      </x:c>
      <x:c r="J339" s="48" t="str">
        <x:v>6</x:v>
      </x:c>
      <x:c r="K339" s="48" t="str">
        <x:v>2</x:v>
      </x:c>
      <x:c r="L339" s="48" t="str">
        <x:v>0</x:v>
      </x:c>
      <x:c r="M339" s="48" t="str">
        <x:v>6</x:v>
      </x:c>
      <x:c r="N339" s="48" t="str">
        <x:v>6</x:v>
      </x:c>
      <x:c r="O339" s="48" t="str">
        <x:v>0</x:v>
      </x:c>
      <x:c r="P339" s="48" t="str">
        <x:v>0</x:v>
      </x:c>
      <x:c r="Q339" s="48" t="str">
        <x:v>1.000</x:v>
      </x:c>
      <x:c r="R339" s="48" t="str">
        <x:v>N TOO SMALL</x:v>
      </x:c>
      <x:c r="S339" s="48" t="str"/>
      <x:c r="T339" s="48" t="str">
        <x:v>2024_2026:N=6,p=1.000</x:v>
      </x:c>
      <x:c r="U339" s="48" t="str">
        <x:v>Fewer than two driver groups have at least 5 observable manager families.</x:v>
      </x:c>
      <x:c r="V339" s="48" t="str">
        <x:v>At least 5 observable manager families in at least 2 driver groups</x:v>
      </x:c>
      <x:c r="W339" s="48" t="str">
        <x:v>&gt;=0.35 separates; &lt;=0.15 does not separate; intermediate is inconclusive/confounded; direct driver-definition tests are CIRCULAR</x:v>
      </x:c>
      <x:c r="X339" s="48" t="str">
        <x:v>MANAGER_SELF_DESCRIPTION; NOT BEHAVIOURAL FREQUENCY</x:v>
      </x:c>
    </x:row>
    <x:row r="340">
      <x:c r="A340" s="48" t="str">
        <x:v>B_GOVERNANCE_SEGMENTATION</x:v>
      </x:c>
      <x:c r="B340" s="48" t="str">
        <x:v>Tier B v1.1 - N=29 rerun</x:v>
      </x:c>
      <x:c r="C340" s="48" t="str">
        <x:v>2026-07-16</x:v>
      </x:c>
      <x:c r="D340" s="48" t="str">
        <x:v>D03</x:v>
      </x:c>
      <x:c r="E340" s="48" t="str">
        <x:v>DILIGENCE_ORGANIZATION</x:v>
      </x:c>
      <x:c r="F340" s="48" t="str">
        <x:v>Major external adviser work principally after exclusivity or LOI</x:v>
      </x:c>
      <x:c r="G340" s="48" t="str">
        <x:v>governance_architecture</x:v>
      </x:c>
      <x:c r="H340" s="48" t="str">
        <x:v>IC_FINAL_OR_DE_FACTO</x:v>
      </x:c>
      <x:c r="I340" s="48" t="str">
        <x:v>26</x:v>
      </x:c>
      <x:c r="J340" s="48" t="str">
        <x:v>8</x:v>
      </x:c>
      <x:c r="K340" s="48" t="str">
        <x:v>2</x:v>
      </x:c>
      <x:c r="L340" s="48" t="str">
        <x:v>0</x:v>
      </x:c>
      <x:c r="M340" s="48" t="str">
        <x:v>8</x:v>
      </x:c>
      <x:c r="N340" s="48" t="str">
        <x:v>18</x:v>
      </x:c>
      <x:c r="O340" s="48" t="str">
        <x:v>0</x:v>
      </x:c>
      <x:c r="P340" s="48" t="str">
        <x:v>0</x:v>
      </x:c>
      <x:c r="Q340" s="48" t="str">
        <x:v>1.000</x:v>
      </x:c>
      <x:c r="R340" s="48" t="str">
        <x:v>N TOO SMALL</x:v>
      </x:c>
      <x:c r="S340" s="48" t="str"/>
      <x:c r="T340" s="48" t="str">
        <x:v>IC_FINAL_OR_DE_FACTO:N=8,p=1.000</x:v>
      </x:c>
      <x:c r="U340" s="48" t="str">
        <x:v>Fewer than two driver groups have at least 5 observable manager families.</x:v>
      </x:c>
      <x:c r="V340" s="48" t="str">
        <x:v>At least 5 observable manager families in at least 2 driver groups</x:v>
      </x:c>
      <x:c r="W340" s="48" t="str">
        <x:v>&gt;=0.35 separates; &lt;=0.15 does not separate; intermediate is inconclusive/confounded; direct driver-definition tests are CIRCULAR</x:v>
      </x:c>
      <x:c r="X340" s="48" t="str">
        <x:v>MANAGER_SELF_DESCRIPTION; NOT BEHAVIOURAL FREQUENCY</x:v>
      </x:c>
    </x:row>
    <x:row r="341">
      <x:c r="A341" s="48" t="str">
        <x:v>B_GOVERNANCE_SEGMENTATION</x:v>
      </x:c>
      <x:c r="B341" s="48" t="str">
        <x:v>Tier B v1.1 - N=29 rerun</x:v>
      </x:c>
      <x:c r="C341" s="48" t="str">
        <x:v>2026-07-16</x:v>
      </x:c>
      <x:c r="D341" s="48" t="str">
        <x:v>D03</x:v>
      </x:c>
      <x:c r="E341" s="48" t="str">
        <x:v>DILIGENCE_ORGANIZATION</x:v>
      </x:c>
      <x:c r="F341" s="48" t="str">
        <x:v>Major external adviser work principally after exclusivity or LOI</x:v>
      </x:c>
      <x:c r="G341" s="48" t="str">
        <x:v>governance_architecture</x:v>
      </x:c>
      <x:c r="H341" s="48" t="str">
        <x:v>IC_RECOMMENDS_SEPARATE_FINAL_AUTHORITY</x:v>
      </x:c>
      <x:c r="I341" s="48" t="str">
        <x:v>3</x:v>
      </x:c>
      <x:c r="J341" s="48" t="str">
        <x:v>1</x:v>
      </x:c>
      <x:c r="K341" s="48" t="str">
        <x:v>1</x:v>
      </x:c>
      <x:c r="L341" s="48" t="str">
        <x:v>0</x:v>
      </x:c>
      <x:c r="M341" s="48" t="str">
        <x:v>1</x:v>
      </x:c>
      <x:c r="N341" s="48" t="str">
        <x:v>2</x:v>
      </x:c>
      <x:c r="O341" s="48" t="str">
        <x:v>0</x:v>
      </x:c>
      <x:c r="P341" s="48" t="str">
        <x:v>0</x:v>
      </x:c>
      <x:c r="Q341" s="48" t="str">
        <x:v>1.000</x:v>
      </x:c>
      <x:c r="R341" s="48" t="str">
        <x:v>N TOO SMALL</x:v>
      </x:c>
      <x:c r="S341" s="48" t="str"/>
      <x:c r="T341" s="48" t="str">
        <x:v>IC_FINAL_OR_DE_FACTO:N=8,p=1.000</x:v>
      </x:c>
      <x:c r="U341" s="48" t="str">
        <x:v>Fewer than two driver groups have at least 5 observable manager families.</x:v>
      </x:c>
      <x:c r="V341" s="48" t="str">
        <x:v>At least 5 observable manager families in at least 2 driver groups</x:v>
      </x:c>
      <x:c r="W341" s="48" t="str">
        <x:v>&gt;=0.35 separates; &lt;=0.15 does not separate; intermediate is inconclusive/confounded; direct driver-definition tests are CIRCULAR</x:v>
      </x:c>
      <x:c r="X341" s="48" t="str">
        <x:v>MANAGER_SELF_DESCRIPTION; NOT BEHAVIOURAL FREQUENCY</x:v>
      </x:c>
    </x:row>
    <x:row r="342">
      <x:c r="A342" s="48" t="str">
        <x:v>B_GOVERNANCE_SEGMENTATION</x:v>
      </x:c>
      <x:c r="B342" s="48" t="str">
        <x:v>Tier B v1.1 - N=29 rerun</x:v>
      </x:c>
      <x:c r="C342" s="48" t="str">
        <x:v>2026-07-16</x:v>
      </x:c>
      <x:c r="D342" s="48" t="str">
        <x:v>D03</x:v>
      </x:c>
      <x:c r="E342" s="48" t="str">
        <x:v>DILIGENCE_ORGANIZATION</x:v>
      </x:c>
      <x:c r="F342" s="48" t="str">
        <x:v>Major external adviser work principally after exclusivity or LOI</x:v>
      </x:c>
      <x:c r="G342" s="48" t="str">
        <x:v>dedicated_operating_team</x:v>
      </x:c>
      <x:c r="H342" s="48" t="str">
        <x:v>NO_OR_LIMITED</x:v>
      </x:c>
      <x:c r="I342" s="48" t="str">
        <x:v>6</x:v>
      </x:c>
      <x:c r="J342" s="48" t="str">
        <x:v>3</x:v>
      </x:c>
      <x:c r="K342" s="48" t="str">
        <x:v>1</x:v>
      </x:c>
      <x:c r="L342" s="48" t="str">
        <x:v>0</x:v>
      </x:c>
      <x:c r="M342" s="48" t="str">
        <x:v>3</x:v>
      </x:c>
      <x:c r="N342" s="48" t="str">
        <x:v>3</x:v>
      </x:c>
      <x:c r="O342" s="48" t="str">
        <x:v>0</x:v>
      </x:c>
      <x:c r="P342" s="48" t="str">
        <x:v>0</x:v>
      </x:c>
      <x:c r="Q342" s="48" t="str">
        <x:v>1.000</x:v>
      </x:c>
      <x:c r="R342" s="48" t="str">
        <x:v>N TOO SMALL</x:v>
      </x:c>
      <x:c r="S342" s="48" t="str"/>
      <x:c r="T342" s="48" t="str">
        <x:v>YES_DEDICATED:N=6,p=1.000</x:v>
      </x:c>
      <x:c r="U342" s="48" t="str">
        <x:v>Fewer than two driver groups have at least 5 observable manager families.</x:v>
      </x:c>
      <x:c r="V342" s="48" t="str">
        <x:v>At least 5 observable manager families in at least 2 driver groups</x:v>
      </x:c>
      <x:c r="W342" s="48" t="str">
        <x:v>&gt;=0.35 separates; &lt;=0.15 does not separate; intermediate is inconclusive/confounded; direct driver-definition tests are CIRCULAR</x:v>
      </x:c>
      <x:c r="X342" s="48" t="str">
        <x:v>MANAGER_SELF_DESCRIPTION; NOT BEHAVIOURAL FREQUENCY</x:v>
      </x:c>
    </x:row>
    <x:row r="343">
      <x:c r="A343" s="48" t="str">
        <x:v>B_GOVERNANCE_SEGMENTATION</x:v>
      </x:c>
      <x:c r="B343" s="48" t="str">
        <x:v>Tier B v1.1 - N=29 rerun</x:v>
      </x:c>
      <x:c r="C343" s="48" t="str">
        <x:v>2026-07-16</x:v>
      </x:c>
      <x:c r="D343" s="48" t="str">
        <x:v>D03</x:v>
      </x:c>
      <x:c r="E343" s="48" t="str">
        <x:v>DILIGENCE_ORGANIZATION</x:v>
      </x:c>
      <x:c r="F343" s="48" t="str">
        <x:v>Major external adviser work principally after exclusivity or LOI</x:v>
      </x:c>
      <x:c r="G343" s="48" t="str">
        <x:v>dedicated_operating_team</x:v>
      </x:c>
      <x:c r="H343" s="48" t="str">
        <x:v>YES_DEDICATED</x:v>
      </x:c>
      <x:c r="I343" s="48" t="str">
        <x:v>23</x:v>
      </x:c>
      <x:c r="J343" s="48" t="str">
        <x:v>6</x:v>
      </x:c>
      <x:c r="K343" s="48" t="str">
        <x:v>2</x:v>
      </x:c>
      <x:c r="L343" s="48" t="str">
        <x:v>0</x:v>
      </x:c>
      <x:c r="M343" s="48" t="str">
        <x:v>6</x:v>
      </x:c>
      <x:c r="N343" s="48" t="str">
        <x:v>17</x:v>
      </x:c>
      <x:c r="O343" s="48" t="str">
        <x:v>0</x:v>
      </x:c>
      <x:c r="P343" s="48" t="str">
        <x:v>0</x:v>
      </x:c>
      <x:c r="Q343" s="48" t="str">
        <x:v>1.000</x:v>
      </x:c>
      <x:c r="R343" s="48" t="str">
        <x:v>N TOO SMALL</x:v>
      </x:c>
      <x:c r="S343" s="48" t="str"/>
      <x:c r="T343" s="48" t="str">
        <x:v>YES_DEDICATED:N=6,p=1.000</x:v>
      </x:c>
      <x:c r="U343" s="48" t="str">
        <x:v>Fewer than two driver groups have at least 5 observable manager families.</x:v>
      </x:c>
      <x:c r="V343" s="48" t="str">
        <x:v>At least 5 observable manager families in at least 2 driver groups</x:v>
      </x:c>
      <x:c r="W343" s="48" t="str">
        <x:v>&gt;=0.35 separates; &lt;=0.15 does not separate; intermediate is inconclusive/confounded; direct driver-definition tests are CIRCULAR</x:v>
      </x:c>
      <x:c r="X343" s="48" t="str">
        <x:v>MANAGER_SELF_DESCRIPTION; NOT BEHAVIOURAL FREQUENCY</x:v>
      </x:c>
    </x:row>
    <x:row r="344">
      <x:c r="A344" s="48" t="str">
        <x:v>B_GOVERNANCE_SEGMENTATION</x:v>
      </x:c>
      <x:c r="B344" s="48" t="str">
        <x:v>Tier B v1.1 - N=29 rerun</x:v>
      </x:c>
      <x:c r="C344" s="48" t="str">
        <x:v>2026-07-16</x:v>
      </x:c>
      <x:c r="D344" s="48" t="str">
        <x:v>D04</x:v>
      </x:c>
      <x:c r="E344" s="48" t="str">
        <x:v>DILIGENCE_ORGANIZATION</x:v>
      </x:c>
      <x:c r="F344" s="48" t="str">
        <x:v>Dedicated internal operating team or resources</x:v>
      </x:c>
      <x:c r="G344" s="48" t="str">
        <x:v>fund_size_archetype</x:v>
      </x:c>
      <x:c r="H344" s="48" t="str">
        <x:v>LARGE_2_TO_LT_5B</x:v>
      </x:c>
      <x:c r="I344" s="48" t="str">
        <x:v>9</x:v>
      </x:c>
      <x:c r="J344" s="48" t="str">
        <x:v>9</x:v>
      </x:c>
      <x:c r="K344" s="48" t="str">
        <x:v>0</x:v>
      </x:c>
      <x:c r="L344" s="48" t="str">
        <x:v>0</x:v>
      </x:c>
      <x:c r="M344" s="48" t="str">
        <x:v>9</x:v>
      </x:c>
      <x:c r="N344" s="48" t="str">
        <x:v>0</x:v>
      </x:c>
      <x:c r="O344" s="48" t="str">
        <x:v>0</x:v>
      </x:c>
      <x:c r="P344" s="48" t="str">
        <x:v>0</x:v>
      </x:c>
      <x:c r="Q344" s="48" t="str">
        <x:v>1.000</x:v>
      </x:c>
      <x:c r="R344" s="48" t="str">
        <x:v>DRIVER SEPARATES</x:v>
      </x:c>
      <x:c r="S344" s="48" t="str">
        <x:v>0.625</x:v>
      </x:c>
      <x:c r="T344" s="48" t="str">
        <x:v>LARGE_2_TO_LT_5B:N=9,p=1.000; LOWER_MID_LT_2B:N=8,p=0.375; MEGA_GE_5B:N=11,p=1.000</x:v>
      </x:c>
      <x:c r="U344" s="48" t="str">
        <x:v>Maximum-minus-minimum prevalence among adequately observed groups is at least 0.35.</x:v>
      </x:c>
      <x:c r="V344" s="48" t="str">
        <x:v>At least 5 observable manager families in at least 2 driver groups</x:v>
      </x:c>
      <x:c r="W344" s="48" t="str">
        <x:v>&gt;=0.35 separates; &lt;=0.15 does not separate; intermediate is inconclusive/confounded; direct driver-definition tests are CIRCULAR</x:v>
      </x:c>
      <x:c r="X344" s="48" t="str">
        <x:v>MANAGER_SELF_DESCRIPTION; NOT BEHAVIOURAL FREQUENCY</x:v>
      </x:c>
    </x:row>
    <x:row r="345">
      <x:c r="A345" s="48" t="str">
        <x:v>B_GOVERNANCE_SEGMENTATION</x:v>
      </x:c>
      <x:c r="B345" s="48" t="str">
        <x:v>Tier B v1.1 - N=29 rerun</x:v>
      </x:c>
      <x:c r="C345" s="48" t="str">
        <x:v>2026-07-16</x:v>
      </x:c>
      <x:c r="D345" s="48" t="str">
        <x:v>D04</x:v>
      </x:c>
      <x:c r="E345" s="48" t="str">
        <x:v>DILIGENCE_ORGANIZATION</x:v>
      </x:c>
      <x:c r="F345" s="48" t="str">
        <x:v>Dedicated internal operating team or resources</x:v>
      </x:c>
      <x:c r="G345" s="48" t="str">
        <x:v>fund_size_archetype</x:v>
      </x:c>
      <x:c r="H345" s="48" t="str">
        <x:v>LOWER_MID_LT_2B</x:v>
      </x:c>
      <x:c r="I345" s="48" t="str">
        <x:v>8</x:v>
      </x:c>
      <x:c r="J345" s="48" t="str">
        <x:v>3</x:v>
      </x:c>
      <x:c r="K345" s="48" t="str">
        <x:v>0</x:v>
      </x:c>
      <x:c r="L345" s="48" t="str">
        <x:v>5</x:v>
      </x:c>
      <x:c r="M345" s="48" t="str">
        <x:v>8</x:v>
      </x:c>
      <x:c r="N345" s="48" t="str">
        <x:v>0</x:v>
      </x:c>
      <x:c r="O345" s="48" t="str">
        <x:v>0</x:v>
      </x:c>
      <x:c r="P345" s="48" t="str">
        <x:v>0</x:v>
      </x:c>
      <x:c r="Q345" s="48" t="str">
        <x:v>0.375</x:v>
      </x:c>
      <x:c r="R345" s="48" t="str">
        <x:v>DRIVER SEPARATES</x:v>
      </x:c>
      <x:c r="S345" s="48" t="str">
        <x:v>0.625</x:v>
      </x:c>
      <x:c r="T345" s="48" t="str">
        <x:v>LARGE_2_TO_LT_5B:N=9,p=1.000; LOWER_MID_LT_2B:N=8,p=0.375; MEGA_GE_5B:N=11,p=1.000</x:v>
      </x:c>
      <x:c r="U345" s="48" t="str">
        <x:v>Maximum-minus-minimum prevalence among adequately observed groups is at least 0.35.</x:v>
      </x:c>
      <x:c r="V345" s="48" t="str">
        <x:v>At least 5 observable manager families in at least 2 driver groups</x:v>
      </x:c>
      <x:c r="W345" s="48" t="str">
        <x:v>&gt;=0.35 separates; &lt;=0.15 does not separate; intermediate is inconclusive/confounded; direct driver-definition tests are CIRCULAR</x:v>
      </x:c>
      <x:c r="X345" s="48" t="str">
        <x:v>MANAGER_SELF_DESCRIPTION; NOT BEHAVIOURAL FREQUENCY</x:v>
      </x:c>
    </x:row>
    <x:row r="346">
      <x:c r="A346" s="48" t="str">
        <x:v>B_GOVERNANCE_SEGMENTATION</x:v>
      </x:c>
      <x:c r="B346" s="48" t="str">
        <x:v>Tier B v1.1 - N=29 rerun</x:v>
      </x:c>
      <x:c r="C346" s="48" t="str">
        <x:v>2026-07-16</x:v>
      </x:c>
      <x:c r="D346" s="48" t="str">
        <x:v>D04</x:v>
      </x:c>
      <x:c r="E346" s="48" t="str">
        <x:v>DILIGENCE_ORGANIZATION</x:v>
      </x:c>
      <x:c r="F346" s="48" t="str">
        <x:v>Dedicated internal operating team or resources</x:v>
      </x:c>
      <x:c r="G346" s="48" t="str">
        <x:v>fund_size_archetype</x:v>
      </x:c>
      <x:c r="H346" s="48" t="str">
        <x:v>MEGA_GE_5B</x:v>
      </x:c>
      <x:c r="I346" s="48" t="str">
        <x:v>11</x:v>
      </x:c>
      <x:c r="J346" s="48" t="str">
        <x:v>11</x:v>
      </x:c>
      <x:c r="K346" s="48" t="str">
        <x:v>0</x:v>
      </x:c>
      <x:c r="L346" s="48" t="str">
        <x:v>0</x:v>
      </x:c>
      <x:c r="M346" s="48" t="str">
        <x:v>11</x:v>
      </x:c>
      <x:c r="N346" s="48" t="str">
        <x:v>0</x:v>
      </x:c>
      <x:c r="O346" s="48" t="str">
        <x:v>0</x:v>
      </x:c>
      <x:c r="P346" s="48" t="str">
        <x:v>0</x:v>
      </x:c>
      <x:c r="Q346" s="48" t="str">
        <x:v>1.000</x:v>
      </x:c>
      <x:c r="R346" s="48" t="str">
        <x:v>DRIVER SEPARATES</x:v>
      </x:c>
      <x:c r="S346" s="48" t="str">
        <x:v>0.625</x:v>
      </x:c>
      <x:c r="T346" s="48" t="str">
        <x:v>LARGE_2_TO_LT_5B:N=9,p=1.000; LOWER_MID_LT_2B:N=8,p=0.375; MEGA_GE_5B:N=11,p=1.000</x:v>
      </x:c>
      <x:c r="U346" s="48" t="str">
        <x:v>Maximum-minus-minimum prevalence among adequately observed groups is at least 0.35.</x:v>
      </x:c>
      <x:c r="V346" s="48" t="str">
        <x:v>At least 5 observable manager families in at least 2 driver groups</x:v>
      </x:c>
      <x:c r="W346" s="48" t="str">
        <x:v>&gt;=0.35 separates; &lt;=0.15 does not separate; intermediate is inconclusive/confounded; direct driver-definition tests are CIRCULAR</x:v>
      </x:c>
      <x:c r="X346" s="48" t="str">
        <x:v>MANAGER_SELF_DESCRIPTION; NOT BEHAVIOURAL FREQUENCY</x:v>
      </x:c>
    </x:row>
    <x:row r="347">
      <x:c r="A347" s="48" t="str">
        <x:v>B_GOVERNANCE_SEGMENTATION</x:v>
      </x:c>
      <x:c r="B347" s="48" t="str">
        <x:v>Tier B v1.1 - N=29 rerun</x:v>
      </x:c>
      <x:c r="C347" s="48" t="str">
        <x:v>2026-07-16</x:v>
      </x:c>
      <x:c r="D347" s="48" t="str">
        <x:v>D04</x:v>
      </x:c>
      <x:c r="E347" s="48" t="str">
        <x:v>DILIGENCE_ORGANIZATION</x:v>
      </x:c>
      <x:c r="F347" s="48" t="str">
        <x:v>Dedicated internal operating team or resources</x:v>
      </x:c>
      <x:c r="G347" s="48" t="str">
        <x:v>fund_size_archetype</x:v>
      </x:c>
      <x:c r="H347" s="48" t="str">
        <x:v>NOT_APPLICABLE</x:v>
      </x:c>
      <x:c r="I347" s="48" t="str">
        <x:v>1</x:v>
      </x:c>
      <x:c r="J347" s="48" t="str">
        <x:v>0</x:v>
      </x:c>
      <x:c r="K347" s="48" t="str">
        <x:v>0</x:v>
      </x:c>
      <x:c r="L347" s="48" t="str">
        <x:v>0</x:v>
      </x:c>
      <x:c r="M347" s="48" t="str">
        <x:v>0</x:v>
      </x:c>
      <x:c r="N347" s="48" t="str">
        <x:v>0</x:v>
      </x:c>
      <x:c r="O347" s="48" t="str">
        <x:v>1</x:v>
      </x:c>
      <x:c r="P347" s="48" t="str">
        <x:v>0</x:v>
      </x:c>
      <x:c r="Q347" s="48" t="str"/>
      <x:c r="R347" s="48" t="str">
        <x:v>DRIVER SEPARATES</x:v>
      </x:c>
      <x:c r="S347" s="48" t="str">
        <x:v>0.625</x:v>
      </x:c>
      <x:c r="T347" s="48" t="str">
        <x:v>LARGE_2_TO_LT_5B:N=9,p=1.000; LOWER_MID_LT_2B:N=8,p=0.375; MEGA_GE_5B:N=11,p=1.000</x:v>
      </x:c>
      <x:c r="U347" s="48" t="str">
        <x:v>Maximum-minus-minimum prevalence among adequately observed groups is at least 0.35.</x:v>
      </x:c>
      <x:c r="V347" s="48" t="str">
        <x:v>At least 5 observable manager families in at least 2 driver groups</x:v>
      </x:c>
      <x:c r="W347" s="48" t="str">
        <x:v>&gt;=0.35 separates; &lt;=0.15 does not separate; intermediate is inconclusive/confounded; direct driver-definition tests are CIRCULAR</x:v>
      </x:c>
      <x:c r="X347" s="48" t="str">
        <x:v>MANAGER_SELF_DESCRIPTION; NOT BEHAVIOURAL FREQUENCY</x:v>
      </x:c>
    </x:row>
    <x:row r="348">
      <x:c r="A348" s="48" t="str">
        <x:v>B_GOVERNANCE_SEGMENTATION</x:v>
      </x:c>
      <x:c r="B348" s="48" t="str">
        <x:v>Tier B v1.1 - N=29 rerun</x:v>
      </x:c>
      <x:c r="C348" s="48" t="str">
        <x:v>2026-07-16</x:v>
      </x:c>
      <x:c r="D348" s="48" t="str">
        <x:v>D04</x:v>
      </x:c>
      <x:c r="E348" s="48" t="str">
        <x:v>DILIGENCE_ORGANIZATION</x:v>
      </x:c>
      <x:c r="F348" s="48" t="str">
        <x:v>Dedicated internal operating team or resources</x:v>
      </x:c>
      <x:c r="G348" s="48" t="str">
        <x:v>strategy</x:v>
      </x:c>
      <x:c r="H348" s="48" t="str">
        <x:v>CONTROL_BUYOUT</x:v>
      </x:c>
      <x:c r="I348" s="48" t="str">
        <x:v>22</x:v>
      </x:c>
      <x:c r="J348" s="48" t="str">
        <x:v>19</x:v>
      </x:c>
      <x:c r="K348" s="48" t="str">
        <x:v>0</x:v>
      </x:c>
      <x:c r="L348" s="48" t="str">
        <x:v>3</x:v>
      </x:c>
      <x:c r="M348" s="48" t="str">
        <x:v>22</x:v>
      </x:c>
      <x:c r="N348" s="48" t="str">
        <x:v>0</x:v>
      </x:c>
      <x:c r="O348" s="48" t="str">
        <x:v>0</x:v>
      </x:c>
      <x:c r="P348" s="48" t="str">
        <x:v>0</x:v>
      </x:c>
      <x:c r="Q348" s="48" t="str">
        <x:v>0.864</x:v>
      </x:c>
      <x:c r="R348" s="48" t="str">
        <x:v>INCONCLUSIVE OR CONFOUNDED</x:v>
      </x:c>
      <x:c r="S348" s="48" t="str">
        <x:v>0.264</x:v>
      </x:c>
      <x:c r="T348" s="48" t="str">
        <x:v>CONTROL_BUYOUT:N=22,p=0.864; GROWTH_CONTROL_HYBRID:N=5,p=0.600</x:v>
      </x:c>
      <x:c r="U348" s="48" t="str">
        <x:v>Adequate groups differ, but the maximum-minus-minimum prevalence lies between 0.15 and 0.35.</x:v>
      </x:c>
      <x:c r="V348" s="48" t="str">
        <x:v>At least 5 observable manager families in at least 2 driver groups</x:v>
      </x:c>
      <x:c r="W348" s="48" t="str">
        <x:v>&gt;=0.35 separates; &lt;=0.15 does not separate; intermediate is inconclusive/confounded; direct driver-definition tests are CIRCULAR</x:v>
      </x:c>
      <x:c r="X348" s="48" t="str">
        <x:v>MANAGER_SELF_DESCRIPTION; NOT BEHAVIOURAL FREQUENCY</x:v>
      </x:c>
    </x:row>
    <x:row r="349">
      <x:c r="A349" s="48" t="str">
        <x:v>B_GOVERNANCE_SEGMENTATION</x:v>
      </x:c>
      <x:c r="B349" s="48" t="str">
        <x:v>Tier B v1.1 - N=29 rerun</x:v>
      </x:c>
      <x:c r="C349" s="48" t="str">
        <x:v>2026-07-16</x:v>
      </x:c>
      <x:c r="D349" s="48" t="str">
        <x:v>D04</x:v>
      </x:c>
      <x:c r="E349" s="48" t="str">
        <x:v>DILIGENCE_ORGANIZATION</x:v>
      </x:c>
      <x:c r="F349" s="48" t="str">
        <x:v>Dedicated internal operating team or resources</x:v>
      </x:c>
      <x:c r="G349" s="48" t="str">
        <x:v>strategy</x:v>
      </x:c>
      <x:c r="H349" s="48" t="str">
        <x:v>GROWTH_CONTROL_HYBRID</x:v>
      </x:c>
      <x:c r="I349" s="48" t="str">
        <x:v>6</x:v>
      </x:c>
      <x:c r="J349" s="48" t="str">
        <x:v>3</x:v>
      </x:c>
      <x:c r="K349" s="48" t="str">
        <x:v>0</x:v>
      </x:c>
      <x:c r="L349" s="48" t="str">
        <x:v>2</x:v>
      </x:c>
      <x:c r="M349" s="48" t="str">
        <x:v>5</x:v>
      </x:c>
      <x:c r="N349" s="48" t="str">
        <x:v>0</x:v>
      </x:c>
      <x:c r="O349" s="48" t="str">
        <x:v>1</x:v>
      </x:c>
      <x:c r="P349" s="48" t="str">
        <x:v>0</x:v>
      </x:c>
      <x:c r="Q349" s="48" t="str">
        <x:v>0.600</x:v>
      </x:c>
      <x:c r="R349" s="48" t="str">
        <x:v>INCONCLUSIVE OR CONFOUNDED</x:v>
      </x:c>
      <x:c r="S349" s="48" t="str">
        <x:v>0.264</x:v>
      </x:c>
      <x:c r="T349" s="48" t="str">
        <x:v>CONTROL_BUYOUT:N=22,p=0.864; GROWTH_CONTROL_HYBRID:N=5,p=0.600</x:v>
      </x:c>
      <x:c r="U349" s="48" t="str">
        <x:v>Adequate groups differ, but the maximum-minus-minimum prevalence lies between 0.15 and 0.35.</x:v>
      </x:c>
      <x:c r="V349" s="48" t="str">
        <x:v>At least 5 observable manager families in at least 2 driver groups</x:v>
      </x:c>
      <x:c r="W349" s="48" t="str">
        <x:v>&gt;=0.35 separates; &lt;=0.15 does not separate; intermediate is inconclusive/confounded; direct driver-definition tests are CIRCULAR</x:v>
      </x:c>
      <x:c r="X349" s="48" t="str">
        <x:v>MANAGER_SELF_DESCRIPTION; NOT BEHAVIOURAL FREQUENCY</x:v>
      </x:c>
    </x:row>
    <x:row r="350">
      <x:c r="A350" s="48" t="str">
        <x:v>B_GOVERNANCE_SEGMENTATION</x:v>
      </x:c>
      <x:c r="B350" s="48" t="str">
        <x:v>Tier B v1.1 - N=29 rerun</x:v>
      </x:c>
      <x:c r="C350" s="48" t="str">
        <x:v>2026-07-16</x:v>
      </x:c>
      <x:c r="D350" s="48" t="str">
        <x:v>D04</x:v>
      </x:c>
      <x:c r="E350" s="48" t="str">
        <x:v>DILIGENCE_ORGANIZATION</x:v>
      </x:c>
      <x:c r="F350" s="48" t="str">
        <x:v>Dedicated internal operating team or resources</x:v>
      </x:c>
      <x:c r="G350" s="48" t="str">
        <x:v>strategy</x:v>
      </x:c>
      <x:c r="H350" s="48" t="str">
        <x:v>OPPORTUNISTIC_CONTROL</x:v>
      </x:c>
      <x:c r="I350" s="48" t="str">
        <x:v>1</x:v>
      </x:c>
      <x:c r="J350" s="48" t="str">
        <x:v>1</x:v>
      </x:c>
      <x:c r="K350" s="48" t="str">
        <x:v>0</x:v>
      </x:c>
      <x:c r="L350" s="48" t="str">
        <x:v>0</x:v>
      </x:c>
      <x:c r="M350" s="48" t="str">
        <x:v>1</x:v>
      </x:c>
      <x:c r="N350" s="48" t="str">
        <x:v>0</x:v>
      </x:c>
      <x:c r="O350" s="48" t="str">
        <x:v>0</x:v>
      </x:c>
      <x:c r="P350" s="48" t="str">
        <x:v>0</x:v>
      </x:c>
      <x:c r="Q350" s="48" t="str">
        <x:v>1.000</x:v>
      </x:c>
      <x:c r="R350" s="48" t="str">
        <x:v>INCONCLUSIVE OR CONFOUNDED</x:v>
      </x:c>
      <x:c r="S350" s="48" t="str">
        <x:v>0.264</x:v>
      </x:c>
      <x:c r="T350" s="48" t="str">
        <x:v>CONTROL_BUYOUT:N=22,p=0.864; GROWTH_CONTROL_HYBRID:N=5,p=0.600</x:v>
      </x:c>
      <x:c r="U350" s="48" t="str">
        <x:v>Adequate groups differ, but the maximum-minus-minimum prevalence lies between 0.15 and 0.35.</x:v>
      </x:c>
      <x:c r="V350" s="48" t="str">
        <x:v>At least 5 observable manager families in at least 2 driver groups</x:v>
      </x:c>
      <x:c r="W350" s="48" t="str">
        <x:v>&gt;=0.35 separates; &lt;=0.15 does not separate; intermediate is inconclusive/confounded; direct driver-definition tests are CIRCULAR</x:v>
      </x:c>
      <x:c r="X350" s="48" t="str">
        <x:v>MANAGER_SELF_DESCRIPTION; NOT BEHAVIOURAL FREQUENCY</x:v>
      </x:c>
    </x:row>
    <x:row r="351">
      <x:c r="A351" s="48" t="str">
        <x:v>B_GOVERNANCE_SEGMENTATION</x:v>
      </x:c>
      <x:c r="B351" s="48" t="str">
        <x:v>Tier B v1.1 - N=29 rerun</x:v>
      </x:c>
      <x:c r="C351" s="48" t="str">
        <x:v>2026-07-16</x:v>
      </x:c>
      <x:c r="D351" s="48" t="str">
        <x:v>D04</x:v>
      </x:c>
      <x:c r="E351" s="48" t="str">
        <x:v>DILIGENCE_ORGANIZATION</x:v>
      </x:c>
      <x:c r="F351" s="48" t="str">
        <x:v>Dedicated internal operating team or resources</x:v>
      </x:c>
      <x:c r="G351" s="48" t="str">
        <x:v>geography</x:v>
      </x:c>
      <x:c r="H351" s="48" t="str">
        <x:v>ASIA_PACIFIC</x:v>
      </x:c>
      <x:c r="I351" s="48" t="str">
        <x:v>4</x:v>
      </x:c>
      <x:c r="J351" s="48" t="str">
        <x:v>3</x:v>
      </x:c>
      <x:c r="K351" s="48" t="str">
        <x:v>0</x:v>
      </x:c>
      <x:c r="L351" s="48" t="str">
        <x:v>1</x:v>
      </x:c>
      <x:c r="M351" s="48" t="str">
        <x:v>4</x:v>
      </x:c>
      <x:c r="N351" s="48" t="str">
        <x:v>0</x:v>
      </x:c>
      <x:c r="O351" s="48" t="str">
        <x:v>0</x:v>
      </x:c>
      <x:c r="P351" s="48" t="str">
        <x:v>0</x:v>
      </x:c>
      <x:c r="Q351" s="48" t="str">
        <x:v>0.750</x:v>
      </x:c>
      <x:c r="R351" s="48" t="str">
        <x:v>INCONCLUSIVE OR CONFOUNDED</x:v>
      </x:c>
      <x:c r="S351" s="48" t="str">
        <x:v>0.231</x:v>
      </x:c>
      <x:c r="T351" s="48" t="str">
        <x:v>GLOBAL_TRANSATLANTIC:N=10,p=1.000; NORTH_AMERICA:N=13,p=0.769</x:v>
      </x:c>
      <x:c r="U351" s="48" t="str">
        <x:v>Adequate groups differ, but the maximum-minus-minimum prevalence lies between 0.15 and 0.35.</x:v>
      </x:c>
      <x:c r="V351" s="48" t="str">
        <x:v>At least 5 observable manager families in at least 2 driver groups</x:v>
      </x:c>
      <x:c r="W351" s="48" t="str">
        <x:v>&gt;=0.35 separates; &lt;=0.15 does not separate; intermediate is inconclusive/confounded; direct driver-definition tests are CIRCULAR</x:v>
      </x:c>
      <x:c r="X351" s="48" t="str">
        <x:v>MANAGER_SELF_DESCRIPTION; NOT BEHAVIOURAL FREQUENCY</x:v>
      </x:c>
    </x:row>
    <x:row r="352">
      <x:c r="A352" s="48" t="str">
        <x:v>B_GOVERNANCE_SEGMENTATION</x:v>
      </x:c>
      <x:c r="B352" s="48" t="str">
        <x:v>Tier B v1.1 - N=29 rerun</x:v>
      </x:c>
      <x:c r="C352" s="48" t="str">
        <x:v>2026-07-16</x:v>
      </x:c>
      <x:c r="D352" s="48" t="str">
        <x:v>D04</x:v>
      </x:c>
      <x:c r="E352" s="48" t="str">
        <x:v>DILIGENCE_ORGANIZATION</x:v>
      </x:c>
      <x:c r="F352" s="48" t="str">
        <x:v>Dedicated internal operating team or resources</x:v>
      </x:c>
      <x:c r="G352" s="48" t="str">
        <x:v>geography</x:v>
      </x:c>
      <x:c r="H352" s="48" t="str">
        <x:v>EUROPE</x:v>
      </x:c>
      <x:c r="I352" s="48" t="str">
        <x:v>2</x:v>
      </x:c>
      <x:c r="J352" s="48" t="str">
        <x:v>0</x:v>
      </x:c>
      <x:c r="K352" s="48" t="str">
        <x:v>0</x:v>
      </x:c>
      <x:c r="L352" s="48" t="str">
        <x:v>1</x:v>
      </x:c>
      <x:c r="M352" s="48" t="str">
        <x:v>1</x:v>
      </x:c>
      <x:c r="N352" s="48" t="str">
        <x:v>0</x:v>
      </x:c>
      <x:c r="O352" s="48" t="str">
        <x:v>1</x:v>
      </x:c>
      <x:c r="P352" s="48" t="str">
        <x:v>0</x:v>
      </x:c>
      <x:c r="Q352" s="48" t="str">
        <x:v>0.000</x:v>
      </x:c>
      <x:c r="R352" s="48" t="str">
        <x:v>INCONCLUSIVE OR CONFOUNDED</x:v>
      </x:c>
      <x:c r="S352" s="48" t="str">
        <x:v>0.231</x:v>
      </x:c>
      <x:c r="T352" s="48" t="str">
        <x:v>GLOBAL_TRANSATLANTIC:N=10,p=1.000; NORTH_AMERICA:N=13,p=0.769</x:v>
      </x:c>
      <x:c r="U352" s="48" t="str">
        <x:v>Adequate groups differ, but the maximum-minus-minimum prevalence lies between 0.15 and 0.35.</x:v>
      </x:c>
      <x:c r="V352" s="48" t="str">
        <x:v>At least 5 observable manager families in at least 2 driver groups</x:v>
      </x:c>
      <x:c r="W352" s="48" t="str">
        <x:v>&gt;=0.35 separates; &lt;=0.15 does not separate; intermediate is inconclusive/confounded; direct driver-definition tests are CIRCULAR</x:v>
      </x:c>
      <x:c r="X352" s="48" t="str">
        <x:v>MANAGER_SELF_DESCRIPTION; NOT BEHAVIOURAL FREQUENCY</x:v>
      </x:c>
    </x:row>
    <x:row r="353">
      <x:c r="A353" s="48" t="str">
        <x:v>B_GOVERNANCE_SEGMENTATION</x:v>
      </x:c>
      <x:c r="B353" s="48" t="str">
        <x:v>Tier B v1.1 - N=29 rerun</x:v>
      </x:c>
      <x:c r="C353" s="48" t="str">
        <x:v>2026-07-16</x:v>
      </x:c>
      <x:c r="D353" s="48" t="str">
        <x:v>D04</x:v>
      </x:c>
      <x:c r="E353" s="48" t="str">
        <x:v>DILIGENCE_ORGANIZATION</x:v>
      </x:c>
      <x:c r="F353" s="48" t="str">
        <x:v>Dedicated internal operating team or resources</x:v>
      </x:c>
      <x:c r="G353" s="48" t="str">
        <x:v>geography</x:v>
      </x:c>
      <x:c r="H353" s="48" t="str">
        <x:v>GLOBAL_TRANSATLANTIC</x:v>
      </x:c>
      <x:c r="I353" s="48" t="str">
        <x:v>10</x:v>
      </x:c>
      <x:c r="J353" s="48" t="str">
        <x:v>10</x:v>
      </x:c>
      <x:c r="K353" s="48" t="str">
        <x:v>0</x:v>
      </x:c>
      <x:c r="L353" s="48" t="str">
        <x:v>0</x:v>
      </x:c>
      <x:c r="M353" s="48" t="str">
        <x:v>10</x:v>
      </x:c>
      <x:c r="N353" s="48" t="str">
        <x:v>0</x:v>
      </x:c>
      <x:c r="O353" s="48" t="str">
        <x:v>0</x:v>
      </x:c>
      <x:c r="P353" s="48" t="str">
        <x:v>0</x:v>
      </x:c>
      <x:c r="Q353" s="48" t="str">
        <x:v>1.000</x:v>
      </x:c>
      <x:c r="R353" s="48" t="str">
        <x:v>INCONCLUSIVE OR CONFOUNDED</x:v>
      </x:c>
      <x:c r="S353" s="48" t="str">
        <x:v>0.231</x:v>
      </x:c>
      <x:c r="T353" s="48" t="str">
        <x:v>GLOBAL_TRANSATLANTIC:N=10,p=1.000; NORTH_AMERICA:N=13,p=0.769</x:v>
      </x:c>
      <x:c r="U353" s="48" t="str">
        <x:v>Adequate groups differ, but the maximum-minus-minimum prevalence lies between 0.15 and 0.35.</x:v>
      </x:c>
      <x:c r="V353" s="48" t="str">
        <x:v>At least 5 observable manager families in at least 2 driver groups</x:v>
      </x:c>
      <x:c r="W353" s="48" t="str">
        <x:v>&gt;=0.35 separates; &lt;=0.15 does not separate; intermediate is inconclusive/confounded; direct driver-definition tests are CIRCULAR</x:v>
      </x:c>
      <x:c r="X353" s="48" t="str">
        <x:v>MANAGER_SELF_DESCRIPTION; NOT BEHAVIOURAL FREQUENCY</x:v>
      </x:c>
    </x:row>
    <x:row r="354">
      <x:c r="A354" s="48" t="str">
        <x:v>B_GOVERNANCE_SEGMENTATION</x:v>
      </x:c>
      <x:c r="B354" s="48" t="str">
        <x:v>Tier B v1.1 - N=29 rerun</x:v>
      </x:c>
      <x:c r="C354" s="48" t="str">
        <x:v>2026-07-16</x:v>
      </x:c>
      <x:c r="D354" s="48" t="str">
        <x:v>D04</x:v>
      </x:c>
      <x:c r="E354" s="48" t="str">
        <x:v>DILIGENCE_ORGANIZATION</x:v>
      </x:c>
      <x:c r="F354" s="48" t="str">
        <x:v>Dedicated internal operating team or resources</x:v>
      </x:c>
      <x:c r="G354" s="48" t="str">
        <x:v>geography</x:v>
      </x:c>
      <x:c r="H354" s="48" t="str">
        <x:v>NORTH_AMERICA</x:v>
      </x:c>
      <x:c r="I354" s="48" t="str">
        <x:v>13</x:v>
      </x:c>
      <x:c r="J354" s="48" t="str">
        <x:v>10</x:v>
      </x:c>
      <x:c r="K354" s="48" t="str">
        <x:v>0</x:v>
      </x:c>
      <x:c r="L354" s="48" t="str">
        <x:v>3</x:v>
      </x:c>
      <x:c r="M354" s="48" t="str">
        <x:v>13</x:v>
      </x:c>
      <x:c r="N354" s="48" t="str">
        <x:v>0</x:v>
      </x:c>
      <x:c r="O354" s="48" t="str">
        <x:v>0</x:v>
      </x:c>
      <x:c r="P354" s="48" t="str">
        <x:v>0</x:v>
      </x:c>
      <x:c r="Q354" s="48" t="str">
        <x:v>0.769</x:v>
      </x:c>
      <x:c r="R354" s="48" t="str">
        <x:v>INCONCLUSIVE OR CONFOUNDED</x:v>
      </x:c>
      <x:c r="S354" s="48" t="str">
        <x:v>0.231</x:v>
      </x:c>
      <x:c r="T354" s="48" t="str">
        <x:v>GLOBAL_TRANSATLANTIC:N=10,p=1.000; NORTH_AMERICA:N=13,p=0.769</x:v>
      </x:c>
      <x:c r="U354" s="48" t="str">
        <x:v>Adequate groups differ, but the maximum-minus-minimum prevalence lies between 0.15 and 0.35.</x:v>
      </x:c>
      <x:c r="V354" s="48" t="str">
        <x:v>At least 5 observable manager families in at least 2 driver groups</x:v>
      </x:c>
      <x:c r="W354" s="48" t="str">
        <x:v>&gt;=0.35 separates; &lt;=0.15 does not separate; intermediate is inconclusive/confounded; direct driver-definition tests are CIRCULAR</x:v>
      </x:c>
      <x:c r="X354" s="48" t="str">
        <x:v>MANAGER_SELF_DESCRIPTION; NOT BEHAVIOURAL FREQUENCY</x:v>
      </x:c>
    </x:row>
    <x:row r="355">
      <x:c r="A355" s="48" t="str">
        <x:v>B_GOVERNANCE_SEGMENTATION</x:v>
      </x:c>
      <x:c r="B355" s="48" t="str">
        <x:v>Tier B v1.1 - N=29 rerun</x:v>
      </x:c>
      <x:c r="C355" s="48" t="str">
        <x:v>2026-07-16</x:v>
      </x:c>
      <x:c r="D355" s="48" t="str">
        <x:v>D04</x:v>
      </x:c>
      <x:c r="E355" s="48" t="str">
        <x:v>DILIGENCE_ORGANIZATION</x:v>
      </x:c>
      <x:c r="F355" s="48" t="str">
        <x:v>Dedicated internal operating team or resources</x:v>
      </x:c>
      <x:c r="G355" s="48" t="str">
        <x:v>source_vintage_bin</x:v>
      </x:c>
      <x:c r="H355" s="48" t="str">
        <x:v>2018_2020</x:v>
      </x:c>
      <x:c r="I355" s="48" t="str">
        <x:v>6</x:v>
      </x:c>
      <x:c r="J355" s="48" t="str">
        <x:v>5</x:v>
      </x:c>
      <x:c r="K355" s="48" t="str">
        <x:v>0</x:v>
      </x:c>
      <x:c r="L355" s="48" t="str">
        <x:v>1</x:v>
      </x:c>
      <x:c r="M355" s="48" t="str">
        <x:v>6</x:v>
      </x:c>
      <x:c r="N355" s="48" t="str">
        <x:v>0</x:v>
      </x:c>
      <x:c r="O355" s="48" t="str">
        <x:v>0</x:v>
      </x:c>
      <x:c r="P355" s="48" t="str">
        <x:v>0</x:v>
      </x:c>
      <x:c r="Q355" s="48" t="str">
        <x:v>0.833</x:v>
      </x:c>
      <x:c r="R355" s="48" t="str">
        <x:v>INCONCLUSIVE OR CONFOUNDED</x:v>
      </x:c>
      <x:c r="S355" s="48" t="str">
        <x:v>0.150</x:v>
      </x:c>
      <x:c r="T355" s="48" t="str">
        <x:v>2018_2020:N=6,p=0.833; 2021_2023:N=10,p=0.900; 2024_2026:N=12,p=0.750</x:v>
      </x:c>
      <x:c r="U355" s="48" t="str">
        <x:v>Adequate groups differ, but the maximum-minus-minimum prevalence lies between 0.15 and 0.35.</x:v>
      </x:c>
      <x:c r="V355" s="48" t="str">
        <x:v>At least 5 observable manager families in at least 2 driver groups</x:v>
      </x:c>
      <x:c r="W355" s="48" t="str">
        <x:v>&gt;=0.35 separates; &lt;=0.15 does not separate; intermediate is inconclusive/confounded; direct driver-definition tests are CIRCULAR</x:v>
      </x:c>
      <x:c r="X355" s="48" t="str">
        <x:v>MANAGER_SELF_DESCRIPTION; NOT BEHAVIOURAL FREQUENCY</x:v>
      </x:c>
    </x:row>
    <x:row r="356">
      <x:c r="A356" s="48" t="str">
        <x:v>B_GOVERNANCE_SEGMENTATION</x:v>
      </x:c>
      <x:c r="B356" s="48" t="str">
        <x:v>Tier B v1.1 - N=29 rerun</x:v>
      </x:c>
      <x:c r="C356" s="48" t="str">
        <x:v>2026-07-16</x:v>
      </x:c>
      <x:c r="D356" s="48" t="str">
        <x:v>D04</x:v>
      </x:c>
      <x:c r="E356" s="48" t="str">
        <x:v>DILIGENCE_ORGANIZATION</x:v>
      </x:c>
      <x:c r="F356" s="48" t="str">
        <x:v>Dedicated internal operating team or resources</x:v>
      </x:c>
      <x:c r="G356" s="48" t="str">
        <x:v>source_vintage_bin</x:v>
      </x:c>
      <x:c r="H356" s="48" t="str">
        <x:v>2021_2023</x:v>
      </x:c>
      <x:c r="I356" s="48" t="str">
        <x:v>11</x:v>
      </x:c>
      <x:c r="J356" s="48" t="str">
        <x:v>9</x:v>
      </x:c>
      <x:c r="K356" s="48" t="str">
        <x:v>0</x:v>
      </x:c>
      <x:c r="L356" s="48" t="str">
        <x:v>1</x:v>
      </x:c>
      <x:c r="M356" s="48" t="str">
        <x:v>10</x:v>
      </x:c>
      <x:c r="N356" s="48" t="str">
        <x:v>0</x:v>
      </x:c>
      <x:c r="O356" s="48" t="str">
        <x:v>1</x:v>
      </x:c>
      <x:c r="P356" s="48" t="str">
        <x:v>0</x:v>
      </x:c>
      <x:c r="Q356" s="48" t="str">
        <x:v>0.900</x:v>
      </x:c>
      <x:c r="R356" s="48" t="str">
        <x:v>INCONCLUSIVE OR CONFOUNDED</x:v>
      </x:c>
      <x:c r="S356" s="48" t="str">
        <x:v>0.150</x:v>
      </x:c>
      <x:c r="T356" s="48" t="str">
        <x:v>2018_2020:N=6,p=0.833; 2021_2023:N=10,p=0.900; 2024_2026:N=12,p=0.750</x:v>
      </x:c>
      <x:c r="U356" s="48" t="str">
        <x:v>Adequate groups differ, but the maximum-minus-minimum prevalence lies between 0.15 and 0.35.</x:v>
      </x:c>
      <x:c r="V356" s="48" t="str">
        <x:v>At least 5 observable manager families in at least 2 driver groups</x:v>
      </x:c>
      <x:c r="W356" s="48" t="str">
        <x:v>&gt;=0.35 separates; &lt;=0.15 does not separate; intermediate is inconclusive/confounded; direct driver-definition tests are CIRCULAR</x:v>
      </x:c>
      <x:c r="X356" s="48" t="str">
        <x:v>MANAGER_SELF_DESCRIPTION; NOT BEHAVIOURAL FREQUENCY</x:v>
      </x:c>
    </x:row>
    <x:row r="357">
      <x:c r="A357" s="48" t="str">
        <x:v>B_GOVERNANCE_SEGMENTATION</x:v>
      </x:c>
      <x:c r="B357" s="48" t="str">
        <x:v>Tier B v1.1 - N=29 rerun</x:v>
      </x:c>
      <x:c r="C357" s="48" t="str">
        <x:v>2026-07-16</x:v>
      </x:c>
      <x:c r="D357" s="48" t="str">
        <x:v>D04</x:v>
      </x:c>
      <x:c r="E357" s="48" t="str">
        <x:v>DILIGENCE_ORGANIZATION</x:v>
      </x:c>
      <x:c r="F357" s="48" t="str">
        <x:v>Dedicated internal operating team or resources</x:v>
      </x:c>
      <x:c r="G357" s="48" t="str">
        <x:v>source_vintage_bin</x:v>
      </x:c>
      <x:c r="H357" s="48" t="str">
        <x:v>2024_2026</x:v>
      </x:c>
      <x:c r="I357" s="48" t="str">
        <x:v>12</x:v>
      </x:c>
      <x:c r="J357" s="48" t="str">
        <x:v>9</x:v>
      </x:c>
      <x:c r="K357" s="48" t="str">
        <x:v>0</x:v>
      </x:c>
      <x:c r="L357" s="48" t="str">
        <x:v>3</x:v>
      </x:c>
      <x:c r="M357" s="48" t="str">
        <x:v>12</x:v>
      </x:c>
      <x:c r="N357" s="48" t="str">
        <x:v>0</x:v>
      </x:c>
      <x:c r="O357" s="48" t="str">
        <x:v>0</x:v>
      </x:c>
      <x:c r="P357" s="48" t="str">
        <x:v>0</x:v>
      </x:c>
      <x:c r="Q357" s="48" t="str">
        <x:v>0.750</x:v>
      </x:c>
      <x:c r="R357" s="48" t="str">
        <x:v>INCONCLUSIVE OR CONFOUNDED</x:v>
      </x:c>
      <x:c r="S357" s="48" t="str">
        <x:v>0.150</x:v>
      </x:c>
      <x:c r="T357" s="48" t="str">
        <x:v>2018_2020:N=6,p=0.833; 2021_2023:N=10,p=0.900; 2024_2026:N=12,p=0.750</x:v>
      </x:c>
      <x:c r="U357" s="48" t="str">
        <x:v>Adequate groups differ, but the maximum-minus-minimum prevalence lies between 0.15 and 0.35.</x:v>
      </x:c>
      <x:c r="V357" s="48" t="str">
        <x:v>At least 5 observable manager families in at least 2 driver groups</x:v>
      </x:c>
      <x:c r="W357" s="48" t="str">
        <x:v>&gt;=0.35 separates; &lt;=0.15 does not separate; intermediate is inconclusive/confounded; direct driver-definition tests are CIRCULAR</x:v>
      </x:c>
      <x:c r="X357" s="48" t="str">
        <x:v>MANAGER_SELF_DESCRIPTION; NOT BEHAVIOURAL FREQUENCY</x:v>
      </x:c>
    </x:row>
    <x:row r="358">
      <x:c r="A358" s="48" t="str">
        <x:v>B_GOVERNANCE_SEGMENTATION</x:v>
      </x:c>
      <x:c r="B358" s="48" t="str">
        <x:v>Tier B v1.1 - N=29 rerun</x:v>
      </x:c>
      <x:c r="C358" s="48" t="str">
        <x:v>2026-07-16</x:v>
      </x:c>
      <x:c r="D358" s="48" t="str">
        <x:v>D04</x:v>
      </x:c>
      <x:c r="E358" s="48" t="str">
        <x:v>DILIGENCE_ORGANIZATION</x:v>
      </x:c>
      <x:c r="F358" s="48" t="str">
        <x:v>Dedicated internal operating team or resources</x:v>
      </x:c>
      <x:c r="G358" s="48" t="str">
        <x:v>governance_architecture</x:v>
      </x:c>
      <x:c r="H358" s="48" t="str">
        <x:v>IC_FINAL_OR_DE_FACTO</x:v>
      </x:c>
      <x:c r="I358" s="48" t="str">
        <x:v>26</x:v>
      </x:c>
      <x:c r="J358" s="48" t="str">
        <x:v>21</x:v>
      </x:c>
      <x:c r="K358" s="48" t="str">
        <x:v>0</x:v>
      </x:c>
      <x:c r="L358" s="48" t="str">
        <x:v>5</x:v>
      </x:c>
      <x:c r="M358" s="48" t="str">
        <x:v>26</x:v>
      </x:c>
      <x:c r="N358" s="48" t="str">
        <x:v>0</x:v>
      </x:c>
      <x:c r="O358" s="48" t="str">
        <x:v>0</x:v>
      </x:c>
      <x:c r="P358" s="48" t="str">
        <x:v>0</x:v>
      </x:c>
      <x:c r="Q358" s="48" t="str">
        <x:v>0.808</x:v>
      </x:c>
      <x:c r="R358" s="48" t="str">
        <x:v>N TOO SMALL</x:v>
      </x:c>
      <x:c r="S358" s="48" t="str"/>
      <x:c r="T358" s="48" t="str">
        <x:v>IC_FINAL_OR_DE_FACTO:N=26,p=0.808</x:v>
      </x:c>
      <x:c r="U358" s="48" t="str">
        <x:v>Fewer than two driver groups have at least 5 observable manager families.</x:v>
      </x:c>
      <x:c r="V358" s="48" t="str">
        <x:v>At least 5 observable manager families in at least 2 driver groups</x:v>
      </x:c>
      <x:c r="W358" s="48" t="str">
        <x:v>&gt;=0.35 separates; &lt;=0.15 does not separate; intermediate is inconclusive/confounded; direct driver-definition tests are CIRCULAR</x:v>
      </x:c>
      <x:c r="X358" s="48" t="str">
        <x:v>MANAGER_SELF_DESCRIPTION; NOT BEHAVIOURAL FREQUENCY</x:v>
      </x:c>
    </x:row>
    <x:row r="359">
      <x:c r="A359" s="48" t="str">
        <x:v>B_GOVERNANCE_SEGMENTATION</x:v>
      </x:c>
      <x:c r="B359" s="48" t="str">
        <x:v>Tier B v1.1 - N=29 rerun</x:v>
      </x:c>
      <x:c r="C359" s="48" t="str">
        <x:v>2026-07-16</x:v>
      </x:c>
      <x:c r="D359" s="48" t="str">
        <x:v>D04</x:v>
      </x:c>
      <x:c r="E359" s="48" t="str">
        <x:v>DILIGENCE_ORGANIZATION</x:v>
      </x:c>
      <x:c r="F359" s="48" t="str">
        <x:v>Dedicated internal operating team or resources</x:v>
      </x:c>
      <x:c r="G359" s="48" t="str">
        <x:v>governance_architecture</x:v>
      </x:c>
      <x:c r="H359" s="48" t="str">
        <x:v>IC_RECOMMENDS_SEPARATE_FINAL_AUTHORITY</x:v>
      </x:c>
      <x:c r="I359" s="48" t="str">
        <x:v>3</x:v>
      </x:c>
      <x:c r="J359" s="48" t="str">
        <x:v>2</x:v>
      </x:c>
      <x:c r="K359" s="48" t="str">
        <x:v>0</x:v>
      </x:c>
      <x:c r="L359" s="48" t="str">
        <x:v>0</x:v>
      </x:c>
      <x:c r="M359" s="48" t="str">
        <x:v>2</x:v>
      </x:c>
      <x:c r="N359" s="48" t="str">
        <x:v>0</x:v>
      </x:c>
      <x:c r="O359" s="48" t="str">
        <x:v>1</x:v>
      </x:c>
      <x:c r="P359" s="48" t="str">
        <x:v>0</x:v>
      </x:c>
      <x:c r="Q359" s="48" t="str">
        <x:v>1.000</x:v>
      </x:c>
      <x:c r="R359" s="48" t="str">
        <x:v>N TOO SMALL</x:v>
      </x:c>
      <x:c r="S359" s="48" t="str"/>
      <x:c r="T359" s="48" t="str">
        <x:v>IC_FINAL_OR_DE_FACTO:N=26,p=0.808</x:v>
      </x:c>
      <x:c r="U359" s="48" t="str">
        <x:v>Fewer than two driver groups have at least 5 observable manager families.</x:v>
      </x:c>
      <x:c r="V359" s="48" t="str">
        <x:v>At least 5 observable manager families in at least 2 driver groups</x:v>
      </x:c>
      <x:c r="W359" s="48" t="str">
        <x:v>&gt;=0.35 separates; &lt;=0.15 does not separate; intermediate is inconclusive/confounded; direct driver-definition tests are CIRCULAR</x:v>
      </x:c>
      <x:c r="X359" s="48" t="str">
        <x:v>MANAGER_SELF_DESCRIPTION; NOT BEHAVIOURAL FREQUENCY</x:v>
      </x:c>
    </x:row>
    <x:row r="360">
      <x:c r="A360" s="48" t="str">
        <x:v>B_GOVERNANCE_SEGMENTATION</x:v>
      </x:c>
      <x:c r="B360" s="48" t="str">
        <x:v>Tier B v1.1 - N=29 rerun</x:v>
      </x:c>
      <x:c r="C360" s="48" t="str">
        <x:v>2026-07-16</x:v>
      </x:c>
      <x:c r="D360" s="48" t="str">
        <x:v>D04</x:v>
      </x:c>
      <x:c r="E360" s="48" t="str">
        <x:v>DILIGENCE_ORGANIZATION</x:v>
      </x:c>
      <x:c r="F360" s="48" t="str">
        <x:v>Dedicated internal operating team or resources</x:v>
      </x:c>
      <x:c r="G360" s="48" t="str">
        <x:v>dedicated_operating_team</x:v>
      </x:c>
      <x:c r="H360" s="48" t="str">
        <x:v>NO_OR_LIMITED</x:v>
      </x:c>
      <x:c r="I360" s="48" t="str">
        <x:v>6</x:v>
      </x:c>
      <x:c r="J360" s="48" t="str">
        <x:v>0</x:v>
      </x:c>
      <x:c r="K360" s="48" t="str">
        <x:v>0</x:v>
      </x:c>
      <x:c r="L360" s="48" t="str">
        <x:v>5</x:v>
      </x:c>
      <x:c r="M360" s="48" t="str">
        <x:v>5</x:v>
      </x:c>
      <x:c r="N360" s="48" t="str">
        <x:v>0</x:v>
      </x:c>
      <x:c r="O360" s="48" t="str">
        <x:v>1</x:v>
      </x:c>
      <x:c r="P360" s="48" t="str">
        <x:v>0</x:v>
      </x:c>
      <x:c r="Q360" s="48" t="str">
        <x:v>0.000</x:v>
      </x:c>
      <x:c r="R360" s="48" t="str">
        <x:v>CIRCULAR</x:v>
      </x:c>
      <x:c r="S360" s="48" t="str"/>
      <x:c r="T360" s="48" t="str">
        <x:v>NO_OR_LIMITED:N=5,p=0.000; YES_DEDICATED:N=23,p=1.000</x:v>
      </x:c>
      <x:c r="U360" s="48" t="str">
        <x:v>Feature directly defines or mechanically presupposes the operating-team driver; excluded from separation testing.</x:v>
      </x:c>
      <x:c r="V360" s="48" t="str">
        <x:v>At least 5 observable manager families in at least 2 driver groups</x:v>
      </x:c>
      <x:c r="W360" s="48" t="str">
        <x:v>&gt;=0.35 separates; &lt;=0.15 does not separate; intermediate is inconclusive/confounded; direct driver-definition tests are CIRCULAR</x:v>
      </x:c>
      <x:c r="X360" s="48" t="str">
        <x:v>MANAGER_SELF_DESCRIPTION; NOT BEHAVIOURAL FREQUENCY</x:v>
      </x:c>
    </x:row>
    <x:row r="361">
      <x:c r="A361" s="48" t="str">
        <x:v>B_GOVERNANCE_SEGMENTATION</x:v>
      </x:c>
      <x:c r="B361" s="48" t="str">
        <x:v>Tier B v1.1 - N=29 rerun</x:v>
      </x:c>
      <x:c r="C361" s="48" t="str">
        <x:v>2026-07-16</x:v>
      </x:c>
      <x:c r="D361" s="48" t="str">
        <x:v>D04</x:v>
      </x:c>
      <x:c r="E361" s="48" t="str">
        <x:v>DILIGENCE_ORGANIZATION</x:v>
      </x:c>
      <x:c r="F361" s="48" t="str">
        <x:v>Dedicated internal operating team or resources</x:v>
      </x:c>
      <x:c r="G361" s="48" t="str">
        <x:v>dedicated_operating_team</x:v>
      </x:c>
      <x:c r="H361" s="48" t="str">
        <x:v>YES_DEDICATED</x:v>
      </x:c>
      <x:c r="I361" s="48" t="str">
        <x:v>23</x:v>
      </x:c>
      <x:c r="J361" s="48" t="str">
        <x:v>23</x:v>
      </x:c>
      <x:c r="K361" s="48" t="str">
        <x:v>0</x:v>
      </x:c>
      <x:c r="L361" s="48" t="str">
        <x:v>0</x:v>
      </x:c>
      <x:c r="M361" s="48" t="str">
        <x:v>23</x:v>
      </x:c>
      <x:c r="N361" s="48" t="str">
        <x:v>0</x:v>
      </x:c>
      <x:c r="O361" s="48" t="str">
        <x:v>0</x:v>
      </x:c>
      <x:c r="P361" s="48" t="str">
        <x:v>0</x:v>
      </x:c>
      <x:c r="Q361" s="48" t="str">
        <x:v>1.000</x:v>
      </x:c>
      <x:c r="R361" s="48" t="str">
        <x:v>CIRCULAR</x:v>
      </x:c>
      <x:c r="S361" s="48" t="str"/>
      <x:c r="T361" s="48" t="str">
        <x:v>NO_OR_LIMITED:N=5,p=0.000; YES_DEDICATED:N=23,p=1.000</x:v>
      </x:c>
      <x:c r="U361" s="48" t="str">
        <x:v>Feature directly defines or mechanically presupposes the operating-team driver; excluded from separation testing.</x:v>
      </x:c>
      <x:c r="V361" s="48" t="str">
        <x:v>At least 5 observable manager families in at least 2 driver groups</x:v>
      </x:c>
      <x:c r="W361" s="48" t="str">
        <x:v>&gt;=0.35 separates; &lt;=0.15 does not separate; intermediate is inconclusive/confounded; direct driver-definition tests are CIRCULAR</x:v>
      </x:c>
      <x:c r="X361" s="48" t="str">
        <x:v>MANAGER_SELF_DESCRIPTION; NOT BEHAVIOURAL FREQUENCY</x:v>
      </x:c>
    </x:row>
    <x:row r="362">
      <x:c r="A362" s="48" t="str">
        <x:v>B_GOVERNANCE_SEGMENTATION</x:v>
      </x:c>
      <x:c r="B362" s="48" t="str">
        <x:v>Tier B v1.1 - N=29 rerun</x:v>
      </x:c>
      <x:c r="C362" s="48" t="str">
        <x:v>2026-07-16</x:v>
      </x:c>
      <x:c r="D362" s="48" t="str">
        <x:v>D05</x:v>
      </x:c>
      <x:c r="E362" s="48" t="str">
        <x:v>DILIGENCE_ORGANIZATION</x:v>
      </x:c>
      <x:c r="F362" s="48" t="str">
        <x:v>Operating team enters at screen or pre-offer stage</x:v>
      </x:c>
      <x:c r="G362" s="48" t="str">
        <x:v>fund_size_archetype</x:v>
      </x:c>
      <x:c r="H362" s="48" t="str">
        <x:v>LARGE_2_TO_LT_5B</x:v>
      </x:c>
      <x:c r="I362" s="48" t="str">
        <x:v>9</x:v>
      </x:c>
      <x:c r="J362" s="48" t="str">
        <x:v>8</x:v>
      </x:c>
      <x:c r="K362" s="48" t="str">
        <x:v>4</x:v>
      </x:c>
      <x:c r="L362" s="48" t="str">
        <x:v>0</x:v>
      </x:c>
      <x:c r="M362" s="48" t="str">
        <x:v>8</x:v>
      </x:c>
      <x:c r="N362" s="48" t="str">
        <x:v>1</x:v>
      </x:c>
      <x:c r="O362" s="48" t="str">
        <x:v>0</x:v>
      </x:c>
      <x:c r="P362" s="48" t="str">
        <x:v>0</x:v>
      </x:c>
      <x:c r="Q362" s="48" t="str">
        <x:v>1.000</x:v>
      </x:c>
      <x:c r="R362" s="48" t="str">
        <x:v>DRIVER SEPARATES</x:v>
      </x:c>
      <x:c r="S362" s="48" t="str">
        <x:v>0.625</x:v>
      </x:c>
      <x:c r="T362" s="48" t="str">
        <x:v>LARGE_2_TO_LT_5B:N=8,p=1.000; LOWER_MID_LT_2B:N=8,p=0.375; MEGA_GE_5B:N=11,p=1.000</x:v>
      </x:c>
      <x:c r="U362" s="48" t="str">
        <x:v>Maximum-minus-minimum prevalence among adequately observed groups is at least 0.35.</x:v>
      </x:c>
      <x:c r="V362" s="48" t="str">
        <x:v>At least 5 observable manager families in at least 2 driver groups</x:v>
      </x:c>
      <x:c r="W362" s="48" t="str">
        <x:v>&gt;=0.35 separates; &lt;=0.15 does not separate; intermediate is inconclusive/confounded; direct driver-definition tests are CIRCULAR</x:v>
      </x:c>
      <x:c r="X362" s="48" t="str">
        <x:v>MANAGER_SELF_DESCRIPTION; NOT BEHAVIOURAL FREQUENCY</x:v>
      </x:c>
    </x:row>
    <x:row r="363">
      <x:c r="A363" s="48" t="str">
        <x:v>B_GOVERNANCE_SEGMENTATION</x:v>
      </x:c>
      <x:c r="B363" s="48" t="str">
        <x:v>Tier B v1.1 - N=29 rerun</x:v>
      </x:c>
      <x:c r="C363" s="48" t="str">
        <x:v>2026-07-16</x:v>
      </x:c>
      <x:c r="D363" s="48" t="str">
        <x:v>D05</x:v>
      </x:c>
      <x:c r="E363" s="48" t="str">
        <x:v>DILIGENCE_ORGANIZATION</x:v>
      </x:c>
      <x:c r="F363" s="48" t="str">
        <x:v>Operating team enters at screen or pre-offer stage</x:v>
      </x:c>
      <x:c r="G363" s="48" t="str">
        <x:v>fund_size_archetype</x:v>
      </x:c>
      <x:c r="H363" s="48" t="str">
        <x:v>LOWER_MID_LT_2B</x:v>
      </x:c>
      <x:c r="I363" s="48" t="str">
        <x:v>8</x:v>
      </x:c>
      <x:c r="J363" s="48" t="str">
        <x:v>3</x:v>
      </x:c>
      <x:c r="K363" s="48" t="str">
        <x:v>1</x:v>
      </x:c>
      <x:c r="L363" s="48" t="str">
        <x:v>5</x:v>
      </x:c>
      <x:c r="M363" s="48" t="str">
        <x:v>8</x:v>
      </x:c>
      <x:c r="N363" s="48" t="str">
        <x:v>0</x:v>
      </x:c>
      <x:c r="O363" s="48" t="str">
        <x:v>0</x:v>
      </x:c>
      <x:c r="P363" s="48" t="str">
        <x:v>0</x:v>
      </x:c>
      <x:c r="Q363" s="48" t="str">
        <x:v>0.375</x:v>
      </x:c>
      <x:c r="R363" s="48" t="str">
        <x:v>DRIVER SEPARATES</x:v>
      </x:c>
      <x:c r="S363" s="48" t="str">
        <x:v>0.625</x:v>
      </x:c>
      <x:c r="T363" s="48" t="str">
        <x:v>LARGE_2_TO_LT_5B:N=8,p=1.000; LOWER_MID_LT_2B:N=8,p=0.375; MEGA_GE_5B:N=11,p=1.000</x:v>
      </x:c>
      <x:c r="U363" s="48" t="str">
        <x:v>Maximum-minus-minimum prevalence among adequately observed groups is at least 0.35.</x:v>
      </x:c>
      <x:c r="V363" s="48" t="str">
        <x:v>At least 5 observable manager families in at least 2 driver groups</x:v>
      </x:c>
      <x:c r="W363" s="48" t="str">
        <x:v>&gt;=0.35 separates; &lt;=0.15 does not separate; intermediate is inconclusive/confounded; direct driver-definition tests are CIRCULAR</x:v>
      </x:c>
      <x:c r="X363" s="48" t="str">
        <x:v>MANAGER_SELF_DESCRIPTION; NOT BEHAVIOURAL FREQUENCY</x:v>
      </x:c>
    </x:row>
    <x:row r="364">
      <x:c r="A364" s="48" t="str">
        <x:v>B_GOVERNANCE_SEGMENTATION</x:v>
      </x:c>
      <x:c r="B364" s="48" t="str">
        <x:v>Tier B v1.1 - N=29 rerun</x:v>
      </x:c>
      <x:c r="C364" s="48" t="str">
        <x:v>2026-07-16</x:v>
      </x:c>
      <x:c r="D364" s="48" t="str">
        <x:v>D05</x:v>
      </x:c>
      <x:c r="E364" s="48" t="str">
        <x:v>DILIGENCE_ORGANIZATION</x:v>
      </x:c>
      <x:c r="F364" s="48" t="str">
        <x:v>Operating team enters at screen or pre-offer stage</x:v>
      </x:c>
      <x:c r="G364" s="48" t="str">
        <x:v>fund_size_archetype</x:v>
      </x:c>
      <x:c r="H364" s="48" t="str">
        <x:v>MEGA_GE_5B</x:v>
      </x:c>
      <x:c r="I364" s="48" t="str">
        <x:v>11</x:v>
      </x:c>
      <x:c r="J364" s="48" t="str">
        <x:v>11</x:v>
      </x:c>
      <x:c r="K364" s="48" t="str">
        <x:v>2</x:v>
      </x:c>
      <x:c r="L364" s="48" t="str">
        <x:v>0</x:v>
      </x:c>
      <x:c r="M364" s="48" t="str">
        <x:v>11</x:v>
      </x:c>
      <x:c r="N364" s="48" t="str">
        <x:v>0</x:v>
      </x:c>
      <x:c r="O364" s="48" t="str">
        <x:v>0</x:v>
      </x:c>
      <x:c r="P364" s="48" t="str">
        <x:v>0</x:v>
      </x:c>
      <x:c r="Q364" s="48" t="str">
        <x:v>1.000</x:v>
      </x:c>
      <x:c r="R364" s="48" t="str">
        <x:v>DRIVER SEPARATES</x:v>
      </x:c>
      <x:c r="S364" s="48" t="str">
        <x:v>0.625</x:v>
      </x:c>
      <x:c r="T364" s="48" t="str">
        <x:v>LARGE_2_TO_LT_5B:N=8,p=1.000; LOWER_MID_LT_2B:N=8,p=0.375; MEGA_GE_5B:N=11,p=1.000</x:v>
      </x:c>
      <x:c r="U364" s="48" t="str">
        <x:v>Maximum-minus-minimum prevalence among adequately observed groups is at least 0.35.</x:v>
      </x:c>
      <x:c r="V364" s="48" t="str">
        <x:v>At least 5 observable manager families in at least 2 driver groups</x:v>
      </x:c>
      <x:c r="W364" s="48" t="str">
        <x:v>&gt;=0.35 separates; &lt;=0.15 does not separate; intermediate is inconclusive/confounded; direct driver-definition tests are CIRCULAR</x:v>
      </x:c>
      <x:c r="X364" s="48" t="str">
        <x:v>MANAGER_SELF_DESCRIPTION; NOT BEHAVIOURAL FREQUENCY</x:v>
      </x:c>
    </x:row>
    <x:row r="365">
      <x:c r="A365" s="48" t="str">
        <x:v>B_GOVERNANCE_SEGMENTATION</x:v>
      </x:c>
      <x:c r="B365" s="48" t="str">
        <x:v>Tier B v1.1 - N=29 rerun</x:v>
      </x:c>
      <x:c r="C365" s="48" t="str">
        <x:v>2026-07-16</x:v>
      </x:c>
      <x:c r="D365" s="48" t="str">
        <x:v>D05</x:v>
      </x:c>
      <x:c r="E365" s="48" t="str">
        <x:v>DILIGENCE_ORGANIZATION</x:v>
      </x:c>
      <x:c r="F365" s="48" t="str">
        <x:v>Operating team enters at screen or pre-offer stage</x:v>
      </x:c>
      <x:c r="G365" s="48" t="str">
        <x:v>fund_size_archetype</x:v>
      </x:c>
      <x:c r="H365" s="48" t="str">
        <x:v>NOT_APPLICABLE</x:v>
      </x:c>
      <x:c r="I365" s="48" t="str">
        <x:v>1</x:v>
      </x:c>
      <x:c r="J365" s="48" t="str">
        <x:v>0</x:v>
      </x:c>
      <x:c r="K365" s="48" t="str">
        <x:v>0</x:v>
      </x:c>
      <x:c r="L365" s="48" t="str">
        <x:v>0</x:v>
      </x:c>
      <x:c r="M365" s="48" t="str">
        <x:v>0</x:v>
      </x:c>
      <x:c r="N365" s="48" t="str">
        <x:v>1</x:v>
      </x:c>
      <x:c r="O365" s="48" t="str">
        <x:v>0</x:v>
      </x:c>
      <x:c r="P365" s="48" t="str">
        <x:v>0</x:v>
      </x:c>
      <x:c r="Q365" s="48" t="str"/>
      <x:c r="R365" s="48" t="str">
        <x:v>DRIVER SEPARATES</x:v>
      </x:c>
      <x:c r="S365" s="48" t="str">
        <x:v>0.625</x:v>
      </x:c>
      <x:c r="T365" s="48" t="str">
        <x:v>LARGE_2_TO_LT_5B:N=8,p=1.000; LOWER_MID_LT_2B:N=8,p=0.375; MEGA_GE_5B:N=11,p=1.000</x:v>
      </x:c>
      <x:c r="U365" s="48" t="str">
        <x:v>Maximum-minus-minimum prevalence among adequately observed groups is at least 0.35.</x:v>
      </x:c>
      <x:c r="V365" s="48" t="str">
        <x:v>At least 5 observable manager families in at least 2 driver groups</x:v>
      </x:c>
      <x:c r="W365" s="48" t="str">
        <x:v>&gt;=0.35 separates; &lt;=0.15 does not separate; intermediate is inconclusive/confounded; direct driver-definition tests are CIRCULAR</x:v>
      </x:c>
      <x:c r="X365" s="48" t="str">
        <x:v>MANAGER_SELF_DESCRIPTION; NOT BEHAVIOURAL FREQUENCY</x:v>
      </x:c>
    </x:row>
    <x:row r="366">
      <x:c r="A366" s="48" t="str">
        <x:v>B_GOVERNANCE_SEGMENTATION</x:v>
      </x:c>
      <x:c r="B366" s="48" t="str">
        <x:v>Tier B v1.1 - N=29 rerun</x:v>
      </x:c>
      <x:c r="C366" s="48" t="str">
        <x:v>2026-07-16</x:v>
      </x:c>
      <x:c r="D366" s="48" t="str">
        <x:v>D05</x:v>
      </x:c>
      <x:c r="E366" s="48" t="str">
        <x:v>DILIGENCE_ORGANIZATION</x:v>
      </x:c>
      <x:c r="F366" s="48" t="str">
        <x:v>Operating team enters at screen or pre-offer stage</x:v>
      </x:c>
      <x:c r="G366" s="48" t="str">
        <x:v>strategy</x:v>
      </x:c>
      <x:c r="H366" s="48" t="str">
        <x:v>CONTROL_BUYOUT</x:v>
      </x:c>
      <x:c r="I366" s="48" t="str">
        <x:v>22</x:v>
      </x:c>
      <x:c r="J366" s="48" t="str">
        <x:v>18</x:v>
      </x:c>
      <x:c r="K366" s="48" t="str">
        <x:v>5</x:v>
      </x:c>
      <x:c r="L366" s="48" t="str">
        <x:v>3</x:v>
      </x:c>
      <x:c r="M366" s="48" t="str">
        <x:v>21</x:v>
      </x:c>
      <x:c r="N366" s="48" t="str">
        <x:v>1</x:v>
      </x:c>
      <x:c r="O366" s="48" t="str">
        <x:v>0</x:v>
      </x:c>
      <x:c r="P366" s="48" t="str">
        <x:v>0</x:v>
      </x:c>
      <x:c r="Q366" s="48" t="str">
        <x:v>0.857</x:v>
      </x:c>
      <x:c r="R366" s="48" t="str">
        <x:v>INCONCLUSIVE OR CONFOUNDED</x:v>
      </x:c>
      <x:c r="S366" s="48" t="str">
        <x:v>0.257</x:v>
      </x:c>
      <x:c r="T366" s="48" t="str">
        <x:v>CONTROL_BUYOUT:N=21,p=0.857; GROWTH_CONTROL_HYBRID:N=5,p=0.600</x:v>
      </x:c>
      <x:c r="U366" s="48" t="str">
        <x:v>Adequate groups differ, but the maximum-minus-minimum prevalence lies between 0.15 and 0.35.</x:v>
      </x:c>
      <x:c r="V366" s="48" t="str">
        <x:v>At least 5 observable manager families in at least 2 driver groups</x:v>
      </x:c>
      <x:c r="W366" s="48" t="str">
        <x:v>&gt;=0.35 separates; &lt;=0.15 does not separate; intermediate is inconclusive/confounded; direct driver-definition tests are CIRCULAR</x:v>
      </x:c>
      <x:c r="X366" s="48" t="str">
        <x:v>MANAGER_SELF_DESCRIPTION; NOT BEHAVIOURAL FREQUENCY</x:v>
      </x:c>
    </x:row>
    <x:row r="367">
      <x:c r="A367" s="48" t="str">
        <x:v>B_GOVERNANCE_SEGMENTATION</x:v>
      </x:c>
      <x:c r="B367" s="48" t="str">
        <x:v>Tier B v1.1 - N=29 rerun</x:v>
      </x:c>
      <x:c r="C367" s="48" t="str">
        <x:v>2026-07-16</x:v>
      </x:c>
      <x:c r="D367" s="48" t="str">
        <x:v>D05</x:v>
      </x:c>
      <x:c r="E367" s="48" t="str">
        <x:v>DILIGENCE_ORGANIZATION</x:v>
      </x:c>
      <x:c r="F367" s="48" t="str">
        <x:v>Operating team enters at screen or pre-offer stage</x:v>
      </x:c>
      <x:c r="G367" s="48" t="str">
        <x:v>strategy</x:v>
      </x:c>
      <x:c r="H367" s="48" t="str">
        <x:v>GROWTH_CONTROL_HYBRID</x:v>
      </x:c>
      <x:c r="I367" s="48" t="str">
        <x:v>6</x:v>
      </x:c>
      <x:c r="J367" s="48" t="str">
        <x:v>3</x:v>
      </x:c>
      <x:c r="K367" s="48" t="str">
        <x:v>2</x:v>
      </x:c>
      <x:c r="L367" s="48" t="str">
        <x:v>2</x:v>
      </x:c>
      <x:c r="M367" s="48" t="str">
        <x:v>5</x:v>
      </x:c>
      <x:c r="N367" s="48" t="str">
        <x:v>1</x:v>
      </x:c>
      <x:c r="O367" s="48" t="str">
        <x:v>0</x:v>
      </x:c>
      <x:c r="P367" s="48" t="str">
        <x:v>0</x:v>
      </x:c>
      <x:c r="Q367" s="48" t="str">
        <x:v>0.600</x:v>
      </x:c>
      <x:c r="R367" s="48" t="str">
        <x:v>INCONCLUSIVE OR CONFOUNDED</x:v>
      </x:c>
      <x:c r="S367" s="48" t="str">
        <x:v>0.257</x:v>
      </x:c>
      <x:c r="T367" s="48" t="str">
        <x:v>CONTROL_BUYOUT:N=21,p=0.857; GROWTH_CONTROL_HYBRID:N=5,p=0.600</x:v>
      </x:c>
      <x:c r="U367" s="48" t="str">
        <x:v>Adequate groups differ, but the maximum-minus-minimum prevalence lies between 0.15 and 0.35.</x:v>
      </x:c>
      <x:c r="V367" s="48" t="str">
        <x:v>At least 5 observable manager families in at least 2 driver groups</x:v>
      </x:c>
      <x:c r="W367" s="48" t="str">
        <x:v>&gt;=0.35 separates; &lt;=0.15 does not separate; intermediate is inconclusive/confounded; direct driver-definition tests are CIRCULAR</x:v>
      </x:c>
      <x:c r="X367" s="48" t="str">
        <x:v>MANAGER_SELF_DESCRIPTION; NOT BEHAVIOURAL FREQUENCY</x:v>
      </x:c>
    </x:row>
    <x:row r="368">
      <x:c r="A368" s="48" t="str">
        <x:v>B_GOVERNANCE_SEGMENTATION</x:v>
      </x:c>
      <x:c r="B368" s="48" t="str">
        <x:v>Tier B v1.1 - N=29 rerun</x:v>
      </x:c>
      <x:c r="C368" s="48" t="str">
        <x:v>2026-07-16</x:v>
      </x:c>
      <x:c r="D368" s="48" t="str">
        <x:v>D05</x:v>
      </x:c>
      <x:c r="E368" s="48" t="str">
        <x:v>DILIGENCE_ORGANIZATION</x:v>
      </x:c>
      <x:c r="F368" s="48" t="str">
        <x:v>Operating team enters at screen or pre-offer stage</x:v>
      </x:c>
      <x:c r="G368" s="48" t="str">
        <x:v>strategy</x:v>
      </x:c>
      <x:c r="H368" s="48" t="str">
        <x:v>OPPORTUNISTIC_CONTROL</x:v>
      </x:c>
      <x:c r="I368" s="48" t="str">
        <x:v>1</x:v>
      </x:c>
      <x:c r="J368" s="48" t="str">
        <x:v>1</x:v>
      </x:c>
      <x:c r="K368" s="48" t="str">
        <x:v>0</x:v>
      </x:c>
      <x:c r="L368" s="48" t="str">
        <x:v>0</x:v>
      </x:c>
      <x:c r="M368" s="48" t="str">
        <x:v>1</x:v>
      </x:c>
      <x:c r="N368" s="48" t="str">
        <x:v>0</x:v>
      </x:c>
      <x:c r="O368" s="48" t="str">
        <x:v>0</x:v>
      </x:c>
      <x:c r="P368" s="48" t="str">
        <x:v>0</x:v>
      </x:c>
      <x:c r="Q368" s="48" t="str">
        <x:v>1.000</x:v>
      </x:c>
      <x:c r="R368" s="48" t="str">
        <x:v>INCONCLUSIVE OR CONFOUNDED</x:v>
      </x:c>
      <x:c r="S368" s="48" t="str">
        <x:v>0.257</x:v>
      </x:c>
      <x:c r="T368" s="48" t="str">
        <x:v>CONTROL_BUYOUT:N=21,p=0.857; GROWTH_CONTROL_HYBRID:N=5,p=0.600</x:v>
      </x:c>
      <x:c r="U368" s="48" t="str">
        <x:v>Adequate groups differ, but the maximum-minus-minimum prevalence lies between 0.15 and 0.35.</x:v>
      </x:c>
      <x:c r="V368" s="48" t="str">
        <x:v>At least 5 observable manager families in at least 2 driver groups</x:v>
      </x:c>
      <x:c r="W368" s="48" t="str">
        <x:v>&gt;=0.35 separates; &lt;=0.15 does not separate; intermediate is inconclusive/confounded; direct driver-definition tests are CIRCULAR</x:v>
      </x:c>
      <x:c r="X368" s="48" t="str">
        <x:v>MANAGER_SELF_DESCRIPTION; NOT BEHAVIOURAL FREQUENCY</x:v>
      </x:c>
    </x:row>
    <x:row r="369">
      <x:c r="A369" s="48" t="str">
        <x:v>B_GOVERNANCE_SEGMENTATION</x:v>
      </x:c>
      <x:c r="B369" s="48" t="str">
        <x:v>Tier B v1.1 - N=29 rerun</x:v>
      </x:c>
      <x:c r="C369" s="48" t="str">
        <x:v>2026-07-16</x:v>
      </x:c>
      <x:c r="D369" s="48" t="str">
        <x:v>D05</x:v>
      </x:c>
      <x:c r="E369" s="48" t="str">
        <x:v>DILIGENCE_ORGANIZATION</x:v>
      </x:c>
      <x:c r="F369" s="48" t="str">
        <x:v>Operating team enters at screen or pre-offer stage</x:v>
      </x:c>
      <x:c r="G369" s="48" t="str">
        <x:v>geography</x:v>
      </x:c>
      <x:c r="H369" s="48" t="str">
        <x:v>ASIA_PACIFIC</x:v>
      </x:c>
      <x:c r="I369" s="48" t="str">
        <x:v>4</x:v>
      </x:c>
      <x:c r="J369" s="48" t="str">
        <x:v>3</x:v>
      </x:c>
      <x:c r="K369" s="48" t="str">
        <x:v>0</x:v>
      </x:c>
      <x:c r="L369" s="48" t="str">
        <x:v>1</x:v>
      </x:c>
      <x:c r="M369" s="48" t="str">
        <x:v>4</x:v>
      </x:c>
      <x:c r="N369" s="48" t="str">
        <x:v>0</x:v>
      </x:c>
      <x:c r="O369" s="48" t="str">
        <x:v>0</x:v>
      </x:c>
      <x:c r="P369" s="48" t="str">
        <x:v>0</x:v>
      </x:c>
      <x:c r="Q369" s="48" t="str">
        <x:v>0.750</x:v>
      </x:c>
      <x:c r="R369" s="48" t="str">
        <x:v>INCONCLUSIVE OR CONFOUNDED</x:v>
      </x:c>
      <x:c r="S369" s="48" t="str">
        <x:v>0.250</x:v>
      </x:c>
      <x:c r="T369" s="48" t="str">
        <x:v>GLOBAL_TRANSATLANTIC:N=10,p=1.000; NORTH_AMERICA:N=12,p=0.750</x:v>
      </x:c>
      <x:c r="U369" s="48" t="str">
        <x:v>Adequate groups differ, but the maximum-minus-minimum prevalence lies between 0.15 and 0.35.</x:v>
      </x:c>
      <x:c r="V369" s="48" t="str">
        <x:v>At least 5 observable manager families in at least 2 driver groups</x:v>
      </x:c>
      <x:c r="W369" s="48" t="str">
        <x:v>&gt;=0.35 separates; &lt;=0.15 does not separate; intermediate is inconclusive/confounded; direct driver-definition tests are CIRCULAR</x:v>
      </x:c>
      <x:c r="X369" s="48" t="str">
        <x:v>MANAGER_SELF_DESCRIPTION; NOT BEHAVIOURAL FREQUENCY</x:v>
      </x:c>
    </x:row>
    <x:row r="370">
      <x:c r="A370" s="48" t="str">
        <x:v>B_GOVERNANCE_SEGMENTATION</x:v>
      </x:c>
      <x:c r="B370" s="48" t="str">
        <x:v>Tier B v1.1 - N=29 rerun</x:v>
      </x:c>
      <x:c r="C370" s="48" t="str">
        <x:v>2026-07-16</x:v>
      </x:c>
      <x:c r="D370" s="48" t="str">
        <x:v>D05</x:v>
      </x:c>
      <x:c r="E370" s="48" t="str">
        <x:v>DILIGENCE_ORGANIZATION</x:v>
      </x:c>
      <x:c r="F370" s="48" t="str">
        <x:v>Operating team enters at screen or pre-offer stage</x:v>
      </x:c>
      <x:c r="G370" s="48" t="str">
        <x:v>geography</x:v>
      </x:c>
      <x:c r="H370" s="48" t="str">
        <x:v>EUROPE</x:v>
      </x:c>
      <x:c r="I370" s="48" t="str">
        <x:v>2</x:v>
      </x:c>
      <x:c r="J370" s="48" t="str">
        <x:v>0</x:v>
      </x:c>
      <x:c r="K370" s="48" t="str">
        <x:v>0</x:v>
      </x:c>
      <x:c r="L370" s="48" t="str">
        <x:v>1</x:v>
      </x:c>
      <x:c r="M370" s="48" t="str">
        <x:v>1</x:v>
      </x:c>
      <x:c r="N370" s="48" t="str">
        <x:v>1</x:v>
      </x:c>
      <x:c r="O370" s="48" t="str">
        <x:v>0</x:v>
      </x:c>
      <x:c r="P370" s="48" t="str">
        <x:v>0</x:v>
      </x:c>
      <x:c r="Q370" s="48" t="str">
        <x:v>0.000</x:v>
      </x:c>
      <x:c r="R370" s="48" t="str">
        <x:v>INCONCLUSIVE OR CONFOUNDED</x:v>
      </x:c>
      <x:c r="S370" s="48" t="str">
        <x:v>0.250</x:v>
      </x:c>
      <x:c r="T370" s="48" t="str">
        <x:v>GLOBAL_TRANSATLANTIC:N=10,p=1.000; NORTH_AMERICA:N=12,p=0.750</x:v>
      </x:c>
      <x:c r="U370" s="48" t="str">
        <x:v>Adequate groups differ, but the maximum-minus-minimum prevalence lies between 0.15 and 0.35.</x:v>
      </x:c>
      <x:c r="V370" s="48" t="str">
        <x:v>At least 5 observable manager families in at least 2 driver groups</x:v>
      </x:c>
      <x:c r="W370" s="48" t="str">
        <x:v>&gt;=0.35 separates; &lt;=0.15 does not separate; intermediate is inconclusive/confounded; direct driver-definition tests are CIRCULAR</x:v>
      </x:c>
      <x:c r="X370" s="48" t="str">
        <x:v>MANAGER_SELF_DESCRIPTION; NOT BEHAVIOURAL FREQUENCY</x:v>
      </x:c>
    </x:row>
    <x:row r="371">
      <x:c r="A371" s="48" t="str">
        <x:v>B_GOVERNANCE_SEGMENTATION</x:v>
      </x:c>
      <x:c r="B371" s="48" t="str">
        <x:v>Tier B v1.1 - N=29 rerun</x:v>
      </x:c>
      <x:c r="C371" s="48" t="str">
        <x:v>2026-07-16</x:v>
      </x:c>
      <x:c r="D371" s="48" t="str">
        <x:v>D05</x:v>
      </x:c>
      <x:c r="E371" s="48" t="str">
        <x:v>DILIGENCE_ORGANIZATION</x:v>
      </x:c>
      <x:c r="F371" s="48" t="str">
        <x:v>Operating team enters at screen or pre-offer stage</x:v>
      </x:c>
      <x:c r="G371" s="48" t="str">
        <x:v>geography</x:v>
      </x:c>
      <x:c r="H371" s="48" t="str">
        <x:v>GLOBAL_TRANSATLANTIC</x:v>
      </x:c>
      <x:c r="I371" s="48" t="str">
        <x:v>10</x:v>
      </x:c>
      <x:c r="J371" s="48" t="str">
        <x:v>10</x:v>
      </x:c>
      <x:c r="K371" s="48" t="str">
        <x:v>2</x:v>
      </x:c>
      <x:c r="L371" s="48" t="str">
        <x:v>0</x:v>
      </x:c>
      <x:c r="M371" s="48" t="str">
        <x:v>10</x:v>
      </x:c>
      <x:c r="N371" s="48" t="str">
        <x:v>0</x:v>
      </x:c>
      <x:c r="O371" s="48" t="str">
        <x:v>0</x:v>
      </x:c>
      <x:c r="P371" s="48" t="str">
        <x:v>0</x:v>
      </x:c>
      <x:c r="Q371" s="48" t="str">
        <x:v>1.000</x:v>
      </x:c>
      <x:c r="R371" s="48" t="str">
        <x:v>INCONCLUSIVE OR CONFOUNDED</x:v>
      </x:c>
      <x:c r="S371" s="48" t="str">
        <x:v>0.250</x:v>
      </x:c>
      <x:c r="T371" s="48" t="str">
        <x:v>GLOBAL_TRANSATLANTIC:N=10,p=1.000; NORTH_AMERICA:N=12,p=0.750</x:v>
      </x:c>
      <x:c r="U371" s="48" t="str">
        <x:v>Adequate groups differ, but the maximum-minus-minimum prevalence lies between 0.15 and 0.35.</x:v>
      </x:c>
      <x:c r="V371" s="48" t="str">
        <x:v>At least 5 observable manager families in at least 2 driver groups</x:v>
      </x:c>
      <x:c r="W371" s="48" t="str">
        <x:v>&gt;=0.35 separates; &lt;=0.15 does not separate; intermediate is inconclusive/confounded; direct driver-definition tests are CIRCULAR</x:v>
      </x:c>
      <x:c r="X371" s="48" t="str">
        <x:v>MANAGER_SELF_DESCRIPTION; NOT BEHAVIOURAL FREQUENCY</x:v>
      </x:c>
    </x:row>
    <x:row r="372">
      <x:c r="A372" s="48" t="str">
        <x:v>B_GOVERNANCE_SEGMENTATION</x:v>
      </x:c>
      <x:c r="B372" s="48" t="str">
        <x:v>Tier B v1.1 - N=29 rerun</x:v>
      </x:c>
      <x:c r="C372" s="48" t="str">
        <x:v>2026-07-16</x:v>
      </x:c>
      <x:c r="D372" s="48" t="str">
        <x:v>D05</x:v>
      </x:c>
      <x:c r="E372" s="48" t="str">
        <x:v>DILIGENCE_ORGANIZATION</x:v>
      </x:c>
      <x:c r="F372" s="48" t="str">
        <x:v>Operating team enters at screen or pre-offer stage</x:v>
      </x:c>
      <x:c r="G372" s="48" t="str">
        <x:v>geography</x:v>
      </x:c>
      <x:c r="H372" s="48" t="str">
        <x:v>NORTH_AMERICA</x:v>
      </x:c>
      <x:c r="I372" s="48" t="str">
        <x:v>13</x:v>
      </x:c>
      <x:c r="J372" s="48" t="str">
        <x:v>9</x:v>
      </x:c>
      <x:c r="K372" s="48" t="str">
        <x:v>5</x:v>
      </x:c>
      <x:c r="L372" s="48" t="str">
        <x:v>3</x:v>
      </x:c>
      <x:c r="M372" s="48" t="str">
        <x:v>12</x:v>
      </x:c>
      <x:c r="N372" s="48" t="str">
        <x:v>1</x:v>
      </x:c>
      <x:c r="O372" s="48" t="str">
        <x:v>0</x:v>
      </x:c>
      <x:c r="P372" s="48" t="str">
        <x:v>0</x:v>
      </x:c>
      <x:c r="Q372" s="48" t="str">
        <x:v>0.750</x:v>
      </x:c>
      <x:c r="R372" s="48" t="str">
        <x:v>INCONCLUSIVE OR CONFOUNDED</x:v>
      </x:c>
      <x:c r="S372" s="48" t="str">
        <x:v>0.250</x:v>
      </x:c>
      <x:c r="T372" s="48" t="str">
        <x:v>GLOBAL_TRANSATLANTIC:N=10,p=1.000; NORTH_AMERICA:N=12,p=0.750</x:v>
      </x:c>
      <x:c r="U372" s="48" t="str">
        <x:v>Adequate groups differ, but the maximum-minus-minimum prevalence lies between 0.15 and 0.35.</x:v>
      </x:c>
      <x:c r="V372" s="48" t="str">
        <x:v>At least 5 observable manager families in at least 2 driver groups</x:v>
      </x:c>
      <x:c r="W372" s="48" t="str">
        <x:v>&gt;=0.35 separates; &lt;=0.15 does not separate; intermediate is inconclusive/confounded; direct driver-definition tests are CIRCULAR</x:v>
      </x:c>
      <x:c r="X372" s="48" t="str">
        <x:v>MANAGER_SELF_DESCRIPTION; NOT BEHAVIOURAL FREQUENCY</x:v>
      </x:c>
    </x:row>
    <x:row r="373">
      <x:c r="A373" s="48" t="str">
        <x:v>B_GOVERNANCE_SEGMENTATION</x:v>
      </x:c>
      <x:c r="B373" s="48" t="str">
        <x:v>Tier B v1.1 - N=29 rerun</x:v>
      </x:c>
      <x:c r="C373" s="48" t="str">
        <x:v>2026-07-16</x:v>
      </x:c>
      <x:c r="D373" s="48" t="str">
        <x:v>D05</x:v>
      </x:c>
      <x:c r="E373" s="48" t="str">
        <x:v>DILIGENCE_ORGANIZATION</x:v>
      </x:c>
      <x:c r="F373" s="48" t="str">
        <x:v>Operating team enters at screen or pre-offer stage</x:v>
      </x:c>
      <x:c r="G373" s="48" t="str">
        <x:v>source_vintage_bin</x:v>
      </x:c>
      <x:c r="H373" s="48" t="str">
        <x:v>2018_2020</x:v>
      </x:c>
      <x:c r="I373" s="48" t="str">
        <x:v>6</x:v>
      </x:c>
      <x:c r="J373" s="48" t="str">
        <x:v>5</x:v>
      </x:c>
      <x:c r="K373" s="48" t="str">
        <x:v>1</x:v>
      </x:c>
      <x:c r="L373" s="48" t="str">
        <x:v>1</x:v>
      </x:c>
      <x:c r="M373" s="48" t="str">
        <x:v>6</x:v>
      </x:c>
      <x:c r="N373" s="48" t="str">
        <x:v>0</x:v>
      </x:c>
      <x:c r="O373" s="48" t="str">
        <x:v>0</x:v>
      </x:c>
      <x:c r="P373" s="48" t="str">
        <x:v>0</x:v>
      </x:c>
      <x:c r="Q373" s="48" t="str">
        <x:v>0.833</x:v>
      </x:c>
      <x:c r="R373" s="48" t="str">
        <x:v>INCONCLUSIVE OR CONFOUNDED</x:v>
      </x:c>
      <x:c r="S373" s="48" t="str">
        <x:v>0.173</x:v>
      </x:c>
      <x:c r="T373" s="48" t="str">
        <x:v>2018_2020:N=6,p=0.833; 2021_2023:N=10,p=0.900; 2024_2026:N=11,p=0.727</x:v>
      </x:c>
      <x:c r="U373" s="48" t="str">
        <x:v>Adequate groups differ, but the maximum-minus-minimum prevalence lies between 0.15 and 0.35.</x:v>
      </x:c>
      <x:c r="V373" s="48" t="str">
        <x:v>At least 5 observable manager families in at least 2 driver groups</x:v>
      </x:c>
      <x:c r="W373" s="48" t="str">
        <x:v>&gt;=0.35 separates; &lt;=0.15 does not separate; intermediate is inconclusive/confounded; direct driver-definition tests are CIRCULAR</x:v>
      </x:c>
      <x:c r="X373" s="48" t="str">
        <x:v>MANAGER_SELF_DESCRIPTION; NOT BEHAVIOURAL FREQUENCY</x:v>
      </x:c>
    </x:row>
    <x:row r="374">
      <x:c r="A374" s="48" t="str">
        <x:v>B_GOVERNANCE_SEGMENTATION</x:v>
      </x:c>
      <x:c r="B374" s="48" t="str">
        <x:v>Tier B v1.1 - N=29 rerun</x:v>
      </x:c>
      <x:c r="C374" s="48" t="str">
        <x:v>2026-07-16</x:v>
      </x:c>
      <x:c r="D374" s="48" t="str">
        <x:v>D05</x:v>
      </x:c>
      <x:c r="E374" s="48" t="str">
        <x:v>DILIGENCE_ORGANIZATION</x:v>
      </x:c>
      <x:c r="F374" s="48" t="str">
        <x:v>Operating team enters at screen or pre-offer stage</x:v>
      </x:c>
      <x:c r="G374" s="48" t="str">
        <x:v>source_vintage_bin</x:v>
      </x:c>
      <x:c r="H374" s="48" t="str">
        <x:v>2021_2023</x:v>
      </x:c>
      <x:c r="I374" s="48" t="str">
        <x:v>11</x:v>
      </x:c>
      <x:c r="J374" s="48" t="str">
        <x:v>9</x:v>
      </x:c>
      <x:c r="K374" s="48" t="str">
        <x:v>3</x:v>
      </x:c>
      <x:c r="L374" s="48" t="str">
        <x:v>1</x:v>
      </x:c>
      <x:c r="M374" s="48" t="str">
        <x:v>10</x:v>
      </x:c>
      <x:c r="N374" s="48" t="str">
        <x:v>1</x:v>
      </x:c>
      <x:c r="O374" s="48" t="str">
        <x:v>0</x:v>
      </x:c>
      <x:c r="P374" s="48" t="str">
        <x:v>0</x:v>
      </x:c>
      <x:c r="Q374" s="48" t="str">
        <x:v>0.900</x:v>
      </x:c>
      <x:c r="R374" s="48" t="str">
        <x:v>INCONCLUSIVE OR CONFOUNDED</x:v>
      </x:c>
      <x:c r="S374" s="48" t="str">
        <x:v>0.173</x:v>
      </x:c>
      <x:c r="T374" s="48" t="str">
        <x:v>2018_2020:N=6,p=0.833; 2021_2023:N=10,p=0.900; 2024_2026:N=11,p=0.727</x:v>
      </x:c>
      <x:c r="U374" s="48" t="str">
        <x:v>Adequate groups differ, but the maximum-minus-minimum prevalence lies between 0.15 and 0.35.</x:v>
      </x:c>
      <x:c r="V374" s="48" t="str">
        <x:v>At least 5 observable manager families in at least 2 driver groups</x:v>
      </x:c>
      <x:c r="W374" s="48" t="str">
        <x:v>&gt;=0.35 separates; &lt;=0.15 does not separate; intermediate is inconclusive/confounded; direct driver-definition tests are CIRCULAR</x:v>
      </x:c>
      <x:c r="X374" s="48" t="str">
        <x:v>MANAGER_SELF_DESCRIPTION; NOT BEHAVIOURAL FREQUENCY</x:v>
      </x:c>
    </x:row>
    <x:row r="375">
      <x:c r="A375" s="48" t="str">
        <x:v>B_GOVERNANCE_SEGMENTATION</x:v>
      </x:c>
      <x:c r="B375" s="48" t="str">
        <x:v>Tier B v1.1 - N=29 rerun</x:v>
      </x:c>
      <x:c r="C375" s="48" t="str">
        <x:v>2026-07-16</x:v>
      </x:c>
      <x:c r="D375" s="48" t="str">
        <x:v>D05</x:v>
      </x:c>
      <x:c r="E375" s="48" t="str">
        <x:v>DILIGENCE_ORGANIZATION</x:v>
      </x:c>
      <x:c r="F375" s="48" t="str">
        <x:v>Operating team enters at screen or pre-offer stage</x:v>
      </x:c>
      <x:c r="G375" s="48" t="str">
        <x:v>source_vintage_bin</x:v>
      </x:c>
      <x:c r="H375" s="48" t="str">
        <x:v>2024_2026</x:v>
      </x:c>
      <x:c r="I375" s="48" t="str">
        <x:v>12</x:v>
      </x:c>
      <x:c r="J375" s="48" t="str">
        <x:v>8</x:v>
      </x:c>
      <x:c r="K375" s="48" t="str">
        <x:v>3</x:v>
      </x:c>
      <x:c r="L375" s="48" t="str">
        <x:v>3</x:v>
      </x:c>
      <x:c r="M375" s="48" t="str">
        <x:v>11</x:v>
      </x:c>
      <x:c r="N375" s="48" t="str">
        <x:v>1</x:v>
      </x:c>
      <x:c r="O375" s="48" t="str">
        <x:v>0</x:v>
      </x:c>
      <x:c r="P375" s="48" t="str">
        <x:v>0</x:v>
      </x:c>
      <x:c r="Q375" s="48" t="str">
        <x:v>0.727</x:v>
      </x:c>
      <x:c r="R375" s="48" t="str">
        <x:v>INCONCLUSIVE OR CONFOUNDED</x:v>
      </x:c>
      <x:c r="S375" s="48" t="str">
        <x:v>0.173</x:v>
      </x:c>
      <x:c r="T375" s="48" t="str">
        <x:v>2018_2020:N=6,p=0.833; 2021_2023:N=10,p=0.900; 2024_2026:N=11,p=0.727</x:v>
      </x:c>
      <x:c r="U375" s="48" t="str">
        <x:v>Adequate groups differ, but the maximum-minus-minimum prevalence lies between 0.15 and 0.35.</x:v>
      </x:c>
      <x:c r="V375" s="48" t="str">
        <x:v>At least 5 observable manager families in at least 2 driver groups</x:v>
      </x:c>
      <x:c r="W375" s="48" t="str">
        <x:v>&gt;=0.35 separates; &lt;=0.15 does not separate; intermediate is inconclusive/confounded; direct driver-definition tests are CIRCULAR</x:v>
      </x:c>
      <x:c r="X375" s="48" t="str">
        <x:v>MANAGER_SELF_DESCRIPTION; NOT BEHAVIOURAL FREQUENCY</x:v>
      </x:c>
    </x:row>
    <x:row r="376">
      <x:c r="A376" s="48" t="str">
        <x:v>B_GOVERNANCE_SEGMENTATION</x:v>
      </x:c>
      <x:c r="B376" s="48" t="str">
        <x:v>Tier B v1.1 - N=29 rerun</x:v>
      </x:c>
      <x:c r="C376" s="48" t="str">
        <x:v>2026-07-16</x:v>
      </x:c>
      <x:c r="D376" s="48" t="str">
        <x:v>D05</x:v>
      </x:c>
      <x:c r="E376" s="48" t="str">
        <x:v>DILIGENCE_ORGANIZATION</x:v>
      </x:c>
      <x:c r="F376" s="48" t="str">
        <x:v>Operating team enters at screen or pre-offer stage</x:v>
      </x:c>
      <x:c r="G376" s="48" t="str">
        <x:v>governance_architecture</x:v>
      </x:c>
      <x:c r="H376" s="48" t="str">
        <x:v>IC_FINAL_OR_DE_FACTO</x:v>
      </x:c>
      <x:c r="I376" s="48" t="str">
        <x:v>26</x:v>
      </x:c>
      <x:c r="J376" s="48" t="str">
        <x:v>20</x:v>
      </x:c>
      <x:c r="K376" s="48" t="str">
        <x:v>7</x:v>
      </x:c>
      <x:c r="L376" s="48" t="str">
        <x:v>5</x:v>
      </x:c>
      <x:c r="M376" s="48" t="str">
        <x:v>25</x:v>
      </x:c>
      <x:c r="N376" s="48" t="str">
        <x:v>1</x:v>
      </x:c>
      <x:c r="O376" s="48" t="str">
        <x:v>0</x:v>
      </x:c>
      <x:c r="P376" s="48" t="str">
        <x:v>0</x:v>
      </x:c>
      <x:c r="Q376" s="48" t="str">
        <x:v>0.800</x:v>
      </x:c>
      <x:c r="R376" s="48" t="str">
        <x:v>N TOO SMALL</x:v>
      </x:c>
      <x:c r="S376" s="48" t="str"/>
      <x:c r="T376" s="48" t="str">
        <x:v>IC_FINAL_OR_DE_FACTO:N=25,p=0.800</x:v>
      </x:c>
      <x:c r="U376" s="48" t="str">
        <x:v>Fewer than two driver groups have at least 5 observable manager families.</x:v>
      </x:c>
      <x:c r="V376" s="48" t="str">
        <x:v>At least 5 observable manager families in at least 2 driver groups</x:v>
      </x:c>
      <x:c r="W376" s="48" t="str">
        <x:v>&gt;=0.35 separates; &lt;=0.15 does not separate; intermediate is inconclusive/confounded; direct driver-definition tests are CIRCULAR</x:v>
      </x:c>
      <x:c r="X376" s="48" t="str">
        <x:v>MANAGER_SELF_DESCRIPTION; NOT BEHAVIOURAL FREQUENCY</x:v>
      </x:c>
    </x:row>
    <x:row r="377">
      <x:c r="A377" s="48" t="str">
        <x:v>B_GOVERNANCE_SEGMENTATION</x:v>
      </x:c>
      <x:c r="B377" s="48" t="str">
        <x:v>Tier B v1.1 - N=29 rerun</x:v>
      </x:c>
      <x:c r="C377" s="48" t="str">
        <x:v>2026-07-16</x:v>
      </x:c>
      <x:c r="D377" s="48" t="str">
        <x:v>D05</x:v>
      </x:c>
      <x:c r="E377" s="48" t="str">
        <x:v>DILIGENCE_ORGANIZATION</x:v>
      </x:c>
      <x:c r="F377" s="48" t="str">
        <x:v>Operating team enters at screen or pre-offer stage</x:v>
      </x:c>
      <x:c r="G377" s="48" t="str">
        <x:v>governance_architecture</x:v>
      </x:c>
      <x:c r="H377" s="48" t="str">
        <x:v>IC_RECOMMENDS_SEPARATE_FINAL_AUTHORITY</x:v>
      </x:c>
      <x:c r="I377" s="48" t="str">
        <x:v>3</x:v>
      </x:c>
      <x:c r="J377" s="48" t="str">
        <x:v>2</x:v>
      </x:c>
      <x:c r="K377" s="48" t="str">
        <x:v>0</x:v>
      </x:c>
      <x:c r="L377" s="48" t="str">
        <x:v>0</x:v>
      </x:c>
      <x:c r="M377" s="48" t="str">
        <x:v>2</x:v>
      </x:c>
      <x:c r="N377" s="48" t="str">
        <x:v>1</x:v>
      </x:c>
      <x:c r="O377" s="48" t="str">
        <x:v>0</x:v>
      </x:c>
      <x:c r="P377" s="48" t="str">
        <x:v>0</x:v>
      </x:c>
      <x:c r="Q377" s="48" t="str">
        <x:v>1.000</x:v>
      </x:c>
      <x:c r="R377" s="48" t="str">
        <x:v>N TOO SMALL</x:v>
      </x:c>
      <x:c r="S377" s="48" t="str"/>
      <x:c r="T377" s="48" t="str">
        <x:v>IC_FINAL_OR_DE_FACTO:N=25,p=0.800</x:v>
      </x:c>
      <x:c r="U377" s="48" t="str">
        <x:v>Fewer than two driver groups have at least 5 observable manager families.</x:v>
      </x:c>
      <x:c r="V377" s="48" t="str">
        <x:v>At least 5 observable manager families in at least 2 driver groups</x:v>
      </x:c>
      <x:c r="W377" s="48" t="str">
        <x:v>&gt;=0.35 separates; &lt;=0.15 does not separate; intermediate is inconclusive/confounded; direct driver-definition tests are CIRCULAR</x:v>
      </x:c>
      <x:c r="X377" s="48" t="str">
        <x:v>MANAGER_SELF_DESCRIPTION; NOT BEHAVIOURAL FREQUENCY</x:v>
      </x:c>
    </x:row>
    <x:row r="378">
      <x:c r="A378" s="48" t="str">
        <x:v>B_GOVERNANCE_SEGMENTATION</x:v>
      </x:c>
      <x:c r="B378" s="48" t="str">
        <x:v>Tier B v1.1 - N=29 rerun</x:v>
      </x:c>
      <x:c r="C378" s="48" t="str">
        <x:v>2026-07-16</x:v>
      </x:c>
      <x:c r="D378" s="48" t="str">
        <x:v>D05</x:v>
      </x:c>
      <x:c r="E378" s="48" t="str">
        <x:v>DILIGENCE_ORGANIZATION</x:v>
      </x:c>
      <x:c r="F378" s="48" t="str">
        <x:v>Operating team enters at screen or pre-offer stage</x:v>
      </x:c>
      <x:c r="G378" s="48" t="str">
        <x:v>dedicated_operating_team</x:v>
      </x:c>
      <x:c r="H378" s="48" t="str">
        <x:v>NO_OR_LIMITED</x:v>
      </x:c>
      <x:c r="I378" s="48" t="str">
        <x:v>6</x:v>
      </x:c>
      <x:c r="J378" s="48" t="str">
        <x:v>0</x:v>
      </x:c>
      <x:c r="K378" s="48" t="str">
        <x:v>0</x:v>
      </x:c>
      <x:c r="L378" s="48" t="str">
        <x:v>5</x:v>
      </x:c>
      <x:c r="M378" s="48" t="str">
        <x:v>5</x:v>
      </x:c>
      <x:c r="N378" s="48" t="str">
        <x:v>1</x:v>
      </x:c>
      <x:c r="O378" s="48" t="str">
        <x:v>0</x:v>
      </x:c>
      <x:c r="P378" s="48" t="str">
        <x:v>0</x:v>
      </x:c>
      <x:c r="Q378" s="48" t="str">
        <x:v>0.000</x:v>
      </x:c>
      <x:c r="R378" s="48" t="str">
        <x:v>CIRCULAR</x:v>
      </x:c>
      <x:c r="S378" s="48" t="str"/>
      <x:c r="T378" s="48" t="str">
        <x:v>NO_OR_LIMITED:N=5,p=0.000; YES_DEDICATED:N=22,p=1.000</x:v>
      </x:c>
      <x:c r="U378" s="48" t="str">
        <x:v>Feature directly defines or mechanically presupposes the operating-team driver; excluded from separation testing.</x:v>
      </x:c>
      <x:c r="V378" s="48" t="str">
        <x:v>At least 5 observable manager families in at least 2 driver groups</x:v>
      </x:c>
      <x:c r="W378" s="48" t="str">
        <x:v>&gt;=0.35 separates; &lt;=0.15 does not separate; intermediate is inconclusive/confounded; direct driver-definition tests are CIRCULAR</x:v>
      </x:c>
      <x:c r="X378" s="48" t="str">
        <x:v>MANAGER_SELF_DESCRIPTION; NOT BEHAVIOURAL FREQUENCY</x:v>
      </x:c>
    </x:row>
    <x:row r="379">
      <x:c r="A379" s="48" t="str">
        <x:v>B_GOVERNANCE_SEGMENTATION</x:v>
      </x:c>
      <x:c r="B379" s="48" t="str">
        <x:v>Tier B v1.1 - N=29 rerun</x:v>
      </x:c>
      <x:c r="C379" s="48" t="str">
        <x:v>2026-07-16</x:v>
      </x:c>
      <x:c r="D379" s="48" t="str">
        <x:v>D05</x:v>
      </x:c>
      <x:c r="E379" s="48" t="str">
        <x:v>DILIGENCE_ORGANIZATION</x:v>
      </x:c>
      <x:c r="F379" s="48" t="str">
        <x:v>Operating team enters at screen or pre-offer stage</x:v>
      </x:c>
      <x:c r="G379" s="48" t="str">
        <x:v>dedicated_operating_team</x:v>
      </x:c>
      <x:c r="H379" s="48" t="str">
        <x:v>YES_DEDICATED</x:v>
      </x:c>
      <x:c r="I379" s="48" t="str">
        <x:v>23</x:v>
      </x:c>
      <x:c r="J379" s="48" t="str">
        <x:v>22</x:v>
      </x:c>
      <x:c r="K379" s="48" t="str">
        <x:v>7</x:v>
      </x:c>
      <x:c r="L379" s="48" t="str">
        <x:v>0</x:v>
      </x:c>
      <x:c r="M379" s="48" t="str">
        <x:v>22</x:v>
      </x:c>
      <x:c r="N379" s="48" t="str">
        <x:v>1</x:v>
      </x:c>
      <x:c r="O379" s="48" t="str">
        <x:v>0</x:v>
      </x:c>
      <x:c r="P379" s="48" t="str">
        <x:v>0</x:v>
      </x:c>
      <x:c r="Q379" s="48" t="str">
        <x:v>1.000</x:v>
      </x:c>
      <x:c r="R379" s="48" t="str">
        <x:v>CIRCULAR</x:v>
      </x:c>
      <x:c r="S379" s="48" t="str"/>
      <x:c r="T379" s="48" t="str">
        <x:v>NO_OR_LIMITED:N=5,p=0.000; YES_DEDICATED:N=22,p=1.000</x:v>
      </x:c>
      <x:c r="U379" s="48" t="str">
        <x:v>Feature directly defines or mechanically presupposes the operating-team driver; excluded from separation testing.</x:v>
      </x:c>
      <x:c r="V379" s="48" t="str">
        <x:v>At least 5 observable manager families in at least 2 driver groups</x:v>
      </x:c>
      <x:c r="W379" s="48" t="str">
        <x:v>&gt;=0.35 separates; &lt;=0.15 does not separate; intermediate is inconclusive/confounded; direct driver-definition tests are CIRCULAR</x:v>
      </x:c>
      <x:c r="X379" s="48" t="str">
        <x:v>MANAGER_SELF_DESCRIPTION; NOT BEHAVIOURAL FREQUENCY</x:v>
      </x:c>
    </x:row>
    <x:row r="380">
      <x:c r="A380" s="48" t="str">
        <x:v>B_GOVERNANCE_SEGMENTATION</x:v>
      </x:c>
      <x:c r="B380" s="48" t="str">
        <x:v>Tier B v1.1 - N=29 rerun</x:v>
      </x:c>
      <x:c r="C380" s="48" t="str">
        <x:v>2026-07-16</x:v>
      </x:c>
      <x:c r="D380" s="48" t="str">
        <x:v>D06</x:v>
      </x:c>
      <x:c r="E380" s="48" t="str">
        <x:v>DILIGENCE_ORGANIZATION</x:v>
      </x:c>
      <x:c r="F380" s="48" t="str">
        <x:v>Independent risk or challenge function</x:v>
      </x:c>
      <x:c r="G380" s="48" t="str">
        <x:v>fund_size_archetype</x:v>
      </x:c>
      <x:c r="H380" s="48" t="str">
        <x:v>LARGE_2_TO_LT_5B</x:v>
      </x:c>
      <x:c r="I380" s="48" t="str">
        <x:v>9</x:v>
      </x:c>
      <x:c r="J380" s="48" t="str">
        <x:v>2</x:v>
      </x:c>
      <x:c r="K380" s="48" t="str">
        <x:v>1</x:v>
      </x:c>
      <x:c r="L380" s="48" t="str">
        <x:v>0</x:v>
      </x:c>
      <x:c r="M380" s="48" t="str">
        <x:v>2</x:v>
      </x:c>
      <x:c r="N380" s="48" t="str">
        <x:v>7</x:v>
      </x:c>
      <x:c r="O380" s="48" t="str">
        <x:v>0</x:v>
      </x:c>
      <x:c r="P380" s="48" t="str">
        <x:v>0</x:v>
      </x:c>
      <x:c r="Q380" s="48" t="str">
        <x:v>1.000</x:v>
      </x:c>
      <x:c r="R380" s="48" t="str">
        <x:v>N TOO SMALL</x:v>
      </x:c>
      <x:c r="S380" s="48" t="str"/>
      <x:c r="T380" s="48" t="str">
        <x:v>MEGA_GE_5B:N=5,p=1.000</x:v>
      </x:c>
      <x:c r="U380" s="48" t="str">
        <x:v>Fewer than two driver groups have at least 5 observable manager families.</x:v>
      </x:c>
      <x:c r="V380" s="48" t="str">
        <x:v>At least 5 observable manager families in at least 2 driver groups</x:v>
      </x:c>
      <x:c r="W380" s="48" t="str">
        <x:v>&gt;=0.35 separates; &lt;=0.15 does not separate; intermediate is inconclusive/confounded; direct driver-definition tests are CIRCULAR</x:v>
      </x:c>
      <x:c r="X380" s="48" t="str">
        <x:v>MANAGER_SELF_DESCRIPTION; NOT BEHAVIOURAL FREQUENCY</x:v>
      </x:c>
    </x:row>
    <x:row r="381">
      <x:c r="A381" s="48" t="str">
        <x:v>B_GOVERNANCE_SEGMENTATION</x:v>
      </x:c>
      <x:c r="B381" s="48" t="str">
        <x:v>Tier B v1.1 - N=29 rerun</x:v>
      </x:c>
      <x:c r="C381" s="48" t="str">
        <x:v>2026-07-16</x:v>
      </x:c>
      <x:c r="D381" s="48" t="str">
        <x:v>D06</x:v>
      </x:c>
      <x:c r="E381" s="48" t="str">
        <x:v>DILIGENCE_ORGANIZATION</x:v>
      </x:c>
      <x:c r="F381" s="48" t="str">
        <x:v>Independent risk or challenge function</x:v>
      </x:c>
      <x:c r="G381" s="48" t="str">
        <x:v>fund_size_archetype</x:v>
      </x:c>
      <x:c r="H381" s="48" t="str">
        <x:v>LOWER_MID_LT_2B</x:v>
      </x:c>
      <x:c r="I381" s="48" t="str">
        <x:v>8</x:v>
      </x:c>
      <x:c r="J381" s="48" t="str">
        <x:v>1</x:v>
      </x:c>
      <x:c r="K381" s="48" t="str">
        <x:v>0</x:v>
      </x:c>
      <x:c r="L381" s="48" t="str">
        <x:v>0</x:v>
      </x:c>
      <x:c r="M381" s="48" t="str">
        <x:v>1</x:v>
      </x:c>
      <x:c r="N381" s="48" t="str">
        <x:v>7</x:v>
      </x:c>
      <x:c r="O381" s="48" t="str">
        <x:v>0</x:v>
      </x:c>
      <x:c r="P381" s="48" t="str">
        <x:v>0</x:v>
      </x:c>
      <x:c r="Q381" s="48" t="str">
        <x:v>1.000</x:v>
      </x:c>
      <x:c r="R381" s="48" t="str">
        <x:v>N TOO SMALL</x:v>
      </x:c>
      <x:c r="S381" s="48" t="str"/>
      <x:c r="T381" s="48" t="str">
        <x:v>MEGA_GE_5B:N=5,p=1.000</x:v>
      </x:c>
      <x:c r="U381" s="48" t="str">
        <x:v>Fewer than two driver groups have at least 5 observable manager families.</x:v>
      </x:c>
      <x:c r="V381" s="48" t="str">
        <x:v>At least 5 observable manager families in at least 2 driver groups</x:v>
      </x:c>
      <x:c r="W381" s="48" t="str">
        <x:v>&gt;=0.35 separates; &lt;=0.15 does not separate; intermediate is inconclusive/confounded; direct driver-definition tests are CIRCULAR</x:v>
      </x:c>
      <x:c r="X381" s="48" t="str">
        <x:v>MANAGER_SELF_DESCRIPTION; NOT BEHAVIOURAL FREQUENCY</x:v>
      </x:c>
    </x:row>
    <x:row r="382">
      <x:c r="A382" s="48" t="str">
        <x:v>B_GOVERNANCE_SEGMENTATION</x:v>
      </x:c>
      <x:c r="B382" s="48" t="str">
        <x:v>Tier B v1.1 - N=29 rerun</x:v>
      </x:c>
      <x:c r="C382" s="48" t="str">
        <x:v>2026-07-16</x:v>
      </x:c>
      <x:c r="D382" s="48" t="str">
        <x:v>D06</x:v>
      </x:c>
      <x:c r="E382" s="48" t="str">
        <x:v>DILIGENCE_ORGANIZATION</x:v>
      </x:c>
      <x:c r="F382" s="48" t="str">
        <x:v>Independent risk or challenge function</x:v>
      </x:c>
      <x:c r="G382" s="48" t="str">
        <x:v>fund_size_archetype</x:v>
      </x:c>
      <x:c r="H382" s="48" t="str">
        <x:v>MEGA_GE_5B</x:v>
      </x:c>
      <x:c r="I382" s="48" t="str">
        <x:v>11</x:v>
      </x:c>
      <x:c r="J382" s="48" t="str">
        <x:v>5</x:v>
      </x:c>
      <x:c r="K382" s="48" t="str">
        <x:v>0</x:v>
      </x:c>
      <x:c r="L382" s="48" t="str">
        <x:v>0</x:v>
      </x:c>
      <x:c r="M382" s="48" t="str">
        <x:v>5</x:v>
      </x:c>
      <x:c r="N382" s="48" t="str">
        <x:v>6</x:v>
      </x:c>
      <x:c r="O382" s="48" t="str">
        <x:v>0</x:v>
      </x:c>
      <x:c r="P382" s="48" t="str">
        <x:v>0</x:v>
      </x:c>
      <x:c r="Q382" s="48" t="str">
        <x:v>1.000</x:v>
      </x:c>
      <x:c r="R382" s="48" t="str">
        <x:v>N TOO SMALL</x:v>
      </x:c>
      <x:c r="S382" s="48" t="str"/>
      <x:c r="T382" s="48" t="str">
        <x:v>MEGA_GE_5B:N=5,p=1.000</x:v>
      </x:c>
      <x:c r="U382" s="48" t="str">
        <x:v>Fewer than two driver groups have at least 5 observable manager families.</x:v>
      </x:c>
      <x:c r="V382" s="48" t="str">
        <x:v>At least 5 observable manager families in at least 2 driver groups</x:v>
      </x:c>
      <x:c r="W382" s="48" t="str">
        <x:v>&gt;=0.35 separates; &lt;=0.15 does not separate; intermediate is inconclusive/confounded; direct driver-definition tests are CIRCULAR</x:v>
      </x:c>
      <x:c r="X382" s="48" t="str">
        <x:v>MANAGER_SELF_DESCRIPTION; NOT BEHAVIOURAL FREQUENCY</x:v>
      </x:c>
    </x:row>
    <x:row r="383">
      <x:c r="A383" s="48" t="str">
        <x:v>B_GOVERNANCE_SEGMENTATION</x:v>
      </x:c>
      <x:c r="B383" s="48" t="str">
        <x:v>Tier B v1.1 - N=29 rerun</x:v>
      </x:c>
      <x:c r="C383" s="48" t="str">
        <x:v>2026-07-16</x:v>
      </x:c>
      <x:c r="D383" s="48" t="str">
        <x:v>D06</x:v>
      </x:c>
      <x:c r="E383" s="48" t="str">
        <x:v>DILIGENCE_ORGANIZATION</x:v>
      </x:c>
      <x:c r="F383" s="48" t="str">
        <x:v>Independent risk or challenge function</x:v>
      </x:c>
      <x:c r="G383" s="48" t="str">
        <x:v>fund_size_archetype</x:v>
      </x:c>
      <x:c r="H383" s="48" t="str">
        <x:v>NOT_APPLICABLE</x:v>
      </x:c>
      <x:c r="I383" s="48" t="str">
        <x:v>1</x:v>
      </x:c>
      <x:c r="J383" s="48" t="str">
        <x:v>0</x:v>
      </x:c>
      <x:c r="K383" s="48" t="str">
        <x:v>0</x:v>
      </x:c>
      <x:c r="L383" s="48" t="str">
        <x:v>0</x:v>
      </x:c>
      <x:c r="M383" s="48" t="str">
        <x:v>0</x:v>
      </x:c>
      <x:c r="N383" s="48" t="str">
        <x:v>1</x:v>
      </x:c>
      <x:c r="O383" s="48" t="str">
        <x:v>0</x:v>
      </x:c>
      <x:c r="P383" s="48" t="str">
        <x:v>0</x:v>
      </x:c>
      <x:c r="Q383" s="48" t="str"/>
      <x:c r="R383" s="48" t="str">
        <x:v>N TOO SMALL</x:v>
      </x:c>
      <x:c r="S383" s="48" t="str"/>
      <x:c r="T383" s="48" t="str">
        <x:v>MEGA_GE_5B:N=5,p=1.000</x:v>
      </x:c>
      <x:c r="U383" s="48" t="str">
        <x:v>Fewer than two driver groups have at least 5 observable manager families.</x:v>
      </x:c>
      <x:c r="V383" s="48" t="str">
        <x:v>At least 5 observable manager families in at least 2 driver groups</x:v>
      </x:c>
      <x:c r="W383" s="48" t="str">
        <x:v>&gt;=0.35 separates; &lt;=0.15 does not separate; intermediate is inconclusive/confounded; direct driver-definition tests are CIRCULAR</x:v>
      </x:c>
      <x:c r="X383" s="48" t="str">
        <x:v>MANAGER_SELF_DESCRIPTION; NOT BEHAVIOURAL FREQUENCY</x:v>
      </x:c>
    </x:row>
    <x:row r="384">
      <x:c r="A384" s="48" t="str">
        <x:v>B_GOVERNANCE_SEGMENTATION</x:v>
      </x:c>
      <x:c r="B384" s="48" t="str">
        <x:v>Tier B v1.1 - N=29 rerun</x:v>
      </x:c>
      <x:c r="C384" s="48" t="str">
        <x:v>2026-07-16</x:v>
      </x:c>
      <x:c r="D384" s="48" t="str">
        <x:v>D06</x:v>
      </x:c>
      <x:c r="E384" s="48" t="str">
        <x:v>DILIGENCE_ORGANIZATION</x:v>
      </x:c>
      <x:c r="F384" s="48" t="str">
        <x:v>Independent risk or challenge function</x:v>
      </x:c>
      <x:c r="G384" s="48" t="str">
        <x:v>strategy</x:v>
      </x:c>
      <x:c r="H384" s="48" t="str">
        <x:v>CONTROL_BUYOUT</x:v>
      </x:c>
      <x:c r="I384" s="48" t="str">
        <x:v>22</x:v>
      </x:c>
      <x:c r="J384" s="48" t="str">
        <x:v>6</x:v>
      </x:c>
      <x:c r="K384" s="48" t="str">
        <x:v>1</x:v>
      </x:c>
      <x:c r="L384" s="48" t="str">
        <x:v>0</x:v>
      </x:c>
      <x:c r="M384" s="48" t="str">
        <x:v>6</x:v>
      </x:c>
      <x:c r="N384" s="48" t="str">
        <x:v>16</x:v>
      </x:c>
      <x:c r="O384" s="48" t="str">
        <x:v>0</x:v>
      </x:c>
      <x:c r="P384" s="48" t="str">
        <x:v>0</x:v>
      </x:c>
      <x:c r="Q384" s="48" t="str">
        <x:v>1.000</x:v>
      </x:c>
      <x:c r="R384" s="48" t="str">
        <x:v>N TOO SMALL</x:v>
      </x:c>
      <x:c r="S384" s="48" t="str"/>
      <x:c r="T384" s="48" t="str">
        <x:v>CONTROL_BUYOUT:N=6,p=1.000</x:v>
      </x:c>
      <x:c r="U384" s="48" t="str">
        <x:v>Fewer than two driver groups have at least 5 observable manager families.</x:v>
      </x:c>
      <x:c r="V384" s="48" t="str">
        <x:v>At least 5 observable manager families in at least 2 driver groups</x:v>
      </x:c>
      <x:c r="W384" s="48" t="str">
        <x:v>&gt;=0.35 separates; &lt;=0.15 does not separate; intermediate is inconclusive/confounded; direct driver-definition tests are CIRCULAR</x:v>
      </x:c>
      <x:c r="X384" s="48" t="str">
        <x:v>MANAGER_SELF_DESCRIPTION; NOT BEHAVIOURAL FREQUENCY</x:v>
      </x:c>
    </x:row>
    <x:row r="385">
      <x:c r="A385" s="48" t="str">
        <x:v>B_GOVERNANCE_SEGMENTATION</x:v>
      </x:c>
      <x:c r="B385" s="48" t="str">
        <x:v>Tier B v1.1 - N=29 rerun</x:v>
      </x:c>
      <x:c r="C385" s="48" t="str">
        <x:v>2026-07-16</x:v>
      </x:c>
      <x:c r="D385" s="48" t="str">
        <x:v>D06</x:v>
      </x:c>
      <x:c r="E385" s="48" t="str">
        <x:v>DILIGENCE_ORGANIZATION</x:v>
      </x:c>
      <x:c r="F385" s="48" t="str">
        <x:v>Independent risk or challenge function</x:v>
      </x:c>
      <x:c r="G385" s="48" t="str">
        <x:v>strategy</x:v>
      </x:c>
      <x:c r="H385" s="48" t="str">
        <x:v>GROWTH_CONTROL_HYBRID</x:v>
      </x:c>
      <x:c r="I385" s="48" t="str">
        <x:v>6</x:v>
      </x:c>
      <x:c r="J385" s="48" t="str">
        <x:v>1</x:v>
      </x:c>
      <x:c r="K385" s="48" t="str">
        <x:v>0</x:v>
      </x:c>
      <x:c r="L385" s="48" t="str">
        <x:v>0</x:v>
      </x:c>
      <x:c r="M385" s="48" t="str">
        <x:v>1</x:v>
      </x:c>
      <x:c r="N385" s="48" t="str">
        <x:v>5</x:v>
      </x:c>
      <x:c r="O385" s="48" t="str">
        <x:v>0</x:v>
      </x:c>
      <x:c r="P385" s="48" t="str">
        <x:v>0</x:v>
      </x:c>
      <x:c r="Q385" s="48" t="str">
        <x:v>1.000</x:v>
      </x:c>
      <x:c r="R385" s="48" t="str">
        <x:v>N TOO SMALL</x:v>
      </x:c>
      <x:c r="S385" s="48" t="str"/>
      <x:c r="T385" s="48" t="str">
        <x:v>CONTROL_BUYOUT:N=6,p=1.000</x:v>
      </x:c>
      <x:c r="U385" s="48" t="str">
        <x:v>Fewer than two driver groups have at least 5 observable manager families.</x:v>
      </x:c>
      <x:c r="V385" s="48" t="str">
        <x:v>At least 5 observable manager families in at least 2 driver groups</x:v>
      </x:c>
      <x:c r="W385" s="48" t="str">
        <x:v>&gt;=0.35 separates; &lt;=0.15 does not separate; intermediate is inconclusive/confounded; direct driver-definition tests are CIRCULAR</x:v>
      </x:c>
      <x:c r="X385" s="48" t="str">
        <x:v>MANAGER_SELF_DESCRIPTION; NOT BEHAVIOURAL FREQUENCY</x:v>
      </x:c>
    </x:row>
    <x:row r="386">
      <x:c r="A386" s="48" t="str">
        <x:v>B_GOVERNANCE_SEGMENTATION</x:v>
      </x:c>
      <x:c r="B386" s="48" t="str">
        <x:v>Tier B v1.1 - N=29 rerun</x:v>
      </x:c>
      <x:c r="C386" s="48" t="str">
        <x:v>2026-07-16</x:v>
      </x:c>
      <x:c r="D386" s="48" t="str">
        <x:v>D06</x:v>
      </x:c>
      <x:c r="E386" s="48" t="str">
        <x:v>DILIGENCE_ORGANIZATION</x:v>
      </x:c>
      <x:c r="F386" s="48" t="str">
        <x:v>Independent risk or challenge function</x:v>
      </x:c>
      <x:c r="G386" s="48" t="str">
        <x:v>strategy</x:v>
      </x:c>
      <x:c r="H386" s="48" t="str">
        <x:v>OPPORTUNISTIC_CONTROL</x:v>
      </x:c>
      <x:c r="I386" s="48" t="str">
        <x:v>1</x:v>
      </x:c>
      <x:c r="J386" s="48" t="str">
        <x:v>1</x:v>
      </x:c>
      <x:c r="K386" s="48" t="str">
        <x:v>0</x:v>
      </x:c>
      <x:c r="L386" s="48" t="str">
        <x:v>0</x:v>
      </x:c>
      <x:c r="M386" s="48" t="str">
        <x:v>1</x:v>
      </x:c>
      <x:c r="N386" s="48" t="str">
        <x:v>0</x:v>
      </x:c>
      <x:c r="O386" s="48" t="str">
        <x:v>0</x:v>
      </x:c>
      <x:c r="P386" s="48" t="str">
        <x:v>0</x:v>
      </x:c>
      <x:c r="Q386" s="48" t="str">
        <x:v>1.000</x:v>
      </x:c>
      <x:c r="R386" s="48" t="str">
        <x:v>N TOO SMALL</x:v>
      </x:c>
      <x:c r="S386" s="48" t="str"/>
      <x:c r="T386" s="48" t="str">
        <x:v>CONTROL_BUYOUT:N=6,p=1.000</x:v>
      </x:c>
      <x:c r="U386" s="48" t="str">
        <x:v>Fewer than two driver groups have at least 5 observable manager families.</x:v>
      </x:c>
      <x:c r="V386" s="48" t="str">
        <x:v>At least 5 observable manager families in at least 2 driver groups</x:v>
      </x:c>
      <x:c r="W386" s="48" t="str">
        <x:v>&gt;=0.35 separates; &lt;=0.15 does not separate; intermediate is inconclusive/confounded; direct driver-definition tests are CIRCULAR</x:v>
      </x:c>
      <x:c r="X386" s="48" t="str">
        <x:v>MANAGER_SELF_DESCRIPTION; NOT BEHAVIOURAL FREQUENCY</x:v>
      </x:c>
    </x:row>
    <x:row r="387">
      <x:c r="A387" s="48" t="str">
        <x:v>B_GOVERNANCE_SEGMENTATION</x:v>
      </x:c>
      <x:c r="B387" s="48" t="str">
        <x:v>Tier B v1.1 - N=29 rerun</x:v>
      </x:c>
      <x:c r="C387" s="48" t="str">
        <x:v>2026-07-16</x:v>
      </x:c>
      <x:c r="D387" s="48" t="str">
        <x:v>D06</x:v>
      </x:c>
      <x:c r="E387" s="48" t="str">
        <x:v>DILIGENCE_ORGANIZATION</x:v>
      </x:c>
      <x:c r="F387" s="48" t="str">
        <x:v>Independent risk or challenge function</x:v>
      </x:c>
      <x:c r="G387" s="48" t="str">
        <x:v>geography</x:v>
      </x:c>
      <x:c r="H387" s="48" t="str">
        <x:v>ASIA_PACIFIC</x:v>
      </x:c>
      <x:c r="I387" s="48" t="str">
        <x:v>4</x:v>
      </x:c>
      <x:c r="J387" s="48" t="str">
        <x:v>3</x:v>
      </x:c>
      <x:c r="K387" s="48" t="str">
        <x:v>0</x:v>
      </x:c>
      <x:c r="L387" s="48" t="str">
        <x:v>0</x:v>
      </x:c>
      <x:c r="M387" s="48" t="str">
        <x:v>3</x:v>
      </x:c>
      <x:c r="N387" s="48" t="str">
        <x:v>1</x:v>
      </x:c>
      <x:c r="O387" s="48" t="str">
        <x:v>0</x:v>
      </x:c>
      <x:c r="P387" s="48" t="str">
        <x:v>0</x:v>
      </x:c>
      <x:c r="Q387" s="48" t="str">
        <x:v>1.000</x:v>
      </x:c>
      <x:c r="R387" s="48" t="str">
        <x:v>N TOO SMALL</x:v>
      </x:c>
      <x:c r="S387" s="48" t="str"/>
      <x:c r="T387" s="48" t="str"/>
      <x:c r="U387" s="48" t="str">
        <x:v>Fewer than two driver groups have at least 5 observable manager families.</x:v>
      </x:c>
      <x:c r="V387" s="48" t="str">
        <x:v>At least 5 observable manager families in at least 2 driver groups</x:v>
      </x:c>
      <x:c r="W387" s="48" t="str">
        <x:v>&gt;=0.35 separates; &lt;=0.15 does not separate; intermediate is inconclusive/confounded; direct driver-definition tests are CIRCULAR</x:v>
      </x:c>
      <x:c r="X387" s="48" t="str">
        <x:v>MANAGER_SELF_DESCRIPTION; NOT BEHAVIOURAL FREQUENCY</x:v>
      </x:c>
    </x:row>
    <x:row r="388">
      <x:c r="A388" s="48" t="str">
        <x:v>B_GOVERNANCE_SEGMENTATION</x:v>
      </x:c>
      <x:c r="B388" s="48" t="str">
        <x:v>Tier B v1.1 - N=29 rerun</x:v>
      </x:c>
      <x:c r="C388" s="48" t="str">
        <x:v>2026-07-16</x:v>
      </x:c>
      <x:c r="D388" s="48" t="str">
        <x:v>D06</x:v>
      </x:c>
      <x:c r="E388" s="48" t="str">
        <x:v>DILIGENCE_ORGANIZATION</x:v>
      </x:c>
      <x:c r="F388" s="48" t="str">
        <x:v>Independent risk or challenge function</x:v>
      </x:c>
      <x:c r="G388" s="48" t="str">
        <x:v>geography</x:v>
      </x:c>
      <x:c r="H388" s="48" t="str">
        <x:v>EUROPE</x:v>
      </x:c>
      <x:c r="I388" s="48" t="str">
        <x:v>2</x:v>
      </x:c>
      <x:c r="J388" s="48" t="str">
        <x:v>1</x:v>
      </x:c>
      <x:c r="K388" s="48" t="str">
        <x:v>0</x:v>
      </x:c>
      <x:c r="L388" s="48" t="str">
        <x:v>0</x:v>
      </x:c>
      <x:c r="M388" s="48" t="str">
        <x:v>1</x:v>
      </x:c>
      <x:c r="N388" s="48" t="str">
        <x:v>1</x:v>
      </x:c>
      <x:c r="O388" s="48" t="str">
        <x:v>0</x:v>
      </x:c>
      <x:c r="P388" s="48" t="str">
        <x:v>0</x:v>
      </x:c>
      <x:c r="Q388" s="48" t="str">
        <x:v>1.000</x:v>
      </x:c>
      <x:c r="R388" s="48" t="str">
        <x:v>N TOO SMALL</x:v>
      </x:c>
      <x:c r="S388" s="48" t="str"/>
      <x:c r="T388" s="48" t="str"/>
      <x:c r="U388" s="48" t="str">
        <x:v>Fewer than two driver groups have at least 5 observable manager families.</x:v>
      </x:c>
      <x:c r="V388" s="48" t="str">
        <x:v>At least 5 observable manager families in at least 2 driver groups</x:v>
      </x:c>
      <x:c r="W388" s="48" t="str">
        <x:v>&gt;=0.35 separates; &lt;=0.15 does not separate; intermediate is inconclusive/confounded; direct driver-definition tests are CIRCULAR</x:v>
      </x:c>
      <x:c r="X388" s="48" t="str">
        <x:v>MANAGER_SELF_DESCRIPTION; NOT BEHAVIOURAL FREQUENCY</x:v>
      </x:c>
    </x:row>
    <x:row r="389">
      <x:c r="A389" s="48" t="str">
        <x:v>B_GOVERNANCE_SEGMENTATION</x:v>
      </x:c>
      <x:c r="B389" s="48" t="str">
        <x:v>Tier B v1.1 - N=29 rerun</x:v>
      </x:c>
      <x:c r="C389" s="48" t="str">
        <x:v>2026-07-16</x:v>
      </x:c>
      <x:c r="D389" s="48" t="str">
        <x:v>D06</x:v>
      </x:c>
      <x:c r="E389" s="48" t="str">
        <x:v>DILIGENCE_ORGANIZATION</x:v>
      </x:c>
      <x:c r="F389" s="48" t="str">
        <x:v>Independent risk or challenge function</x:v>
      </x:c>
      <x:c r="G389" s="48" t="str">
        <x:v>geography</x:v>
      </x:c>
      <x:c r="H389" s="48" t="str">
        <x:v>GLOBAL_TRANSATLANTIC</x:v>
      </x:c>
      <x:c r="I389" s="48" t="str">
        <x:v>10</x:v>
      </x:c>
      <x:c r="J389" s="48" t="str">
        <x:v>3</x:v>
      </x:c>
      <x:c r="K389" s="48" t="str">
        <x:v>0</x:v>
      </x:c>
      <x:c r="L389" s="48" t="str">
        <x:v>0</x:v>
      </x:c>
      <x:c r="M389" s="48" t="str">
        <x:v>3</x:v>
      </x:c>
      <x:c r="N389" s="48" t="str">
        <x:v>7</x:v>
      </x:c>
      <x:c r="O389" s="48" t="str">
        <x:v>0</x:v>
      </x:c>
      <x:c r="P389" s="48" t="str">
        <x:v>0</x:v>
      </x:c>
      <x:c r="Q389" s="48" t="str">
        <x:v>1.000</x:v>
      </x:c>
      <x:c r="R389" s="48" t="str">
        <x:v>N TOO SMALL</x:v>
      </x:c>
      <x:c r="S389" s="48" t="str"/>
      <x:c r="T389" s="48" t="str"/>
      <x:c r="U389" s="48" t="str">
        <x:v>Fewer than two driver groups have at least 5 observable manager families.</x:v>
      </x:c>
      <x:c r="V389" s="48" t="str">
        <x:v>At least 5 observable manager families in at least 2 driver groups</x:v>
      </x:c>
      <x:c r="W389" s="48" t="str">
        <x:v>&gt;=0.35 separates; &lt;=0.15 does not separate; intermediate is inconclusive/confounded; direct driver-definition tests are CIRCULAR</x:v>
      </x:c>
      <x:c r="X389" s="48" t="str">
        <x:v>MANAGER_SELF_DESCRIPTION; NOT BEHAVIOURAL FREQUENCY</x:v>
      </x:c>
    </x:row>
    <x:row r="390">
      <x:c r="A390" s="48" t="str">
        <x:v>B_GOVERNANCE_SEGMENTATION</x:v>
      </x:c>
      <x:c r="B390" s="48" t="str">
        <x:v>Tier B v1.1 - N=29 rerun</x:v>
      </x:c>
      <x:c r="C390" s="48" t="str">
        <x:v>2026-07-16</x:v>
      </x:c>
      <x:c r="D390" s="48" t="str">
        <x:v>D06</x:v>
      </x:c>
      <x:c r="E390" s="48" t="str">
        <x:v>DILIGENCE_ORGANIZATION</x:v>
      </x:c>
      <x:c r="F390" s="48" t="str">
        <x:v>Independent risk or challenge function</x:v>
      </x:c>
      <x:c r="G390" s="48" t="str">
        <x:v>geography</x:v>
      </x:c>
      <x:c r="H390" s="48" t="str">
        <x:v>NORTH_AMERICA</x:v>
      </x:c>
      <x:c r="I390" s="48" t="str">
        <x:v>13</x:v>
      </x:c>
      <x:c r="J390" s="48" t="str">
        <x:v>1</x:v>
      </x:c>
      <x:c r="K390" s="48" t="str">
        <x:v>1</x:v>
      </x:c>
      <x:c r="L390" s="48" t="str">
        <x:v>0</x:v>
      </x:c>
      <x:c r="M390" s="48" t="str">
        <x:v>1</x:v>
      </x:c>
      <x:c r="N390" s="48" t="str">
        <x:v>12</x:v>
      </x:c>
      <x:c r="O390" s="48" t="str">
        <x:v>0</x:v>
      </x:c>
      <x:c r="P390" s="48" t="str">
        <x:v>0</x:v>
      </x:c>
      <x:c r="Q390" s="48" t="str">
        <x:v>1.000</x:v>
      </x:c>
      <x:c r="R390" s="48" t="str">
        <x:v>N TOO SMALL</x:v>
      </x:c>
      <x:c r="S390" s="48" t="str"/>
      <x:c r="T390" s="48" t="str"/>
      <x:c r="U390" s="48" t="str">
        <x:v>Fewer than two driver groups have at least 5 observable manager families.</x:v>
      </x:c>
      <x:c r="V390" s="48" t="str">
        <x:v>At least 5 observable manager families in at least 2 driver groups</x:v>
      </x:c>
      <x:c r="W390" s="48" t="str">
        <x:v>&gt;=0.35 separates; &lt;=0.15 does not separate; intermediate is inconclusive/confounded; direct driver-definition tests are CIRCULAR</x:v>
      </x:c>
      <x:c r="X390" s="48" t="str">
        <x:v>MANAGER_SELF_DESCRIPTION; NOT BEHAVIOURAL FREQUENCY</x:v>
      </x:c>
    </x:row>
    <x:row r="391">
      <x:c r="A391" s="48" t="str">
        <x:v>B_GOVERNANCE_SEGMENTATION</x:v>
      </x:c>
      <x:c r="B391" s="48" t="str">
        <x:v>Tier B v1.1 - N=29 rerun</x:v>
      </x:c>
      <x:c r="C391" s="48" t="str">
        <x:v>2026-07-16</x:v>
      </x:c>
      <x:c r="D391" s="48" t="str">
        <x:v>D06</x:v>
      </x:c>
      <x:c r="E391" s="48" t="str">
        <x:v>DILIGENCE_ORGANIZATION</x:v>
      </x:c>
      <x:c r="F391" s="48" t="str">
        <x:v>Independent risk or challenge function</x:v>
      </x:c>
      <x:c r="G391" s="48" t="str">
        <x:v>source_vintage_bin</x:v>
      </x:c>
      <x:c r="H391" s="48" t="str">
        <x:v>2018_2020</x:v>
      </x:c>
      <x:c r="I391" s="48" t="str">
        <x:v>6</x:v>
      </x:c>
      <x:c r="J391" s="48" t="str">
        <x:v>2</x:v>
      </x:c>
      <x:c r="K391" s="48" t="str">
        <x:v>0</x:v>
      </x:c>
      <x:c r="L391" s="48" t="str">
        <x:v>0</x:v>
      </x:c>
      <x:c r="M391" s="48" t="str">
        <x:v>2</x:v>
      </x:c>
      <x:c r="N391" s="48" t="str">
        <x:v>4</x:v>
      </x:c>
      <x:c r="O391" s="48" t="str">
        <x:v>0</x:v>
      </x:c>
      <x:c r="P391" s="48" t="str">
        <x:v>0</x:v>
      </x:c>
      <x:c r="Q391" s="48" t="str">
        <x:v>1.000</x:v>
      </x:c>
      <x:c r="R391" s="48" t="str">
        <x:v>N TOO SMALL</x:v>
      </x:c>
      <x:c r="S391" s="48" t="str"/>
      <x:c r="T391" s="48" t="str"/>
      <x:c r="U391" s="48" t="str">
        <x:v>Fewer than two driver groups have at least 5 observable manager families.</x:v>
      </x:c>
      <x:c r="V391" s="48" t="str">
        <x:v>At least 5 observable manager families in at least 2 driver groups</x:v>
      </x:c>
      <x:c r="W391" s="48" t="str">
        <x:v>&gt;=0.35 separates; &lt;=0.15 does not separate; intermediate is inconclusive/confounded; direct driver-definition tests are CIRCULAR</x:v>
      </x:c>
      <x:c r="X391" s="48" t="str">
        <x:v>MANAGER_SELF_DESCRIPTION; NOT BEHAVIOURAL FREQUENCY</x:v>
      </x:c>
    </x:row>
    <x:row r="392">
      <x:c r="A392" s="48" t="str">
        <x:v>B_GOVERNANCE_SEGMENTATION</x:v>
      </x:c>
      <x:c r="B392" s="48" t="str">
        <x:v>Tier B v1.1 - N=29 rerun</x:v>
      </x:c>
      <x:c r="C392" s="48" t="str">
        <x:v>2026-07-16</x:v>
      </x:c>
      <x:c r="D392" s="48" t="str">
        <x:v>D06</x:v>
      </x:c>
      <x:c r="E392" s="48" t="str">
        <x:v>DILIGENCE_ORGANIZATION</x:v>
      </x:c>
      <x:c r="F392" s="48" t="str">
        <x:v>Independent risk or challenge function</x:v>
      </x:c>
      <x:c r="G392" s="48" t="str">
        <x:v>source_vintage_bin</x:v>
      </x:c>
      <x:c r="H392" s="48" t="str">
        <x:v>2021_2023</x:v>
      </x:c>
      <x:c r="I392" s="48" t="str">
        <x:v>11</x:v>
      </x:c>
      <x:c r="J392" s="48" t="str">
        <x:v>4</x:v>
      </x:c>
      <x:c r="K392" s="48" t="str">
        <x:v>1</x:v>
      </x:c>
      <x:c r="L392" s="48" t="str">
        <x:v>0</x:v>
      </x:c>
      <x:c r="M392" s="48" t="str">
        <x:v>4</x:v>
      </x:c>
      <x:c r="N392" s="48" t="str">
        <x:v>7</x:v>
      </x:c>
      <x:c r="O392" s="48" t="str">
        <x:v>0</x:v>
      </x:c>
      <x:c r="P392" s="48" t="str">
        <x:v>0</x:v>
      </x:c>
      <x:c r="Q392" s="48" t="str">
        <x:v>1.000</x:v>
      </x:c>
      <x:c r="R392" s="48" t="str">
        <x:v>N TOO SMALL</x:v>
      </x:c>
      <x:c r="S392" s="48" t="str"/>
      <x:c r="T392" s="48" t="str"/>
      <x:c r="U392" s="48" t="str">
        <x:v>Fewer than two driver groups have at least 5 observable manager families.</x:v>
      </x:c>
      <x:c r="V392" s="48" t="str">
        <x:v>At least 5 observable manager families in at least 2 driver groups</x:v>
      </x:c>
      <x:c r="W392" s="48" t="str">
        <x:v>&gt;=0.35 separates; &lt;=0.15 does not separate; intermediate is inconclusive/confounded; direct driver-definition tests are CIRCULAR</x:v>
      </x:c>
      <x:c r="X392" s="48" t="str">
        <x:v>MANAGER_SELF_DESCRIPTION; NOT BEHAVIOURAL FREQUENCY</x:v>
      </x:c>
    </x:row>
    <x:row r="393">
      <x:c r="A393" s="48" t="str">
        <x:v>B_GOVERNANCE_SEGMENTATION</x:v>
      </x:c>
      <x:c r="B393" s="48" t="str">
        <x:v>Tier B v1.1 - N=29 rerun</x:v>
      </x:c>
      <x:c r="C393" s="48" t="str">
        <x:v>2026-07-16</x:v>
      </x:c>
      <x:c r="D393" s="48" t="str">
        <x:v>D06</x:v>
      </x:c>
      <x:c r="E393" s="48" t="str">
        <x:v>DILIGENCE_ORGANIZATION</x:v>
      </x:c>
      <x:c r="F393" s="48" t="str">
        <x:v>Independent risk or challenge function</x:v>
      </x:c>
      <x:c r="G393" s="48" t="str">
        <x:v>source_vintage_bin</x:v>
      </x:c>
      <x:c r="H393" s="48" t="str">
        <x:v>2024_2026</x:v>
      </x:c>
      <x:c r="I393" s="48" t="str">
        <x:v>12</x:v>
      </x:c>
      <x:c r="J393" s="48" t="str">
        <x:v>2</x:v>
      </x:c>
      <x:c r="K393" s="48" t="str">
        <x:v>0</x:v>
      </x:c>
      <x:c r="L393" s="48" t="str">
        <x:v>0</x:v>
      </x:c>
      <x:c r="M393" s="48" t="str">
        <x:v>2</x:v>
      </x:c>
      <x:c r="N393" s="48" t="str">
        <x:v>10</x:v>
      </x:c>
      <x:c r="O393" s="48" t="str">
        <x:v>0</x:v>
      </x:c>
      <x:c r="P393" s="48" t="str">
        <x:v>0</x:v>
      </x:c>
      <x:c r="Q393" s="48" t="str">
        <x:v>1.000</x:v>
      </x:c>
      <x:c r="R393" s="48" t="str">
        <x:v>N TOO SMALL</x:v>
      </x:c>
      <x:c r="S393" s="48" t="str"/>
      <x:c r="T393" s="48" t="str"/>
      <x:c r="U393" s="48" t="str">
        <x:v>Fewer than two driver groups have at least 5 observable manager families.</x:v>
      </x:c>
      <x:c r="V393" s="48" t="str">
        <x:v>At least 5 observable manager families in at least 2 driver groups</x:v>
      </x:c>
      <x:c r="W393" s="48" t="str">
        <x:v>&gt;=0.35 separates; &lt;=0.15 does not separate; intermediate is inconclusive/confounded; direct driver-definition tests are CIRCULAR</x:v>
      </x:c>
      <x:c r="X393" s="48" t="str">
        <x:v>MANAGER_SELF_DESCRIPTION; NOT BEHAVIOURAL FREQUENCY</x:v>
      </x:c>
    </x:row>
    <x:row r="394">
      <x:c r="A394" s="48" t="str">
        <x:v>B_GOVERNANCE_SEGMENTATION</x:v>
      </x:c>
      <x:c r="B394" s="48" t="str">
        <x:v>Tier B v1.1 - N=29 rerun</x:v>
      </x:c>
      <x:c r="C394" s="48" t="str">
        <x:v>2026-07-16</x:v>
      </x:c>
      <x:c r="D394" s="48" t="str">
        <x:v>D06</x:v>
      </x:c>
      <x:c r="E394" s="48" t="str">
        <x:v>DILIGENCE_ORGANIZATION</x:v>
      </x:c>
      <x:c r="F394" s="48" t="str">
        <x:v>Independent risk or challenge function</x:v>
      </x:c>
      <x:c r="G394" s="48" t="str">
        <x:v>governance_architecture</x:v>
      </x:c>
      <x:c r="H394" s="48" t="str">
        <x:v>IC_FINAL_OR_DE_FACTO</x:v>
      </x:c>
      <x:c r="I394" s="48" t="str">
        <x:v>26</x:v>
      </x:c>
      <x:c r="J394" s="48" t="str">
        <x:v>7</x:v>
      </x:c>
      <x:c r="K394" s="48" t="str">
        <x:v>1</x:v>
      </x:c>
      <x:c r="L394" s="48" t="str">
        <x:v>0</x:v>
      </x:c>
      <x:c r="M394" s="48" t="str">
        <x:v>7</x:v>
      </x:c>
      <x:c r="N394" s="48" t="str">
        <x:v>19</x:v>
      </x:c>
      <x:c r="O394" s="48" t="str">
        <x:v>0</x:v>
      </x:c>
      <x:c r="P394" s="48" t="str">
        <x:v>0</x:v>
      </x:c>
      <x:c r="Q394" s="48" t="str">
        <x:v>1.000</x:v>
      </x:c>
      <x:c r="R394" s="48" t="str">
        <x:v>N TOO SMALL</x:v>
      </x:c>
      <x:c r="S394" s="48" t="str"/>
      <x:c r="T394" s="48" t="str">
        <x:v>IC_FINAL_OR_DE_FACTO:N=7,p=1.000</x:v>
      </x:c>
      <x:c r="U394" s="48" t="str">
        <x:v>Fewer than two driver groups have at least 5 observable manager families.</x:v>
      </x:c>
      <x:c r="V394" s="48" t="str">
        <x:v>At least 5 observable manager families in at least 2 driver groups</x:v>
      </x:c>
      <x:c r="W394" s="48" t="str">
        <x:v>&gt;=0.35 separates; &lt;=0.15 does not separate; intermediate is inconclusive/confounded; direct driver-definition tests are CIRCULAR</x:v>
      </x:c>
      <x:c r="X394" s="48" t="str">
        <x:v>MANAGER_SELF_DESCRIPTION; NOT BEHAVIOURAL FREQUENCY</x:v>
      </x:c>
    </x:row>
    <x:row r="395">
      <x:c r="A395" s="48" t="str">
        <x:v>B_GOVERNANCE_SEGMENTATION</x:v>
      </x:c>
      <x:c r="B395" s="48" t="str">
        <x:v>Tier B v1.1 - N=29 rerun</x:v>
      </x:c>
      <x:c r="C395" s="48" t="str">
        <x:v>2026-07-16</x:v>
      </x:c>
      <x:c r="D395" s="48" t="str">
        <x:v>D06</x:v>
      </x:c>
      <x:c r="E395" s="48" t="str">
        <x:v>DILIGENCE_ORGANIZATION</x:v>
      </x:c>
      <x:c r="F395" s="48" t="str">
        <x:v>Independent risk or challenge function</x:v>
      </x:c>
      <x:c r="G395" s="48" t="str">
        <x:v>governance_architecture</x:v>
      </x:c>
      <x:c r="H395" s="48" t="str">
        <x:v>IC_RECOMMENDS_SEPARATE_FINAL_AUTHORITY</x:v>
      </x:c>
      <x:c r="I395" s="48" t="str">
        <x:v>3</x:v>
      </x:c>
      <x:c r="J395" s="48" t="str">
        <x:v>1</x:v>
      </x:c>
      <x:c r="K395" s="48" t="str">
        <x:v>0</x:v>
      </x:c>
      <x:c r="L395" s="48" t="str">
        <x:v>0</x:v>
      </x:c>
      <x:c r="M395" s="48" t="str">
        <x:v>1</x:v>
      </x:c>
      <x:c r="N395" s="48" t="str">
        <x:v>2</x:v>
      </x:c>
      <x:c r="O395" s="48" t="str">
        <x:v>0</x:v>
      </x:c>
      <x:c r="P395" s="48" t="str">
        <x:v>0</x:v>
      </x:c>
      <x:c r="Q395" s="48" t="str">
        <x:v>1.000</x:v>
      </x:c>
      <x:c r="R395" s="48" t="str">
        <x:v>N TOO SMALL</x:v>
      </x:c>
      <x:c r="S395" s="48" t="str"/>
      <x:c r="T395" s="48" t="str">
        <x:v>IC_FINAL_OR_DE_FACTO:N=7,p=1.000</x:v>
      </x:c>
      <x:c r="U395" s="48" t="str">
        <x:v>Fewer than two driver groups have at least 5 observable manager families.</x:v>
      </x:c>
      <x:c r="V395" s="48" t="str">
        <x:v>At least 5 observable manager families in at least 2 driver groups</x:v>
      </x:c>
      <x:c r="W395" s="48" t="str">
        <x:v>&gt;=0.35 separates; &lt;=0.15 does not separate; intermediate is inconclusive/confounded; direct driver-definition tests are CIRCULAR</x:v>
      </x:c>
      <x:c r="X395" s="48" t="str">
        <x:v>MANAGER_SELF_DESCRIPTION; NOT BEHAVIOURAL FREQUENCY</x:v>
      </x:c>
    </x:row>
    <x:row r="396">
      <x:c r="A396" s="48" t="str">
        <x:v>B_GOVERNANCE_SEGMENTATION</x:v>
      </x:c>
      <x:c r="B396" s="48" t="str">
        <x:v>Tier B v1.1 - N=29 rerun</x:v>
      </x:c>
      <x:c r="C396" s="48" t="str">
        <x:v>2026-07-16</x:v>
      </x:c>
      <x:c r="D396" s="48" t="str">
        <x:v>D06</x:v>
      </x:c>
      <x:c r="E396" s="48" t="str">
        <x:v>DILIGENCE_ORGANIZATION</x:v>
      </x:c>
      <x:c r="F396" s="48" t="str">
        <x:v>Independent risk or challenge function</x:v>
      </x:c>
      <x:c r="G396" s="48" t="str">
        <x:v>dedicated_operating_team</x:v>
      </x:c>
      <x:c r="H396" s="48" t="str">
        <x:v>NO_OR_LIMITED</x:v>
      </x:c>
      <x:c r="I396" s="48" t="str">
        <x:v>6</x:v>
      </x:c>
      <x:c r="J396" s="48" t="str">
        <x:v>1</x:v>
      </x:c>
      <x:c r="K396" s="48" t="str">
        <x:v>0</x:v>
      </x:c>
      <x:c r="L396" s="48" t="str">
        <x:v>0</x:v>
      </x:c>
      <x:c r="M396" s="48" t="str">
        <x:v>1</x:v>
      </x:c>
      <x:c r="N396" s="48" t="str">
        <x:v>5</x:v>
      </x:c>
      <x:c r="O396" s="48" t="str">
        <x:v>0</x:v>
      </x:c>
      <x:c r="P396" s="48" t="str">
        <x:v>0</x:v>
      </x:c>
      <x:c r="Q396" s="48" t="str">
        <x:v>1.000</x:v>
      </x:c>
      <x:c r="R396" s="48" t="str">
        <x:v>N TOO SMALL</x:v>
      </x:c>
      <x:c r="S396" s="48" t="str"/>
      <x:c r="T396" s="48" t="str">
        <x:v>YES_DEDICATED:N=7,p=1.000</x:v>
      </x:c>
      <x:c r="U396" s="48" t="str">
        <x:v>Fewer than two driver groups have at least 5 observable manager families.</x:v>
      </x:c>
      <x:c r="V396" s="48" t="str">
        <x:v>At least 5 observable manager families in at least 2 driver groups</x:v>
      </x:c>
      <x:c r="W396" s="48" t="str">
        <x:v>&gt;=0.35 separates; &lt;=0.15 does not separate; intermediate is inconclusive/confounded; direct driver-definition tests are CIRCULAR</x:v>
      </x:c>
      <x:c r="X396" s="48" t="str">
        <x:v>MANAGER_SELF_DESCRIPTION; NOT BEHAVIOURAL FREQUENCY</x:v>
      </x:c>
    </x:row>
    <x:row r="397">
      <x:c r="A397" s="48" t="str">
        <x:v>B_GOVERNANCE_SEGMENTATION</x:v>
      </x:c>
      <x:c r="B397" s="48" t="str">
        <x:v>Tier B v1.1 - N=29 rerun</x:v>
      </x:c>
      <x:c r="C397" s="48" t="str">
        <x:v>2026-07-16</x:v>
      </x:c>
      <x:c r="D397" s="48" t="str">
        <x:v>D06</x:v>
      </x:c>
      <x:c r="E397" s="48" t="str">
        <x:v>DILIGENCE_ORGANIZATION</x:v>
      </x:c>
      <x:c r="F397" s="48" t="str">
        <x:v>Independent risk or challenge function</x:v>
      </x:c>
      <x:c r="G397" s="48" t="str">
        <x:v>dedicated_operating_team</x:v>
      </x:c>
      <x:c r="H397" s="48" t="str">
        <x:v>YES_DEDICATED</x:v>
      </x:c>
      <x:c r="I397" s="48" t="str">
        <x:v>23</x:v>
      </x:c>
      <x:c r="J397" s="48" t="str">
        <x:v>7</x:v>
      </x:c>
      <x:c r="K397" s="48" t="str">
        <x:v>1</x:v>
      </x:c>
      <x:c r="L397" s="48" t="str">
        <x:v>0</x:v>
      </x:c>
      <x:c r="M397" s="48" t="str">
        <x:v>7</x:v>
      </x:c>
      <x:c r="N397" s="48" t="str">
        <x:v>16</x:v>
      </x:c>
      <x:c r="O397" s="48" t="str">
        <x:v>0</x:v>
      </x:c>
      <x:c r="P397" s="48" t="str">
        <x:v>0</x:v>
      </x:c>
      <x:c r="Q397" s="48" t="str">
        <x:v>1.000</x:v>
      </x:c>
      <x:c r="R397" s="48" t="str">
        <x:v>N TOO SMALL</x:v>
      </x:c>
      <x:c r="S397" s="48" t="str"/>
      <x:c r="T397" s="48" t="str">
        <x:v>YES_DEDICATED:N=7,p=1.000</x:v>
      </x:c>
      <x:c r="U397" s="48" t="str">
        <x:v>Fewer than two driver groups have at least 5 observable manager families.</x:v>
      </x:c>
      <x:c r="V397" s="48" t="str">
        <x:v>At least 5 observable manager families in at least 2 driver groups</x:v>
      </x:c>
      <x:c r="W397" s="48" t="str">
        <x:v>&gt;=0.35 separates; &lt;=0.15 does not separate; intermediate is inconclusive/confounded; direct driver-definition tests are CIRCULAR</x:v>
      </x:c>
      <x:c r="X397" s="48" t="str">
        <x:v>MANAGER_SELF_DESCRIPTION; NOT BEHAVIOURAL FREQUENCY</x:v>
      </x:c>
    </x:row>
    <x:row r="398">
      <x:c r="A398" s="48" t="str">
        <x:v>B_GOVERNANCE_SEGMENTATION</x:v>
      </x:c>
      <x:c r="B398" s="48" t="str">
        <x:v>Tier B v1.1 - N=29 rerun</x:v>
      </x:c>
      <x:c r="C398" s="48" t="str">
        <x:v>2026-07-16</x:v>
      </x:c>
      <x:c r="D398" s="48" t="str">
        <x:v>D07</x:v>
      </x:c>
      <x:c r="E398" s="48" t="str">
        <x:v>DILIGENCE_ORGANIZATION</x:v>
      </x:c>
      <x:c r="F398" s="48" t="str">
        <x:v>Customer, expert or reference work explicit</x:v>
      </x:c>
      <x:c r="G398" s="48" t="str">
        <x:v>fund_size_archetype</x:v>
      </x:c>
      <x:c r="H398" s="48" t="str">
        <x:v>LARGE_2_TO_LT_5B</x:v>
      </x:c>
      <x:c r="I398" s="48" t="str">
        <x:v>9</x:v>
      </x:c>
      <x:c r="J398" s="48" t="str">
        <x:v>9</x:v>
      </x:c>
      <x:c r="K398" s="48" t="str">
        <x:v>0</x:v>
      </x:c>
      <x:c r="L398" s="48" t="str">
        <x:v>0</x:v>
      </x:c>
      <x:c r="M398" s="48" t="str">
        <x:v>9</x:v>
      </x:c>
      <x:c r="N398" s="48" t="str">
        <x:v>0</x:v>
      </x:c>
      <x:c r="O398" s="48" t="str">
        <x:v>0</x:v>
      </x:c>
      <x:c r="P398" s="48" t="str">
        <x:v>0</x:v>
      </x:c>
      <x:c r="Q398" s="48" t="str">
        <x:v>1.000</x:v>
      </x:c>
      <x:c r="R398" s="48" t="str">
        <x:v>DRIVER DOES NOT SEPARATE</x:v>
      </x:c>
      <x:c r="S398" s="48" t="str">
        <x:v>0.000</x:v>
      </x:c>
      <x:c r="T398" s="48" t="str">
        <x:v>LARGE_2_TO_LT_5B:N=9,p=1.000; LOWER_MID_LT_2B:N=8,p=1.000; MEGA_GE_5B:N=11,p=1.000</x:v>
      </x:c>
      <x:c r="U398" s="48" t="str">
        <x:v>Maximum-minus-minimum prevalence among adequately observed groups is no more than 0.15.</x:v>
      </x:c>
      <x:c r="V398" s="48" t="str">
        <x:v>At least 5 observable manager families in at least 2 driver groups</x:v>
      </x:c>
      <x:c r="W398" s="48" t="str">
        <x:v>&gt;=0.35 separates; &lt;=0.15 does not separate; intermediate is inconclusive/confounded; direct driver-definition tests are CIRCULAR</x:v>
      </x:c>
      <x:c r="X398" s="48" t="str">
        <x:v>MANAGER_SELF_DESCRIPTION; NOT BEHAVIOURAL FREQUENCY</x:v>
      </x:c>
    </x:row>
    <x:row r="399">
      <x:c r="A399" s="48" t="str">
        <x:v>B_GOVERNANCE_SEGMENTATION</x:v>
      </x:c>
      <x:c r="B399" s="48" t="str">
        <x:v>Tier B v1.1 - N=29 rerun</x:v>
      </x:c>
      <x:c r="C399" s="48" t="str">
        <x:v>2026-07-16</x:v>
      </x:c>
      <x:c r="D399" s="48" t="str">
        <x:v>D07</x:v>
      </x:c>
      <x:c r="E399" s="48" t="str">
        <x:v>DILIGENCE_ORGANIZATION</x:v>
      </x:c>
      <x:c r="F399" s="48" t="str">
        <x:v>Customer, expert or reference work explicit</x:v>
      </x:c>
      <x:c r="G399" s="48" t="str">
        <x:v>fund_size_archetype</x:v>
      </x:c>
      <x:c r="H399" s="48" t="str">
        <x:v>LOWER_MID_LT_2B</x:v>
      </x:c>
      <x:c r="I399" s="48" t="str">
        <x:v>8</x:v>
      </x:c>
      <x:c r="J399" s="48" t="str">
        <x:v>8</x:v>
      </x:c>
      <x:c r="K399" s="48" t="str">
        <x:v>0</x:v>
      </x:c>
      <x:c r="L399" s="48" t="str">
        <x:v>0</x:v>
      </x:c>
      <x:c r="M399" s="48" t="str">
        <x:v>8</x:v>
      </x:c>
      <x:c r="N399" s="48" t="str">
        <x:v>0</x:v>
      </x:c>
      <x:c r="O399" s="48" t="str">
        <x:v>0</x:v>
      </x:c>
      <x:c r="P399" s="48" t="str">
        <x:v>0</x:v>
      </x:c>
      <x:c r="Q399" s="48" t="str">
        <x:v>1.000</x:v>
      </x:c>
      <x:c r="R399" s="48" t="str">
        <x:v>DRIVER DOES NOT SEPARATE</x:v>
      </x:c>
      <x:c r="S399" s="48" t="str">
        <x:v>0.000</x:v>
      </x:c>
      <x:c r="T399" s="48" t="str">
        <x:v>LARGE_2_TO_LT_5B:N=9,p=1.000; LOWER_MID_LT_2B:N=8,p=1.000; MEGA_GE_5B:N=11,p=1.000</x:v>
      </x:c>
      <x:c r="U399" s="48" t="str">
        <x:v>Maximum-minus-minimum prevalence among adequately observed groups is no more than 0.15.</x:v>
      </x:c>
      <x:c r="V399" s="48" t="str">
        <x:v>At least 5 observable manager families in at least 2 driver groups</x:v>
      </x:c>
      <x:c r="W399" s="48" t="str">
        <x:v>&gt;=0.35 separates; &lt;=0.15 does not separate; intermediate is inconclusive/confounded; direct driver-definition tests are CIRCULAR</x:v>
      </x:c>
      <x:c r="X399" s="48" t="str">
        <x:v>MANAGER_SELF_DESCRIPTION; NOT BEHAVIOURAL FREQUENCY</x:v>
      </x:c>
    </x:row>
    <x:row r="400">
      <x:c r="A400" s="48" t="str">
        <x:v>B_GOVERNANCE_SEGMENTATION</x:v>
      </x:c>
      <x:c r="B400" s="48" t="str">
        <x:v>Tier B v1.1 - N=29 rerun</x:v>
      </x:c>
      <x:c r="C400" s="48" t="str">
        <x:v>2026-07-16</x:v>
      </x:c>
      <x:c r="D400" s="48" t="str">
        <x:v>D07</x:v>
      </x:c>
      <x:c r="E400" s="48" t="str">
        <x:v>DILIGENCE_ORGANIZATION</x:v>
      </x:c>
      <x:c r="F400" s="48" t="str">
        <x:v>Customer, expert or reference work explicit</x:v>
      </x:c>
      <x:c r="G400" s="48" t="str">
        <x:v>fund_size_archetype</x:v>
      </x:c>
      <x:c r="H400" s="48" t="str">
        <x:v>MEGA_GE_5B</x:v>
      </x:c>
      <x:c r="I400" s="48" t="str">
        <x:v>11</x:v>
      </x:c>
      <x:c r="J400" s="48" t="str">
        <x:v>11</x:v>
      </x:c>
      <x:c r="K400" s="48" t="str">
        <x:v>0</x:v>
      </x:c>
      <x:c r="L400" s="48" t="str">
        <x:v>0</x:v>
      </x:c>
      <x:c r="M400" s="48" t="str">
        <x:v>11</x:v>
      </x:c>
      <x:c r="N400" s="48" t="str">
        <x:v>0</x:v>
      </x:c>
      <x:c r="O400" s="48" t="str">
        <x:v>0</x:v>
      </x:c>
      <x:c r="P400" s="48" t="str">
        <x:v>0</x:v>
      </x:c>
      <x:c r="Q400" s="48" t="str">
        <x:v>1.000</x:v>
      </x:c>
      <x:c r="R400" s="48" t="str">
        <x:v>DRIVER DOES NOT SEPARATE</x:v>
      </x:c>
      <x:c r="S400" s="48" t="str">
        <x:v>0.000</x:v>
      </x:c>
      <x:c r="T400" s="48" t="str">
        <x:v>LARGE_2_TO_LT_5B:N=9,p=1.000; LOWER_MID_LT_2B:N=8,p=1.000; MEGA_GE_5B:N=11,p=1.000</x:v>
      </x:c>
      <x:c r="U400" s="48" t="str">
        <x:v>Maximum-minus-minimum prevalence among adequately observed groups is no more than 0.15.</x:v>
      </x:c>
      <x:c r="V400" s="48" t="str">
        <x:v>At least 5 observable manager families in at least 2 driver groups</x:v>
      </x:c>
      <x:c r="W400" s="48" t="str">
        <x:v>&gt;=0.35 separates; &lt;=0.15 does not separate; intermediate is inconclusive/confounded; direct driver-definition tests are CIRCULAR</x:v>
      </x:c>
      <x:c r="X400" s="48" t="str">
        <x:v>MANAGER_SELF_DESCRIPTION; NOT BEHAVIOURAL FREQUENCY</x:v>
      </x:c>
    </x:row>
    <x:row r="401">
      <x:c r="A401" s="48" t="str">
        <x:v>B_GOVERNANCE_SEGMENTATION</x:v>
      </x:c>
      <x:c r="B401" s="48" t="str">
        <x:v>Tier B v1.1 - N=29 rerun</x:v>
      </x:c>
      <x:c r="C401" s="48" t="str">
        <x:v>2026-07-16</x:v>
      </x:c>
      <x:c r="D401" s="48" t="str">
        <x:v>D07</x:v>
      </x:c>
      <x:c r="E401" s="48" t="str">
        <x:v>DILIGENCE_ORGANIZATION</x:v>
      </x:c>
      <x:c r="F401" s="48" t="str">
        <x:v>Customer, expert or reference work explicit</x:v>
      </x:c>
      <x:c r="G401" s="48" t="str">
        <x:v>fund_size_archetype</x:v>
      </x:c>
      <x:c r="H401" s="48" t="str">
        <x:v>NOT_APPLICABLE</x:v>
      </x:c>
      <x:c r="I401" s="48" t="str">
        <x:v>1</x:v>
      </x:c>
      <x:c r="J401" s="48" t="str">
        <x:v>1</x:v>
      </x:c>
      <x:c r="K401" s="48" t="str">
        <x:v>0</x:v>
      </x:c>
      <x:c r="L401" s="48" t="str">
        <x:v>0</x:v>
      </x:c>
      <x:c r="M401" s="48" t="str">
        <x:v>1</x:v>
      </x:c>
      <x:c r="N401" s="48" t="str">
        <x:v>0</x:v>
      </x:c>
      <x:c r="O401" s="48" t="str">
        <x:v>0</x:v>
      </x:c>
      <x:c r="P401" s="48" t="str">
        <x:v>0</x:v>
      </x:c>
      <x:c r="Q401" s="48" t="str">
        <x:v>1.000</x:v>
      </x:c>
      <x:c r="R401" s="48" t="str">
        <x:v>DRIVER DOES NOT SEPARATE</x:v>
      </x:c>
      <x:c r="S401" s="48" t="str">
        <x:v>0.000</x:v>
      </x:c>
      <x:c r="T401" s="48" t="str">
        <x:v>LARGE_2_TO_LT_5B:N=9,p=1.000; LOWER_MID_LT_2B:N=8,p=1.000; MEGA_GE_5B:N=11,p=1.000</x:v>
      </x:c>
      <x:c r="U401" s="48" t="str">
        <x:v>Maximum-minus-minimum prevalence among adequately observed groups is no more than 0.15.</x:v>
      </x:c>
      <x:c r="V401" s="48" t="str">
        <x:v>At least 5 observable manager families in at least 2 driver groups</x:v>
      </x:c>
      <x:c r="W401" s="48" t="str">
        <x:v>&gt;=0.35 separates; &lt;=0.15 does not separate; intermediate is inconclusive/confounded; direct driver-definition tests are CIRCULAR</x:v>
      </x:c>
      <x:c r="X401" s="48" t="str">
        <x:v>MANAGER_SELF_DESCRIPTION; NOT BEHAVIOURAL FREQUENCY</x:v>
      </x:c>
    </x:row>
    <x:row r="402">
      <x:c r="A402" s="48" t="str">
        <x:v>B_GOVERNANCE_SEGMENTATION</x:v>
      </x:c>
      <x:c r="B402" s="48" t="str">
        <x:v>Tier B v1.1 - N=29 rerun</x:v>
      </x:c>
      <x:c r="C402" s="48" t="str">
        <x:v>2026-07-16</x:v>
      </x:c>
      <x:c r="D402" s="48" t="str">
        <x:v>D07</x:v>
      </x:c>
      <x:c r="E402" s="48" t="str">
        <x:v>DILIGENCE_ORGANIZATION</x:v>
      </x:c>
      <x:c r="F402" s="48" t="str">
        <x:v>Customer, expert or reference work explicit</x:v>
      </x:c>
      <x:c r="G402" s="48" t="str">
        <x:v>strategy</x:v>
      </x:c>
      <x:c r="H402" s="48" t="str">
        <x:v>CONTROL_BUYOUT</x:v>
      </x:c>
      <x:c r="I402" s="48" t="str">
        <x:v>22</x:v>
      </x:c>
      <x:c r="J402" s="48" t="str">
        <x:v>22</x:v>
      </x:c>
      <x:c r="K402" s="48" t="str">
        <x:v>0</x:v>
      </x:c>
      <x:c r="L402" s="48" t="str">
        <x:v>0</x:v>
      </x:c>
      <x:c r="M402" s="48" t="str">
        <x:v>22</x:v>
      </x:c>
      <x:c r="N402" s="48" t="str">
        <x:v>0</x:v>
      </x:c>
      <x:c r="O402" s="48" t="str">
        <x:v>0</x:v>
      </x:c>
      <x:c r="P402" s="48" t="str">
        <x:v>0</x:v>
      </x:c>
      <x:c r="Q402" s="48" t="str">
        <x:v>1.000</x:v>
      </x:c>
      <x:c r="R402" s="48" t="str">
        <x:v>DRIVER DOES NOT SEPARATE</x:v>
      </x:c>
      <x:c r="S402" s="48" t="str">
        <x:v>0.000</x:v>
      </x:c>
      <x:c r="T402" s="48" t="str">
        <x:v>CONTROL_BUYOUT:N=22,p=1.000; GROWTH_CONTROL_HYBRID:N=6,p=1.000</x:v>
      </x:c>
      <x:c r="U402" s="48" t="str">
        <x:v>Maximum-minus-minimum prevalence among adequately observed groups is no more than 0.15.</x:v>
      </x:c>
      <x:c r="V402" s="48" t="str">
        <x:v>At least 5 observable manager families in at least 2 driver groups</x:v>
      </x:c>
      <x:c r="W402" s="48" t="str">
        <x:v>&gt;=0.35 separates; &lt;=0.15 does not separate; intermediate is inconclusive/confounded; direct driver-definition tests are CIRCULAR</x:v>
      </x:c>
      <x:c r="X402" s="48" t="str">
        <x:v>MANAGER_SELF_DESCRIPTION; NOT BEHAVIOURAL FREQUENCY</x:v>
      </x:c>
    </x:row>
    <x:row r="403">
      <x:c r="A403" s="48" t="str">
        <x:v>B_GOVERNANCE_SEGMENTATION</x:v>
      </x:c>
      <x:c r="B403" s="48" t="str">
        <x:v>Tier B v1.1 - N=29 rerun</x:v>
      </x:c>
      <x:c r="C403" s="48" t="str">
        <x:v>2026-07-16</x:v>
      </x:c>
      <x:c r="D403" s="48" t="str">
        <x:v>D07</x:v>
      </x:c>
      <x:c r="E403" s="48" t="str">
        <x:v>DILIGENCE_ORGANIZATION</x:v>
      </x:c>
      <x:c r="F403" s="48" t="str">
        <x:v>Customer, expert or reference work explicit</x:v>
      </x:c>
      <x:c r="G403" s="48" t="str">
        <x:v>strategy</x:v>
      </x:c>
      <x:c r="H403" s="48" t="str">
        <x:v>GROWTH_CONTROL_HYBRID</x:v>
      </x:c>
      <x:c r="I403" s="48" t="str">
        <x:v>6</x:v>
      </x:c>
      <x:c r="J403" s="48" t="str">
        <x:v>6</x:v>
      </x:c>
      <x:c r="K403" s="48" t="str">
        <x:v>0</x:v>
      </x:c>
      <x:c r="L403" s="48" t="str">
        <x:v>0</x:v>
      </x:c>
      <x:c r="M403" s="48" t="str">
        <x:v>6</x:v>
      </x:c>
      <x:c r="N403" s="48" t="str">
        <x:v>0</x:v>
      </x:c>
      <x:c r="O403" s="48" t="str">
        <x:v>0</x:v>
      </x:c>
      <x:c r="P403" s="48" t="str">
        <x:v>0</x:v>
      </x:c>
      <x:c r="Q403" s="48" t="str">
        <x:v>1.000</x:v>
      </x:c>
      <x:c r="R403" s="48" t="str">
        <x:v>DRIVER DOES NOT SEPARATE</x:v>
      </x:c>
      <x:c r="S403" s="48" t="str">
        <x:v>0.000</x:v>
      </x:c>
      <x:c r="T403" s="48" t="str">
        <x:v>CONTROL_BUYOUT:N=22,p=1.000; GROWTH_CONTROL_HYBRID:N=6,p=1.000</x:v>
      </x:c>
      <x:c r="U403" s="48" t="str">
        <x:v>Maximum-minus-minimum prevalence among adequately observed groups is no more than 0.15.</x:v>
      </x:c>
      <x:c r="V403" s="48" t="str">
        <x:v>At least 5 observable manager families in at least 2 driver groups</x:v>
      </x:c>
      <x:c r="W403" s="48" t="str">
        <x:v>&gt;=0.35 separates; &lt;=0.15 does not separate; intermediate is inconclusive/confounded; direct driver-definition tests are CIRCULAR</x:v>
      </x:c>
      <x:c r="X403" s="48" t="str">
        <x:v>MANAGER_SELF_DESCRIPTION; NOT BEHAVIOURAL FREQUENCY</x:v>
      </x:c>
    </x:row>
    <x:row r="404">
      <x:c r="A404" s="48" t="str">
        <x:v>B_GOVERNANCE_SEGMENTATION</x:v>
      </x:c>
      <x:c r="B404" s="48" t="str">
        <x:v>Tier B v1.1 - N=29 rerun</x:v>
      </x:c>
      <x:c r="C404" s="48" t="str">
        <x:v>2026-07-16</x:v>
      </x:c>
      <x:c r="D404" s="48" t="str">
        <x:v>D07</x:v>
      </x:c>
      <x:c r="E404" s="48" t="str">
        <x:v>DILIGENCE_ORGANIZATION</x:v>
      </x:c>
      <x:c r="F404" s="48" t="str">
        <x:v>Customer, expert or reference work explicit</x:v>
      </x:c>
      <x:c r="G404" s="48" t="str">
        <x:v>strategy</x:v>
      </x:c>
      <x:c r="H404" s="48" t="str">
        <x:v>OPPORTUNISTIC_CONTROL</x:v>
      </x:c>
      <x:c r="I404" s="48" t="str">
        <x:v>1</x:v>
      </x:c>
      <x:c r="J404" s="48" t="str">
        <x:v>1</x:v>
      </x:c>
      <x:c r="K404" s="48" t="str">
        <x:v>0</x:v>
      </x:c>
      <x:c r="L404" s="48" t="str">
        <x:v>0</x:v>
      </x:c>
      <x:c r="M404" s="48" t="str">
        <x:v>1</x:v>
      </x:c>
      <x:c r="N404" s="48" t="str">
        <x:v>0</x:v>
      </x:c>
      <x:c r="O404" s="48" t="str">
        <x:v>0</x:v>
      </x:c>
      <x:c r="P404" s="48" t="str">
        <x:v>0</x:v>
      </x:c>
      <x:c r="Q404" s="48" t="str">
        <x:v>1.000</x:v>
      </x:c>
      <x:c r="R404" s="48" t="str">
        <x:v>DRIVER DOES NOT SEPARATE</x:v>
      </x:c>
      <x:c r="S404" s="48" t="str">
        <x:v>0.000</x:v>
      </x:c>
      <x:c r="T404" s="48" t="str">
        <x:v>CONTROL_BUYOUT:N=22,p=1.000; GROWTH_CONTROL_HYBRID:N=6,p=1.000</x:v>
      </x:c>
      <x:c r="U404" s="48" t="str">
        <x:v>Maximum-minus-minimum prevalence among adequately observed groups is no more than 0.15.</x:v>
      </x:c>
      <x:c r="V404" s="48" t="str">
        <x:v>At least 5 observable manager families in at least 2 driver groups</x:v>
      </x:c>
      <x:c r="W404" s="48" t="str">
        <x:v>&gt;=0.35 separates; &lt;=0.15 does not separate; intermediate is inconclusive/confounded; direct driver-definition tests are CIRCULAR</x:v>
      </x:c>
      <x:c r="X404" s="48" t="str">
        <x:v>MANAGER_SELF_DESCRIPTION; NOT BEHAVIOURAL FREQUENCY</x:v>
      </x:c>
    </x:row>
    <x:row r="405">
      <x:c r="A405" s="48" t="str">
        <x:v>B_GOVERNANCE_SEGMENTATION</x:v>
      </x:c>
      <x:c r="B405" s="48" t="str">
        <x:v>Tier B v1.1 - N=29 rerun</x:v>
      </x:c>
      <x:c r="C405" s="48" t="str">
        <x:v>2026-07-16</x:v>
      </x:c>
      <x:c r="D405" s="48" t="str">
        <x:v>D07</x:v>
      </x:c>
      <x:c r="E405" s="48" t="str">
        <x:v>DILIGENCE_ORGANIZATION</x:v>
      </x:c>
      <x:c r="F405" s="48" t="str">
        <x:v>Customer, expert or reference work explicit</x:v>
      </x:c>
      <x:c r="G405" s="48" t="str">
        <x:v>geography</x:v>
      </x:c>
      <x:c r="H405" s="48" t="str">
        <x:v>ASIA_PACIFIC</x:v>
      </x:c>
      <x:c r="I405" s="48" t="str">
        <x:v>4</x:v>
      </x:c>
      <x:c r="J405" s="48" t="str">
        <x:v>4</x:v>
      </x:c>
      <x:c r="K405" s="48" t="str">
        <x:v>0</x:v>
      </x:c>
      <x:c r="L405" s="48" t="str">
        <x:v>0</x:v>
      </x:c>
      <x:c r="M405" s="48" t="str">
        <x:v>4</x:v>
      </x:c>
      <x:c r="N405" s="48" t="str">
        <x:v>0</x:v>
      </x:c>
      <x:c r="O405" s="48" t="str">
        <x:v>0</x:v>
      </x:c>
      <x:c r="P405" s="48" t="str">
        <x:v>0</x:v>
      </x:c>
      <x:c r="Q405" s="48" t="str">
        <x:v>1.000</x:v>
      </x:c>
      <x:c r="R405" s="48" t="str">
        <x:v>DRIVER DOES NOT SEPARATE</x:v>
      </x:c>
      <x:c r="S405" s="48" t="str">
        <x:v>0.000</x:v>
      </x:c>
      <x:c r="T405" s="48" t="str">
        <x:v>GLOBAL_TRANSATLANTIC:N=10,p=1.000; NORTH_AMERICA:N=13,p=1.000</x:v>
      </x:c>
      <x:c r="U405" s="48" t="str">
        <x:v>Maximum-minus-minimum prevalence among adequately observed groups is no more than 0.15.</x:v>
      </x:c>
      <x:c r="V405" s="48" t="str">
        <x:v>At least 5 observable manager families in at least 2 driver groups</x:v>
      </x:c>
      <x:c r="W405" s="48" t="str">
        <x:v>&gt;=0.35 separates; &lt;=0.15 does not separate; intermediate is inconclusive/confounded; direct driver-definition tests are CIRCULAR</x:v>
      </x:c>
      <x:c r="X405" s="48" t="str">
        <x:v>MANAGER_SELF_DESCRIPTION; NOT BEHAVIOURAL FREQUENCY</x:v>
      </x:c>
    </x:row>
    <x:row r="406">
      <x:c r="A406" s="48" t="str">
        <x:v>B_GOVERNANCE_SEGMENTATION</x:v>
      </x:c>
      <x:c r="B406" s="48" t="str">
        <x:v>Tier B v1.1 - N=29 rerun</x:v>
      </x:c>
      <x:c r="C406" s="48" t="str">
        <x:v>2026-07-16</x:v>
      </x:c>
      <x:c r="D406" s="48" t="str">
        <x:v>D07</x:v>
      </x:c>
      <x:c r="E406" s="48" t="str">
        <x:v>DILIGENCE_ORGANIZATION</x:v>
      </x:c>
      <x:c r="F406" s="48" t="str">
        <x:v>Customer, expert or reference work explicit</x:v>
      </x:c>
      <x:c r="G406" s="48" t="str">
        <x:v>geography</x:v>
      </x:c>
      <x:c r="H406" s="48" t="str">
        <x:v>EUROPE</x:v>
      </x:c>
      <x:c r="I406" s="48" t="str">
        <x:v>2</x:v>
      </x:c>
      <x:c r="J406" s="48" t="str">
        <x:v>2</x:v>
      </x:c>
      <x:c r="K406" s="48" t="str">
        <x:v>0</x:v>
      </x:c>
      <x:c r="L406" s="48" t="str">
        <x:v>0</x:v>
      </x:c>
      <x:c r="M406" s="48" t="str">
        <x:v>2</x:v>
      </x:c>
      <x:c r="N406" s="48" t="str">
        <x:v>0</x:v>
      </x:c>
      <x:c r="O406" s="48" t="str">
        <x:v>0</x:v>
      </x:c>
      <x:c r="P406" s="48" t="str">
        <x:v>0</x:v>
      </x:c>
      <x:c r="Q406" s="48" t="str">
        <x:v>1.000</x:v>
      </x:c>
      <x:c r="R406" s="48" t="str">
        <x:v>DRIVER DOES NOT SEPARATE</x:v>
      </x:c>
      <x:c r="S406" s="48" t="str">
        <x:v>0.000</x:v>
      </x:c>
      <x:c r="T406" s="48" t="str">
        <x:v>GLOBAL_TRANSATLANTIC:N=10,p=1.000; NORTH_AMERICA:N=13,p=1.000</x:v>
      </x:c>
      <x:c r="U406" s="48" t="str">
        <x:v>Maximum-minus-minimum prevalence among adequately observed groups is no more than 0.15.</x:v>
      </x:c>
      <x:c r="V406" s="48" t="str">
        <x:v>At least 5 observable manager families in at least 2 driver groups</x:v>
      </x:c>
      <x:c r="W406" s="48" t="str">
        <x:v>&gt;=0.35 separates; &lt;=0.15 does not separate; intermediate is inconclusive/confounded; direct driver-definition tests are CIRCULAR</x:v>
      </x:c>
      <x:c r="X406" s="48" t="str">
        <x:v>MANAGER_SELF_DESCRIPTION; NOT BEHAVIOURAL FREQUENCY</x:v>
      </x:c>
    </x:row>
    <x:row r="407">
      <x:c r="A407" s="48" t="str">
        <x:v>B_GOVERNANCE_SEGMENTATION</x:v>
      </x:c>
      <x:c r="B407" s="48" t="str">
        <x:v>Tier B v1.1 - N=29 rerun</x:v>
      </x:c>
      <x:c r="C407" s="48" t="str">
        <x:v>2026-07-16</x:v>
      </x:c>
      <x:c r="D407" s="48" t="str">
        <x:v>D07</x:v>
      </x:c>
      <x:c r="E407" s="48" t="str">
        <x:v>DILIGENCE_ORGANIZATION</x:v>
      </x:c>
      <x:c r="F407" s="48" t="str">
        <x:v>Customer, expert or reference work explicit</x:v>
      </x:c>
      <x:c r="G407" s="48" t="str">
        <x:v>geography</x:v>
      </x:c>
      <x:c r="H407" s="48" t="str">
        <x:v>GLOBAL_TRANSATLANTIC</x:v>
      </x:c>
      <x:c r="I407" s="48" t="str">
        <x:v>10</x:v>
      </x:c>
      <x:c r="J407" s="48" t="str">
        <x:v>10</x:v>
      </x:c>
      <x:c r="K407" s="48" t="str">
        <x:v>0</x:v>
      </x:c>
      <x:c r="L407" s="48" t="str">
        <x:v>0</x:v>
      </x:c>
      <x:c r="M407" s="48" t="str">
        <x:v>10</x:v>
      </x:c>
      <x:c r="N407" s="48" t="str">
        <x:v>0</x:v>
      </x:c>
      <x:c r="O407" s="48" t="str">
        <x:v>0</x:v>
      </x:c>
      <x:c r="P407" s="48" t="str">
        <x:v>0</x:v>
      </x:c>
      <x:c r="Q407" s="48" t="str">
        <x:v>1.000</x:v>
      </x:c>
      <x:c r="R407" s="48" t="str">
        <x:v>DRIVER DOES NOT SEPARATE</x:v>
      </x:c>
      <x:c r="S407" s="48" t="str">
        <x:v>0.000</x:v>
      </x:c>
      <x:c r="T407" s="48" t="str">
        <x:v>GLOBAL_TRANSATLANTIC:N=10,p=1.000; NORTH_AMERICA:N=13,p=1.000</x:v>
      </x:c>
      <x:c r="U407" s="48" t="str">
        <x:v>Maximum-minus-minimum prevalence among adequately observed groups is no more than 0.15.</x:v>
      </x:c>
      <x:c r="V407" s="48" t="str">
        <x:v>At least 5 observable manager families in at least 2 driver groups</x:v>
      </x:c>
      <x:c r="W407" s="48" t="str">
        <x:v>&gt;=0.35 separates; &lt;=0.15 does not separate; intermediate is inconclusive/confounded; direct driver-definition tests are CIRCULAR</x:v>
      </x:c>
      <x:c r="X407" s="48" t="str">
        <x:v>MANAGER_SELF_DESCRIPTION; NOT BEHAVIOURAL FREQUENCY</x:v>
      </x:c>
    </x:row>
    <x:row r="408">
      <x:c r="A408" s="48" t="str">
        <x:v>B_GOVERNANCE_SEGMENTATION</x:v>
      </x:c>
      <x:c r="B408" s="48" t="str">
        <x:v>Tier B v1.1 - N=29 rerun</x:v>
      </x:c>
      <x:c r="C408" s="48" t="str">
        <x:v>2026-07-16</x:v>
      </x:c>
      <x:c r="D408" s="48" t="str">
        <x:v>D07</x:v>
      </x:c>
      <x:c r="E408" s="48" t="str">
        <x:v>DILIGENCE_ORGANIZATION</x:v>
      </x:c>
      <x:c r="F408" s="48" t="str">
        <x:v>Customer, expert or reference work explicit</x:v>
      </x:c>
      <x:c r="G408" s="48" t="str">
        <x:v>geography</x:v>
      </x:c>
      <x:c r="H408" s="48" t="str">
        <x:v>NORTH_AMERICA</x:v>
      </x:c>
      <x:c r="I408" s="48" t="str">
        <x:v>13</x:v>
      </x:c>
      <x:c r="J408" s="48" t="str">
        <x:v>13</x:v>
      </x:c>
      <x:c r="K408" s="48" t="str">
        <x:v>0</x:v>
      </x:c>
      <x:c r="L408" s="48" t="str">
        <x:v>0</x:v>
      </x:c>
      <x:c r="M408" s="48" t="str">
        <x:v>13</x:v>
      </x:c>
      <x:c r="N408" s="48" t="str">
        <x:v>0</x:v>
      </x:c>
      <x:c r="O408" s="48" t="str">
        <x:v>0</x:v>
      </x:c>
      <x:c r="P408" s="48" t="str">
        <x:v>0</x:v>
      </x:c>
      <x:c r="Q408" s="48" t="str">
        <x:v>1.000</x:v>
      </x:c>
      <x:c r="R408" s="48" t="str">
        <x:v>DRIVER DOES NOT SEPARATE</x:v>
      </x:c>
      <x:c r="S408" s="48" t="str">
        <x:v>0.000</x:v>
      </x:c>
      <x:c r="T408" s="48" t="str">
        <x:v>GLOBAL_TRANSATLANTIC:N=10,p=1.000; NORTH_AMERICA:N=13,p=1.000</x:v>
      </x:c>
      <x:c r="U408" s="48" t="str">
        <x:v>Maximum-minus-minimum prevalence among adequately observed groups is no more than 0.15.</x:v>
      </x:c>
      <x:c r="V408" s="48" t="str">
        <x:v>At least 5 observable manager families in at least 2 driver groups</x:v>
      </x:c>
      <x:c r="W408" s="48" t="str">
        <x:v>&gt;=0.35 separates; &lt;=0.15 does not separate; intermediate is inconclusive/confounded; direct driver-definition tests are CIRCULAR</x:v>
      </x:c>
      <x:c r="X408" s="48" t="str">
        <x:v>MANAGER_SELF_DESCRIPTION; NOT BEHAVIOURAL FREQUENCY</x:v>
      </x:c>
    </x:row>
    <x:row r="409">
      <x:c r="A409" s="48" t="str">
        <x:v>B_GOVERNANCE_SEGMENTATION</x:v>
      </x:c>
      <x:c r="B409" s="48" t="str">
        <x:v>Tier B v1.1 - N=29 rerun</x:v>
      </x:c>
      <x:c r="C409" s="48" t="str">
        <x:v>2026-07-16</x:v>
      </x:c>
      <x:c r="D409" s="48" t="str">
        <x:v>D07</x:v>
      </x:c>
      <x:c r="E409" s="48" t="str">
        <x:v>DILIGENCE_ORGANIZATION</x:v>
      </x:c>
      <x:c r="F409" s="48" t="str">
        <x:v>Customer, expert or reference work explicit</x:v>
      </x:c>
      <x:c r="G409" s="48" t="str">
        <x:v>source_vintage_bin</x:v>
      </x:c>
      <x:c r="H409" s="48" t="str">
        <x:v>2018_2020</x:v>
      </x:c>
      <x:c r="I409" s="48" t="str">
        <x:v>6</x:v>
      </x:c>
      <x:c r="J409" s="48" t="str">
        <x:v>6</x:v>
      </x:c>
      <x:c r="K409" s="48" t="str">
        <x:v>0</x:v>
      </x:c>
      <x:c r="L409" s="48" t="str">
        <x:v>0</x:v>
      </x:c>
      <x:c r="M409" s="48" t="str">
        <x:v>6</x:v>
      </x:c>
      <x:c r="N409" s="48" t="str">
        <x:v>0</x:v>
      </x:c>
      <x:c r="O409" s="48" t="str">
        <x:v>0</x:v>
      </x:c>
      <x:c r="P409" s="48" t="str">
        <x:v>0</x:v>
      </x:c>
      <x:c r="Q409" s="48" t="str">
        <x:v>1.000</x:v>
      </x:c>
      <x:c r="R409" s="48" t="str">
        <x:v>DRIVER DOES NOT SEPARATE</x:v>
      </x:c>
      <x:c r="S409" s="48" t="str">
        <x:v>0.000</x:v>
      </x:c>
      <x:c r="T409" s="48" t="str">
        <x:v>2018_2020:N=6,p=1.000; 2021_2023:N=11,p=1.000; 2024_2026:N=12,p=1.000</x:v>
      </x:c>
      <x:c r="U409" s="48" t="str">
        <x:v>Maximum-minus-minimum prevalence among adequately observed groups is no more than 0.15.</x:v>
      </x:c>
      <x:c r="V409" s="48" t="str">
        <x:v>At least 5 observable manager families in at least 2 driver groups</x:v>
      </x:c>
      <x:c r="W409" s="48" t="str">
        <x:v>&gt;=0.35 separates; &lt;=0.15 does not separate; intermediate is inconclusive/confounded; direct driver-definition tests are CIRCULAR</x:v>
      </x:c>
      <x:c r="X409" s="48" t="str">
        <x:v>MANAGER_SELF_DESCRIPTION; NOT BEHAVIOURAL FREQUENCY</x:v>
      </x:c>
    </x:row>
    <x:row r="410">
      <x:c r="A410" s="48" t="str">
        <x:v>B_GOVERNANCE_SEGMENTATION</x:v>
      </x:c>
      <x:c r="B410" s="48" t="str">
        <x:v>Tier B v1.1 - N=29 rerun</x:v>
      </x:c>
      <x:c r="C410" s="48" t="str">
        <x:v>2026-07-16</x:v>
      </x:c>
      <x:c r="D410" s="48" t="str">
        <x:v>D07</x:v>
      </x:c>
      <x:c r="E410" s="48" t="str">
        <x:v>DILIGENCE_ORGANIZATION</x:v>
      </x:c>
      <x:c r="F410" s="48" t="str">
        <x:v>Customer, expert or reference work explicit</x:v>
      </x:c>
      <x:c r="G410" s="48" t="str">
        <x:v>source_vintage_bin</x:v>
      </x:c>
      <x:c r="H410" s="48" t="str">
        <x:v>2021_2023</x:v>
      </x:c>
      <x:c r="I410" s="48" t="str">
        <x:v>11</x:v>
      </x:c>
      <x:c r="J410" s="48" t="str">
        <x:v>11</x:v>
      </x:c>
      <x:c r="K410" s="48" t="str">
        <x:v>0</x:v>
      </x:c>
      <x:c r="L410" s="48" t="str">
        <x:v>0</x:v>
      </x:c>
      <x:c r="M410" s="48" t="str">
        <x:v>11</x:v>
      </x:c>
      <x:c r="N410" s="48" t="str">
        <x:v>0</x:v>
      </x:c>
      <x:c r="O410" s="48" t="str">
        <x:v>0</x:v>
      </x:c>
      <x:c r="P410" s="48" t="str">
        <x:v>0</x:v>
      </x:c>
      <x:c r="Q410" s="48" t="str">
        <x:v>1.000</x:v>
      </x:c>
      <x:c r="R410" s="48" t="str">
        <x:v>DRIVER DOES NOT SEPARATE</x:v>
      </x:c>
      <x:c r="S410" s="48" t="str">
        <x:v>0.000</x:v>
      </x:c>
      <x:c r="T410" s="48" t="str">
        <x:v>2018_2020:N=6,p=1.000; 2021_2023:N=11,p=1.000; 2024_2026:N=12,p=1.000</x:v>
      </x:c>
      <x:c r="U410" s="48" t="str">
        <x:v>Maximum-minus-minimum prevalence among adequately observed groups is no more than 0.15.</x:v>
      </x:c>
      <x:c r="V410" s="48" t="str">
        <x:v>At least 5 observable manager families in at least 2 driver groups</x:v>
      </x:c>
      <x:c r="W410" s="48" t="str">
        <x:v>&gt;=0.35 separates; &lt;=0.15 does not separate; intermediate is inconclusive/confounded; direct driver-definition tests are CIRCULAR</x:v>
      </x:c>
      <x:c r="X410" s="48" t="str">
        <x:v>MANAGER_SELF_DESCRIPTION; NOT BEHAVIOURAL FREQUENCY</x:v>
      </x:c>
    </x:row>
    <x:row r="411">
      <x:c r="A411" s="48" t="str">
        <x:v>B_GOVERNANCE_SEGMENTATION</x:v>
      </x:c>
      <x:c r="B411" s="48" t="str">
        <x:v>Tier B v1.1 - N=29 rerun</x:v>
      </x:c>
      <x:c r="C411" s="48" t="str">
        <x:v>2026-07-16</x:v>
      </x:c>
      <x:c r="D411" s="48" t="str">
        <x:v>D07</x:v>
      </x:c>
      <x:c r="E411" s="48" t="str">
        <x:v>DILIGENCE_ORGANIZATION</x:v>
      </x:c>
      <x:c r="F411" s="48" t="str">
        <x:v>Customer, expert or reference work explicit</x:v>
      </x:c>
      <x:c r="G411" s="48" t="str">
        <x:v>source_vintage_bin</x:v>
      </x:c>
      <x:c r="H411" s="48" t="str">
        <x:v>2024_2026</x:v>
      </x:c>
      <x:c r="I411" s="48" t="str">
        <x:v>12</x:v>
      </x:c>
      <x:c r="J411" s="48" t="str">
        <x:v>12</x:v>
      </x:c>
      <x:c r="K411" s="48" t="str">
        <x:v>0</x:v>
      </x:c>
      <x:c r="L411" s="48" t="str">
        <x:v>0</x:v>
      </x:c>
      <x:c r="M411" s="48" t="str">
        <x:v>12</x:v>
      </x:c>
      <x:c r="N411" s="48" t="str">
        <x:v>0</x:v>
      </x:c>
      <x:c r="O411" s="48" t="str">
        <x:v>0</x:v>
      </x:c>
      <x:c r="P411" s="48" t="str">
        <x:v>0</x:v>
      </x:c>
      <x:c r="Q411" s="48" t="str">
        <x:v>1.000</x:v>
      </x:c>
      <x:c r="R411" s="48" t="str">
        <x:v>DRIVER DOES NOT SEPARATE</x:v>
      </x:c>
      <x:c r="S411" s="48" t="str">
        <x:v>0.000</x:v>
      </x:c>
      <x:c r="T411" s="48" t="str">
        <x:v>2018_2020:N=6,p=1.000; 2021_2023:N=11,p=1.000; 2024_2026:N=12,p=1.000</x:v>
      </x:c>
      <x:c r="U411" s="48" t="str">
        <x:v>Maximum-minus-minimum prevalence among adequately observed groups is no more than 0.15.</x:v>
      </x:c>
      <x:c r="V411" s="48" t="str">
        <x:v>At least 5 observable manager families in at least 2 driver groups</x:v>
      </x:c>
      <x:c r="W411" s="48" t="str">
        <x:v>&gt;=0.35 separates; &lt;=0.15 does not separate; intermediate is inconclusive/confounded; direct driver-definition tests are CIRCULAR</x:v>
      </x:c>
      <x:c r="X411" s="48" t="str">
        <x:v>MANAGER_SELF_DESCRIPTION; NOT BEHAVIOURAL FREQUENCY</x:v>
      </x:c>
    </x:row>
    <x:row r="412">
      <x:c r="A412" s="48" t="str">
        <x:v>B_GOVERNANCE_SEGMENTATION</x:v>
      </x:c>
      <x:c r="B412" s="48" t="str">
        <x:v>Tier B v1.1 - N=29 rerun</x:v>
      </x:c>
      <x:c r="C412" s="48" t="str">
        <x:v>2026-07-16</x:v>
      </x:c>
      <x:c r="D412" s="48" t="str">
        <x:v>D07</x:v>
      </x:c>
      <x:c r="E412" s="48" t="str">
        <x:v>DILIGENCE_ORGANIZATION</x:v>
      </x:c>
      <x:c r="F412" s="48" t="str">
        <x:v>Customer, expert or reference work explicit</x:v>
      </x:c>
      <x:c r="G412" s="48" t="str">
        <x:v>governance_architecture</x:v>
      </x:c>
      <x:c r="H412" s="48" t="str">
        <x:v>IC_FINAL_OR_DE_FACTO</x:v>
      </x:c>
      <x:c r="I412" s="48" t="str">
        <x:v>26</x:v>
      </x:c>
      <x:c r="J412" s="48" t="str">
        <x:v>26</x:v>
      </x:c>
      <x:c r="K412" s="48" t="str">
        <x:v>0</x:v>
      </x:c>
      <x:c r="L412" s="48" t="str">
        <x:v>0</x:v>
      </x:c>
      <x:c r="M412" s="48" t="str">
        <x:v>26</x:v>
      </x:c>
      <x:c r="N412" s="48" t="str">
        <x:v>0</x:v>
      </x:c>
      <x:c r="O412" s="48" t="str">
        <x:v>0</x:v>
      </x:c>
      <x:c r="P412" s="48" t="str">
        <x:v>0</x:v>
      </x:c>
      <x:c r="Q412" s="48" t="str">
        <x:v>1.000</x:v>
      </x:c>
      <x:c r="R412" s="48" t="str">
        <x:v>N TOO SMALL</x:v>
      </x:c>
      <x:c r="S412" s="48" t="str"/>
      <x:c r="T412" s="48" t="str">
        <x:v>IC_FINAL_OR_DE_FACTO:N=26,p=1.000</x:v>
      </x:c>
      <x:c r="U412" s="48" t="str">
        <x:v>Fewer than two driver groups have at least 5 observable manager families.</x:v>
      </x:c>
      <x:c r="V412" s="48" t="str">
        <x:v>At least 5 observable manager families in at least 2 driver groups</x:v>
      </x:c>
      <x:c r="W412" s="48" t="str">
        <x:v>&gt;=0.35 separates; &lt;=0.15 does not separate; intermediate is inconclusive/confounded; direct driver-definition tests are CIRCULAR</x:v>
      </x:c>
      <x:c r="X412" s="48" t="str">
        <x:v>MANAGER_SELF_DESCRIPTION; NOT BEHAVIOURAL FREQUENCY</x:v>
      </x:c>
    </x:row>
    <x:row r="413">
      <x:c r="A413" s="48" t="str">
        <x:v>B_GOVERNANCE_SEGMENTATION</x:v>
      </x:c>
      <x:c r="B413" s="48" t="str">
        <x:v>Tier B v1.1 - N=29 rerun</x:v>
      </x:c>
      <x:c r="C413" s="48" t="str">
        <x:v>2026-07-16</x:v>
      </x:c>
      <x:c r="D413" s="48" t="str">
        <x:v>D07</x:v>
      </x:c>
      <x:c r="E413" s="48" t="str">
        <x:v>DILIGENCE_ORGANIZATION</x:v>
      </x:c>
      <x:c r="F413" s="48" t="str">
        <x:v>Customer, expert or reference work explicit</x:v>
      </x:c>
      <x:c r="G413" s="48" t="str">
        <x:v>governance_architecture</x:v>
      </x:c>
      <x:c r="H413" s="48" t="str">
        <x:v>IC_RECOMMENDS_SEPARATE_FINAL_AUTHORITY</x:v>
      </x:c>
      <x:c r="I413" s="48" t="str">
        <x:v>3</x:v>
      </x:c>
      <x:c r="J413" s="48" t="str">
        <x:v>3</x:v>
      </x:c>
      <x:c r="K413" s="48" t="str">
        <x:v>0</x:v>
      </x:c>
      <x:c r="L413" s="48" t="str">
        <x:v>0</x:v>
      </x:c>
      <x:c r="M413" s="48" t="str">
        <x:v>3</x:v>
      </x:c>
      <x:c r="N413" s="48" t="str">
        <x:v>0</x:v>
      </x:c>
      <x:c r="O413" s="48" t="str">
        <x:v>0</x:v>
      </x:c>
      <x:c r="P413" s="48" t="str">
        <x:v>0</x:v>
      </x:c>
      <x:c r="Q413" s="48" t="str">
        <x:v>1.000</x:v>
      </x:c>
      <x:c r="R413" s="48" t="str">
        <x:v>N TOO SMALL</x:v>
      </x:c>
      <x:c r="S413" s="48" t="str"/>
      <x:c r="T413" s="48" t="str">
        <x:v>IC_FINAL_OR_DE_FACTO:N=26,p=1.000</x:v>
      </x:c>
      <x:c r="U413" s="48" t="str">
        <x:v>Fewer than two driver groups have at least 5 observable manager families.</x:v>
      </x:c>
      <x:c r="V413" s="48" t="str">
        <x:v>At least 5 observable manager families in at least 2 driver groups</x:v>
      </x:c>
      <x:c r="W413" s="48" t="str">
        <x:v>&gt;=0.35 separates; &lt;=0.15 does not separate; intermediate is inconclusive/confounded; direct driver-definition tests are CIRCULAR</x:v>
      </x:c>
      <x:c r="X413" s="48" t="str">
        <x:v>MANAGER_SELF_DESCRIPTION; NOT BEHAVIOURAL FREQUENCY</x:v>
      </x:c>
    </x:row>
    <x:row r="414">
      <x:c r="A414" s="48" t="str">
        <x:v>B_GOVERNANCE_SEGMENTATION</x:v>
      </x:c>
      <x:c r="B414" s="48" t="str">
        <x:v>Tier B v1.1 - N=29 rerun</x:v>
      </x:c>
      <x:c r="C414" s="48" t="str">
        <x:v>2026-07-16</x:v>
      </x:c>
      <x:c r="D414" s="48" t="str">
        <x:v>D07</x:v>
      </x:c>
      <x:c r="E414" s="48" t="str">
        <x:v>DILIGENCE_ORGANIZATION</x:v>
      </x:c>
      <x:c r="F414" s="48" t="str">
        <x:v>Customer, expert or reference work explicit</x:v>
      </x:c>
      <x:c r="G414" s="48" t="str">
        <x:v>dedicated_operating_team</x:v>
      </x:c>
      <x:c r="H414" s="48" t="str">
        <x:v>NO_OR_LIMITED</x:v>
      </x:c>
      <x:c r="I414" s="48" t="str">
        <x:v>6</x:v>
      </x:c>
      <x:c r="J414" s="48" t="str">
        <x:v>6</x:v>
      </x:c>
      <x:c r="K414" s="48" t="str">
        <x:v>0</x:v>
      </x:c>
      <x:c r="L414" s="48" t="str">
        <x:v>0</x:v>
      </x:c>
      <x:c r="M414" s="48" t="str">
        <x:v>6</x:v>
      </x:c>
      <x:c r="N414" s="48" t="str">
        <x:v>0</x:v>
      </x:c>
      <x:c r="O414" s="48" t="str">
        <x:v>0</x:v>
      </x:c>
      <x:c r="P414" s="48" t="str">
        <x:v>0</x:v>
      </x:c>
      <x:c r="Q414" s="48" t="str">
        <x:v>1.000</x:v>
      </x:c>
      <x:c r="R414" s="48" t="str">
        <x:v>DRIVER DOES NOT SEPARATE</x:v>
      </x:c>
      <x:c r="S414" s="48" t="str">
        <x:v>0.000</x:v>
      </x:c>
      <x:c r="T414" s="48" t="str">
        <x:v>NO_OR_LIMITED:N=6,p=1.000; YES_DEDICATED:N=23,p=1.000</x:v>
      </x:c>
      <x:c r="U414" s="48" t="str">
        <x:v>Maximum-minus-minimum prevalence among adequately observed groups is no more than 0.15.</x:v>
      </x:c>
      <x:c r="V414" s="48" t="str">
        <x:v>At least 5 observable manager families in at least 2 driver groups</x:v>
      </x:c>
      <x:c r="W414" s="48" t="str">
        <x:v>&gt;=0.35 separates; &lt;=0.15 does not separate; intermediate is inconclusive/confounded; direct driver-definition tests are CIRCULAR</x:v>
      </x:c>
      <x:c r="X414" s="48" t="str">
        <x:v>MANAGER_SELF_DESCRIPTION; NOT BEHAVIOURAL FREQUENCY</x:v>
      </x:c>
    </x:row>
    <x:row r="415">
      <x:c r="A415" s="48" t="str">
        <x:v>B_GOVERNANCE_SEGMENTATION</x:v>
      </x:c>
      <x:c r="B415" s="48" t="str">
        <x:v>Tier B v1.1 - N=29 rerun</x:v>
      </x:c>
      <x:c r="C415" s="48" t="str">
        <x:v>2026-07-16</x:v>
      </x:c>
      <x:c r="D415" s="48" t="str">
        <x:v>D07</x:v>
      </x:c>
      <x:c r="E415" s="48" t="str">
        <x:v>DILIGENCE_ORGANIZATION</x:v>
      </x:c>
      <x:c r="F415" s="48" t="str">
        <x:v>Customer, expert or reference work explicit</x:v>
      </x:c>
      <x:c r="G415" s="48" t="str">
        <x:v>dedicated_operating_team</x:v>
      </x:c>
      <x:c r="H415" s="48" t="str">
        <x:v>YES_DEDICATED</x:v>
      </x:c>
      <x:c r="I415" s="48" t="str">
        <x:v>23</x:v>
      </x:c>
      <x:c r="J415" s="48" t="str">
        <x:v>23</x:v>
      </x:c>
      <x:c r="K415" s="48" t="str">
        <x:v>0</x:v>
      </x:c>
      <x:c r="L415" s="48" t="str">
        <x:v>0</x:v>
      </x:c>
      <x:c r="M415" s="48" t="str">
        <x:v>23</x:v>
      </x:c>
      <x:c r="N415" s="48" t="str">
        <x:v>0</x:v>
      </x:c>
      <x:c r="O415" s="48" t="str">
        <x:v>0</x:v>
      </x:c>
      <x:c r="P415" s="48" t="str">
        <x:v>0</x:v>
      </x:c>
      <x:c r="Q415" s="48" t="str">
        <x:v>1.000</x:v>
      </x:c>
      <x:c r="R415" s="48" t="str">
        <x:v>DRIVER DOES NOT SEPARATE</x:v>
      </x:c>
      <x:c r="S415" s="48" t="str">
        <x:v>0.000</x:v>
      </x:c>
      <x:c r="T415" s="48" t="str">
        <x:v>NO_OR_LIMITED:N=6,p=1.000; YES_DEDICATED:N=23,p=1.000</x:v>
      </x:c>
      <x:c r="U415" s="48" t="str">
        <x:v>Maximum-minus-minimum prevalence among adequately observed groups is no more than 0.15.</x:v>
      </x:c>
      <x:c r="V415" s="48" t="str">
        <x:v>At least 5 observable manager families in at least 2 driver groups</x:v>
      </x:c>
      <x:c r="W415" s="48" t="str">
        <x:v>&gt;=0.35 separates; &lt;=0.15 does not separate; intermediate is inconclusive/confounded; direct driver-definition tests are CIRCULAR</x:v>
      </x:c>
      <x:c r="X415" s="48" t="str">
        <x:v>MANAGER_SELF_DESCRIPTION; NOT BEHAVIOURAL FREQUENCY</x:v>
      </x:c>
    </x:row>
    <x:row r="416">
      <x:c r="A416" s="48" t="str">
        <x:v>B_GOVERNANCE_SEGMENTATION</x:v>
      </x:c>
      <x:c r="B416" s="48" t="str">
        <x:v>Tier B v1.1 - N=29 rerun</x:v>
      </x:c>
      <x:c r="C416" s="48" t="str">
        <x:v>2026-07-16</x:v>
      </x:c>
      <x:c r="D416" s="48" t="str">
        <x:v>D08</x:v>
      </x:c>
      <x:c r="E416" s="48" t="str">
        <x:v>DILIGENCE_ORGANIZATION</x:v>
      </x:c>
      <x:c r="F416" s="48" t="str">
        <x:v>Formal QoE or financial due diligence typically used</x:v>
      </x:c>
      <x:c r="G416" s="48" t="str">
        <x:v>fund_size_archetype</x:v>
      </x:c>
      <x:c r="H416" s="48" t="str">
        <x:v>LARGE_2_TO_LT_5B</x:v>
      </x:c>
      <x:c r="I416" s="48" t="str">
        <x:v>9</x:v>
      </x:c>
      <x:c r="J416" s="48" t="str">
        <x:v>9</x:v>
      </x:c>
      <x:c r="K416" s="48" t="str">
        <x:v>2</x:v>
      </x:c>
      <x:c r="L416" s="48" t="str">
        <x:v>0</x:v>
      </x:c>
      <x:c r="M416" s="48" t="str">
        <x:v>9</x:v>
      </x:c>
      <x:c r="N416" s="48" t="str">
        <x:v>0</x:v>
      </x:c>
      <x:c r="O416" s="48" t="str">
        <x:v>0</x:v>
      </x:c>
      <x:c r="P416" s="48" t="str">
        <x:v>0</x:v>
      </x:c>
      <x:c r="Q416" s="48" t="str">
        <x:v>1.000</x:v>
      </x:c>
      <x:c r="R416" s="48" t="str">
        <x:v>DRIVER DOES NOT SEPARATE</x:v>
      </x:c>
      <x:c r="S416" s="48" t="str">
        <x:v>0.000</x:v>
      </x:c>
      <x:c r="T416" s="48" t="str">
        <x:v>LARGE_2_TO_LT_5B:N=9,p=1.000; LOWER_MID_LT_2B:N=6,p=1.000; MEGA_GE_5B:N=11,p=1.000</x:v>
      </x:c>
      <x:c r="U416" s="48" t="str">
        <x:v>Maximum-minus-minimum prevalence among adequately observed groups is no more than 0.15.</x:v>
      </x:c>
      <x:c r="V416" s="48" t="str">
        <x:v>At least 5 observable manager families in at least 2 driver groups</x:v>
      </x:c>
      <x:c r="W416" s="48" t="str">
        <x:v>&gt;=0.35 separates; &lt;=0.15 does not separate; intermediate is inconclusive/confounded; direct driver-definition tests are CIRCULAR</x:v>
      </x:c>
      <x:c r="X416" s="48" t="str">
        <x:v>MANAGER_SELF_DESCRIPTION; NOT BEHAVIOURAL FREQUENCY</x:v>
      </x:c>
    </x:row>
    <x:row r="417">
      <x:c r="A417" s="48" t="str">
        <x:v>B_GOVERNANCE_SEGMENTATION</x:v>
      </x:c>
      <x:c r="B417" s="48" t="str">
        <x:v>Tier B v1.1 - N=29 rerun</x:v>
      </x:c>
      <x:c r="C417" s="48" t="str">
        <x:v>2026-07-16</x:v>
      </x:c>
      <x:c r="D417" s="48" t="str">
        <x:v>D08</x:v>
      </x:c>
      <x:c r="E417" s="48" t="str">
        <x:v>DILIGENCE_ORGANIZATION</x:v>
      </x:c>
      <x:c r="F417" s="48" t="str">
        <x:v>Formal QoE or financial due diligence typically used</x:v>
      </x:c>
      <x:c r="G417" s="48" t="str">
        <x:v>fund_size_archetype</x:v>
      </x:c>
      <x:c r="H417" s="48" t="str">
        <x:v>LOWER_MID_LT_2B</x:v>
      </x:c>
      <x:c r="I417" s="48" t="str">
        <x:v>8</x:v>
      </x:c>
      <x:c r="J417" s="48" t="str">
        <x:v>6</x:v>
      </x:c>
      <x:c r="K417" s="48" t="str">
        <x:v>2</x:v>
      </x:c>
      <x:c r="L417" s="48" t="str">
        <x:v>0</x:v>
      </x:c>
      <x:c r="M417" s="48" t="str">
        <x:v>6</x:v>
      </x:c>
      <x:c r="N417" s="48" t="str">
        <x:v>2</x:v>
      </x:c>
      <x:c r="O417" s="48" t="str">
        <x:v>0</x:v>
      </x:c>
      <x:c r="P417" s="48" t="str">
        <x:v>0</x:v>
      </x:c>
      <x:c r="Q417" s="48" t="str">
        <x:v>1.000</x:v>
      </x:c>
      <x:c r="R417" s="48" t="str">
        <x:v>DRIVER DOES NOT SEPARATE</x:v>
      </x:c>
      <x:c r="S417" s="48" t="str">
        <x:v>0.000</x:v>
      </x:c>
      <x:c r="T417" s="48" t="str">
        <x:v>LARGE_2_TO_LT_5B:N=9,p=1.000; LOWER_MID_LT_2B:N=6,p=1.000; MEGA_GE_5B:N=11,p=1.000</x:v>
      </x:c>
      <x:c r="U417" s="48" t="str">
        <x:v>Maximum-minus-minimum prevalence among adequately observed groups is no more than 0.15.</x:v>
      </x:c>
      <x:c r="V417" s="48" t="str">
        <x:v>At least 5 observable manager families in at least 2 driver groups</x:v>
      </x:c>
      <x:c r="W417" s="48" t="str">
        <x:v>&gt;=0.35 separates; &lt;=0.15 does not separate; intermediate is inconclusive/confounded; direct driver-definition tests are CIRCULAR</x:v>
      </x:c>
      <x:c r="X417" s="48" t="str">
        <x:v>MANAGER_SELF_DESCRIPTION; NOT BEHAVIOURAL FREQUENCY</x:v>
      </x:c>
    </x:row>
    <x:row r="418">
      <x:c r="A418" s="48" t="str">
        <x:v>B_GOVERNANCE_SEGMENTATION</x:v>
      </x:c>
      <x:c r="B418" s="48" t="str">
        <x:v>Tier B v1.1 - N=29 rerun</x:v>
      </x:c>
      <x:c r="C418" s="48" t="str">
        <x:v>2026-07-16</x:v>
      </x:c>
      <x:c r="D418" s="48" t="str">
        <x:v>D08</x:v>
      </x:c>
      <x:c r="E418" s="48" t="str">
        <x:v>DILIGENCE_ORGANIZATION</x:v>
      </x:c>
      <x:c r="F418" s="48" t="str">
        <x:v>Formal QoE or financial due diligence typically used</x:v>
      </x:c>
      <x:c r="G418" s="48" t="str">
        <x:v>fund_size_archetype</x:v>
      </x:c>
      <x:c r="H418" s="48" t="str">
        <x:v>MEGA_GE_5B</x:v>
      </x:c>
      <x:c r="I418" s="48" t="str">
        <x:v>11</x:v>
      </x:c>
      <x:c r="J418" s="48" t="str">
        <x:v>11</x:v>
      </x:c>
      <x:c r="K418" s="48" t="str">
        <x:v>6</x:v>
      </x:c>
      <x:c r="L418" s="48" t="str">
        <x:v>0</x:v>
      </x:c>
      <x:c r="M418" s="48" t="str">
        <x:v>11</x:v>
      </x:c>
      <x:c r="N418" s="48" t="str">
        <x:v>0</x:v>
      </x:c>
      <x:c r="O418" s="48" t="str">
        <x:v>0</x:v>
      </x:c>
      <x:c r="P418" s="48" t="str">
        <x:v>0</x:v>
      </x:c>
      <x:c r="Q418" s="48" t="str">
        <x:v>1.000</x:v>
      </x:c>
      <x:c r="R418" s="48" t="str">
        <x:v>DRIVER DOES NOT SEPARATE</x:v>
      </x:c>
      <x:c r="S418" s="48" t="str">
        <x:v>0.000</x:v>
      </x:c>
      <x:c r="T418" s="48" t="str">
        <x:v>LARGE_2_TO_LT_5B:N=9,p=1.000; LOWER_MID_LT_2B:N=6,p=1.000; MEGA_GE_5B:N=11,p=1.000</x:v>
      </x:c>
      <x:c r="U418" s="48" t="str">
        <x:v>Maximum-minus-minimum prevalence among adequately observed groups is no more than 0.15.</x:v>
      </x:c>
      <x:c r="V418" s="48" t="str">
        <x:v>At least 5 observable manager families in at least 2 driver groups</x:v>
      </x:c>
      <x:c r="W418" s="48" t="str">
        <x:v>&gt;=0.35 separates; &lt;=0.15 does not separate; intermediate is inconclusive/confounded; direct driver-definition tests are CIRCULAR</x:v>
      </x:c>
      <x:c r="X418" s="48" t="str">
        <x:v>MANAGER_SELF_DESCRIPTION; NOT BEHAVIOURAL FREQUENCY</x:v>
      </x:c>
    </x:row>
    <x:row r="419">
      <x:c r="A419" s="48" t="str">
        <x:v>B_GOVERNANCE_SEGMENTATION</x:v>
      </x:c>
      <x:c r="B419" s="48" t="str">
        <x:v>Tier B v1.1 - N=29 rerun</x:v>
      </x:c>
      <x:c r="C419" s="48" t="str">
        <x:v>2026-07-16</x:v>
      </x:c>
      <x:c r="D419" s="48" t="str">
        <x:v>D08</x:v>
      </x:c>
      <x:c r="E419" s="48" t="str">
        <x:v>DILIGENCE_ORGANIZATION</x:v>
      </x:c>
      <x:c r="F419" s="48" t="str">
        <x:v>Formal QoE or financial due diligence typically used</x:v>
      </x:c>
      <x:c r="G419" s="48" t="str">
        <x:v>fund_size_archetype</x:v>
      </x:c>
      <x:c r="H419" s="48" t="str">
        <x:v>NOT_APPLICABLE</x:v>
      </x:c>
      <x:c r="I419" s="48" t="str">
        <x:v>1</x:v>
      </x:c>
      <x:c r="J419" s="48" t="str">
        <x:v>1</x:v>
      </x:c>
      <x:c r="K419" s="48" t="str">
        <x:v>1</x:v>
      </x:c>
      <x:c r="L419" s="48" t="str">
        <x:v>0</x:v>
      </x:c>
      <x:c r="M419" s="48" t="str">
        <x:v>1</x:v>
      </x:c>
      <x:c r="N419" s="48" t="str">
        <x:v>0</x:v>
      </x:c>
      <x:c r="O419" s="48" t="str">
        <x:v>0</x:v>
      </x:c>
      <x:c r="P419" s="48" t="str">
        <x:v>0</x:v>
      </x:c>
      <x:c r="Q419" s="48" t="str">
        <x:v>1.000</x:v>
      </x:c>
      <x:c r="R419" s="48" t="str">
        <x:v>DRIVER DOES NOT SEPARATE</x:v>
      </x:c>
      <x:c r="S419" s="48" t="str">
        <x:v>0.000</x:v>
      </x:c>
      <x:c r="T419" s="48" t="str">
        <x:v>LARGE_2_TO_LT_5B:N=9,p=1.000; LOWER_MID_LT_2B:N=6,p=1.000; MEGA_GE_5B:N=11,p=1.000</x:v>
      </x:c>
      <x:c r="U419" s="48" t="str">
        <x:v>Maximum-minus-minimum prevalence among adequately observed groups is no more than 0.15.</x:v>
      </x:c>
      <x:c r="V419" s="48" t="str">
        <x:v>At least 5 observable manager families in at least 2 driver groups</x:v>
      </x:c>
      <x:c r="W419" s="48" t="str">
        <x:v>&gt;=0.35 separates; &lt;=0.15 does not separate; intermediate is inconclusive/confounded; direct driver-definition tests are CIRCULAR</x:v>
      </x:c>
      <x:c r="X419" s="48" t="str">
        <x:v>MANAGER_SELF_DESCRIPTION; NOT BEHAVIOURAL FREQUENCY</x:v>
      </x:c>
    </x:row>
    <x:row r="420">
      <x:c r="A420" s="48" t="str">
        <x:v>B_GOVERNANCE_SEGMENTATION</x:v>
      </x:c>
      <x:c r="B420" s="48" t="str">
        <x:v>Tier B v1.1 - N=29 rerun</x:v>
      </x:c>
      <x:c r="C420" s="48" t="str">
        <x:v>2026-07-16</x:v>
      </x:c>
      <x:c r="D420" s="48" t="str">
        <x:v>D08</x:v>
      </x:c>
      <x:c r="E420" s="48" t="str">
        <x:v>DILIGENCE_ORGANIZATION</x:v>
      </x:c>
      <x:c r="F420" s="48" t="str">
        <x:v>Formal QoE or financial due diligence typically used</x:v>
      </x:c>
      <x:c r="G420" s="48" t="str">
        <x:v>strategy</x:v>
      </x:c>
      <x:c r="H420" s="48" t="str">
        <x:v>CONTROL_BUYOUT</x:v>
      </x:c>
      <x:c r="I420" s="48" t="str">
        <x:v>22</x:v>
      </x:c>
      <x:c r="J420" s="48" t="str">
        <x:v>21</x:v>
      </x:c>
      <x:c r="K420" s="48" t="str">
        <x:v>9</x:v>
      </x:c>
      <x:c r="L420" s="48" t="str">
        <x:v>0</x:v>
      </x:c>
      <x:c r="M420" s="48" t="str">
        <x:v>21</x:v>
      </x:c>
      <x:c r="N420" s="48" t="str">
        <x:v>1</x:v>
      </x:c>
      <x:c r="O420" s="48" t="str">
        <x:v>0</x:v>
      </x:c>
      <x:c r="P420" s="48" t="str">
        <x:v>0</x:v>
      </x:c>
      <x:c r="Q420" s="48" t="str">
        <x:v>1.000</x:v>
      </x:c>
      <x:c r="R420" s="48" t="str">
        <x:v>DRIVER DOES NOT SEPARATE</x:v>
      </x:c>
      <x:c r="S420" s="48" t="str">
        <x:v>0.000</x:v>
      </x:c>
      <x:c r="T420" s="48" t="str">
        <x:v>CONTROL_BUYOUT:N=21,p=1.000; GROWTH_CONTROL_HYBRID:N=5,p=1.000</x:v>
      </x:c>
      <x:c r="U420" s="48" t="str">
        <x:v>Maximum-minus-minimum prevalence among adequately observed groups is no more than 0.15.</x:v>
      </x:c>
      <x:c r="V420" s="48" t="str">
        <x:v>At least 5 observable manager families in at least 2 driver groups</x:v>
      </x:c>
      <x:c r="W420" s="48" t="str">
        <x:v>&gt;=0.35 separates; &lt;=0.15 does not separate; intermediate is inconclusive/confounded; direct driver-definition tests are CIRCULAR</x:v>
      </x:c>
      <x:c r="X420" s="48" t="str">
        <x:v>MANAGER_SELF_DESCRIPTION; NOT BEHAVIOURAL FREQUENCY</x:v>
      </x:c>
    </x:row>
    <x:row r="421">
      <x:c r="A421" s="48" t="str">
        <x:v>B_GOVERNANCE_SEGMENTATION</x:v>
      </x:c>
      <x:c r="B421" s="48" t="str">
        <x:v>Tier B v1.1 - N=29 rerun</x:v>
      </x:c>
      <x:c r="C421" s="48" t="str">
        <x:v>2026-07-16</x:v>
      </x:c>
      <x:c r="D421" s="48" t="str">
        <x:v>D08</x:v>
      </x:c>
      <x:c r="E421" s="48" t="str">
        <x:v>DILIGENCE_ORGANIZATION</x:v>
      </x:c>
      <x:c r="F421" s="48" t="str">
        <x:v>Formal QoE or financial due diligence typically used</x:v>
      </x:c>
      <x:c r="G421" s="48" t="str">
        <x:v>strategy</x:v>
      </x:c>
      <x:c r="H421" s="48" t="str">
        <x:v>GROWTH_CONTROL_HYBRID</x:v>
      </x:c>
      <x:c r="I421" s="48" t="str">
        <x:v>6</x:v>
      </x:c>
      <x:c r="J421" s="48" t="str">
        <x:v>5</x:v>
      </x:c>
      <x:c r="K421" s="48" t="str">
        <x:v>1</x:v>
      </x:c>
      <x:c r="L421" s="48" t="str">
        <x:v>0</x:v>
      </x:c>
      <x:c r="M421" s="48" t="str">
        <x:v>5</x:v>
      </x:c>
      <x:c r="N421" s="48" t="str">
        <x:v>1</x:v>
      </x:c>
      <x:c r="O421" s="48" t="str">
        <x:v>0</x:v>
      </x:c>
      <x:c r="P421" s="48" t="str">
        <x:v>0</x:v>
      </x:c>
      <x:c r="Q421" s="48" t="str">
        <x:v>1.000</x:v>
      </x:c>
      <x:c r="R421" s="48" t="str">
        <x:v>DRIVER DOES NOT SEPARATE</x:v>
      </x:c>
      <x:c r="S421" s="48" t="str">
        <x:v>0.000</x:v>
      </x:c>
      <x:c r="T421" s="48" t="str">
        <x:v>CONTROL_BUYOUT:N=21,p=1.000; GROWTH_CONTROL_HYBRID:N=5,p=1.000</x:v>
      </x:c>
      <x:c r="U421" s="48" t="str">
        <x:v>Maximum-minus-minimum prevalence among adequately observed groups is no more than 0.15.</x:v>
      </x:c>
      <x:c r="V421" s="48" t="str">
        <x:v>At least 5 observable manager families in at least 2 driver groups</x:v>
      </x:c>
      <x:c r="W421" s="48" t="str">
        <x:v>&gt;=0.35 separates; &lt;=0.15 does not separate; intermediate is inconclusive/confounded; direct driver-definition tests are CIRCULAR</x:v>
      </x:c>
      <x:c r="X421" s="48" t="str">
        <x:v>MANAGER_SELF_DESCRIPTION; NOT BEHAVIOURAL FREQUENCY</x:v>
      </x:c>
    </x:row>
    <x:row r="422">
      <x:c r="A422" s="48" t="str">
        <x:v>B_GOVERNANCE_SEGMENTATION</x:v>
      </x:c>
      <x:c r="B422" s="48" t="str">
        <x:v>Tier B v1.1 - N=29 rerun</x:v>
      </x:c>
      <x:c r="C422" s="48" t="str">
        <x:v>2026-07-16</x:v>
      </x:c>
      <x:c r="D422" s="48" t="str">
        <x:v>D08</x:v>
      </x:c>
      <x:c r="E422" s="48" t="str">
        <x:v>DILIGENCE_ORGANIZATION</x:v>
      </x:c>
      <x:c r="F422" s="48" t="str">
        <x:v>Formal QoE or financial due diligence typically used</x:v>
      </x:c>
      <x:c r="G422" s="48" t="str">
        <x:v>strategy</x:v>
      </x:c>
      <x:c r="H422" s="48" t="str">
        <x:v>OPPORTUNISTIC_CONTROL</x:v>
      </x:c>
      <x:c r="I422" s="48" t="str">
        <x:v>1</x:v>
      </x:c>
      <x:c r="J422" s="48" t="str">
        <x:v>1</x:v>
      </x:c>
      <x:c r="K422" s="48" t="str">
        <x:v>1</x:v>
      </x:c>
      <x:c r="L422" s="48" t="str">
        <x:v>0</x:v>
      </x:c>
      <x:c r="M422" s="48" t="str">
        <x:v>1</x:v>
      </x:c>
      <x:c r="N422" s="48" t="str">
        <x:v>0</x:v>
      </x:c>
      <x:c r="O422" s="48" t="str">
        <x:v>0</x:v>
      </x:c>
      <x:c r="P422" s="48" t="str">
        <x:v>0</x:v>
      </x:c>
      <x:c r="Q422" s="48" t="str">
        <x:v>1.000</x:v>
      </x:c>
      <x:c r="R422" s="48" t="str">
        <x:v>DRIVER DOES NOT SEPARATE</x:v>
      </x:c>
      <x:c r="S422" s="48" t="str">
        <x:v>0.000</x:v>
      </x:c>
      <x:c r="T422" s="48" t="str">
        <x:v>CONTROL_BUYOUT:N=21,p=1.000; GROWTH_CONTROL_HYBRID:N=5,p=1.000</x:v>
      </x:c>
      <x:c r="U422" s="48" t="str">
        <x:v>Maximum-minus-minimum prevalence among adequately observed groups is no more than 0.15.</x:v>
      </x:c>
      <x:c r="V422" s="48" t="str">
        <x:v>At least 5 observable manager families in at least 2 driver groups</x:v>
      </x:c>
      <x:c r="W422" s="48" t="str">
        <x:v>&gt;=0.35 separates; &lt;=0.15 does not separate; intermediate is inconclusive/confounded; direct driver-definition tests are CIRCULAR</x:v>
      </x:c>
      <x:c r="X422" s="48" t="str">
        <x:v>MANAGER_SELF_DESCRIPTION; NOT BEHAVIOURAL FREQUENCY</x:v>
      </x:c>
    </x:row>
    <x:row r="423">
      <x:c r="A423" s="48" t="str">
        <x:v>B_GOVERNANCE_SEGMENTATION</x:v>
      </x:c>
      <x:c r="B423" s="48" t="str">
        <x:v>Tier B v1.1 - N=29 rerun</x:v>
      </x:c>
      <x:c r="C423" s="48" t="str">
        <x:v>2026-07-16</x:v>
      </x:c>
      <x:c r="D423" s="48" t="str">
        <x:v>D08</x:v>
      </x:c>
      <x:c r="E423" s="48" t="str">
        <x:v>DILIGENCE_ORGANIZATION</x:v>
      </x:c>
      <x:c r="F423" s="48" t="str">
        <x:v>Formal QoE or financial due diligence typically used</x:v>
      </x:c>
      <x:c r="G423" s="48" t="str">
        <x:v>geography</x:v>
      </x:c>
      <x:c r="H423" s="48" t="str">
        <x:v>ASIA_PACIFIC</x:v>
      </x:c>
      <x:c r="I423" s="48" t="str">
        <x:v>4</x:v>
      </x:c>
      <x:c r="J423" s="48" t="str">
        <x:v>3</x:v>
      </x:c>
      <x:c r="K423" s="48" t="str">
        <x:v>1</x:v>
      </x:c>
      <x:c r="L423" s="48" t="str">
        <x:v>0</x:v>
      </x:c>
      <x:c r="M423" s="48" t="str">
        <x:v>3</x:v>
      </x:c>
      <x:c r="N423" s="48" t="str">
        <x:v>1</x:v>
      </x:c>
      <x:c r="O423" s="48" t="str">
        <x:v>0</x:v>
      </x:c>
      <x:c r="P423" s="48" t="str">
        <x:v>0</x:v>
      </x:c>
      <x:c r="Q423" s="48" t="str">
        <x:v>1.000</x:v>
      </x:c>
      <x:c r="R423" s="48" t="str">
        <x:v>DRIVER DOES NOT SEPARATE</x:v>
      </x:c>
      <x:c r="S423" s="48" t="str">
        <x:v>0.000</x:v>
      </x:c>
      <x:c r="T423" s="48" t="str">
        <x:v>GLOBAL_TRANSATLANTIC:N=10,p=1.000; NORTH_AMERICA:N=12,p=1.000</x:v>
      </x:c>
      <x:c r="U423" s="48" t="str">
        <x:v>Maximum-minus-minimum prevalence among adequately observed groups is no more than 0.15.</x:v>
      </x:c>
      <x:c r="V423" s="48" t="str">
        <x:v>At least 5 observable manager families in at least 2 driver groups</x:v>
      </x:c>
      <x:c r="W423" s="48" t="str">
        <x:v>&gt;=0.35 separates; &lt;=0.15 does not separate; intermediate is inconclusive/confounded; direct driver-definition tests are CIRCULAR</x:v>
      </x:c>
      <x:c r="X423" s="48" t="str">
        <x:v>MANAGER_SELF_DESCRIPTION; NOT BEHAVIOURAL FREQUENCY</x:v>
      </x:c>
    </x:row>
    <x:row r="424">
      <x:c r="A424" s="48" t="str">
        <x:v>B_GOVERNANCE_SEGMENTATION</x:v>
      </x:c>
      <x:c r="B424" s="48" t="str">
        <x:v>Tier B v1.1 - N=29 rerun</x:v>
      </x:c>
      <x:c r="C424" s="48" t="str">
        <x:v>2026-07-16</x:v>
      </x:c>
      <x:c r="D424" s="48" t="str">
        <x:v>D08</x:v>
      </x:c>
      <x:c r="E424" s="48" t="str">
        <x:v>DILIGENCE_ORGANIZATION</x:v>
      </x:c>
      <x:c r="F424" s="48" t="str">
        <x:v>Formal QoE or financial due diligence typically used</x:v>
      </x:c>
      <x:c r="G424" s="48" t="str">
        <x:v>geography</x:v>
      </x:c>
      <x:c r="H424" s="48" t="str">
        <x:v>EUROPE</x:v>
      </x:c>
      <x:c r="I424" s="48" t="str">
        <x:v>2</x:v>
      </x:c>
      <x:c r="J424" s="48" t="str">
        <x:v>2</x:v>
      </x:c>
      <x:c r="K424" s="48" t="str">
        <x:v>1</x:v>
      </x:c>
      <x:c r="L424" s="48" t="str">
        <x:v>0</x:v>
      </x:c>
      <x:c r="M424" s="48" t="str">
        <x:v>2</x:v>
      </x:c>
      <x:c r="N424" s="48" t="str">
        <x:v>0</x:v>
      </x:c>
      <x:c r="O424" s="48" t="str">
        <x:v>0</x:v>
      </x:c>
      <x:c r="P424" s="48" t="str">
        <x:v>0</x:v>
      </x:c>
      <x:c r="Q424" s="48" t="str">
        <x:v>1.000</x:v>
      </x:c>
      <x:c r="R424" s="48" t="str">
        <x:v>DRIVER DOES NOT SEPARATE</x:v>
      </x:c>
      <x:c r="S424" s="48" t="str">
        <x:v>0.000</x:v>
      </x:c>
      <x:c r="T424" s="48" t="str">
        <x:v>GLOBAL_TRANSATLANTIC:N=10,p=1.000; NORTH_AMERICA:N=12,p=1.000</x:v>
      </x:c>
      <x:c r="U424" s="48" t="str">
        <x:v>Maximum-minus-minimum prevalence among adequately observed groups is no more than 0.15.</x:v>
      </x:c>
      <x:c r="V424" s="48" t="str">
        <x:v>At least 5 observable manager families in at least 2 driver groups</x:v>
      </x:c>
      <x:c r="W424" s="48" t="str">
        <x:v>&gt;=0.35 separates; &lt;=0.15 does not separate; intermediate is inconclusive/confounded; direct driver-definition tests are CIRCULAR</x:v>
      </x:c>
      <x:c r="X424" s="48" t="str">
        <x:v>MANAGER_SELF_DESCRIPTION; NOT BEHAVIOURAL FREQUENCY</x:v>
      </x:c>
    </x:row>
    <x:row r="425">
      <x:c r="A425" s="48" t="str">
        <x:v>B_GOVERNANCE_SEGMENTATION</x:v>
      </x:c>
      <x:c r="B425" s="48" t="str">
        <x:v>Tier B v1.1 - N=29 rerun</x:v>
      </x:c>
      <x:c r="C425" s="48" t="str">
        <x:v>2026-07-16</x:v>
      </x:c>
      <x:c r="D425" s="48" t="str">
        <x:v>D08</x:v>
      </x:c>
      <x:c r="E425" s="48" t="str">
        <x:v>DILIGENCE_ORGANIZATION</x:v>
      </x:c>
      <x:c r="F425" s="48" t="str">
        <x:v>Formal QoE or financial due diligence typically used</x:v>
      </x:c>
      <x:c r="G425" s="48" t="str">
        <x:v>geography</x:v>
      </x:c>
      <x:c r="H425" s="48" t="str">
        <x:v>GLOBAL_TRANSATLANTIC</x:v>
      </x:c>
      <x:c r="I425" s="48" t="str">
        <x:v>10</x:v>
      </x:c>
      <x:c r="J425" s="48" t="str">
        <x:v>10</x:v>
      </x:c>
      <x:c r="K425" s="48" t="str">
        <x:v>5</x:v>
      </x:c>
      <x:c r="L425" s="48" t="str">
        <x:v>0</x:v>
      </x:c>
      <x:c r="M425" s="48" t="str">
        <x:v>10</x:v>
      </x:c>
      <x:c r="N425" s="48" t="str">
        <x:v>0</x:v>
      </x:c>
      <x:c r="O425" s="48" t="str">
        <x:v>0</x:v>
      </x:c>
      <x:c r="P425" s="48" t="str">
        <x:v>0</x:v>
      </x:c>
      <x:c r="Q425" s="48" t="str">
        <x:v>1.000</x:v>
      </x:c>
      <x:c r="R425" s="48" t="str">
        <x:v>DRIVER DOES NOT SEPARATE</x:v>
      </x:c>
      <x:c r="S425" s="48" t="str">
        <x:v>0.000</x:v>
      </x:c>
      <x:c r="T425" s="48" t="str">
        <x:v>GLOBAL_TRANSATLANTIC:N=10,p=1.000; NORTH_AMERICA:N=12,p=1.000</x:v>
      </x:c>
      <x:c r="U425" s="48" t="str">
        <x:v>Maximum-minus-minimum prevalence among adequately observed groups is no more than 0.15.</x:v>
      </x:c>
      <x:c r="V425" s="48" t="str">
        <x:v>At least 5 observable manager families in at least 2 driver groups</x:v>
      </x:c>
      <x:c r="W425" s="48" t="str">
        <x:v>&gt;=0.35 separates; &lt;=0.15 does not separate; intermediate is inconclusive/confounded; direct driver-definition tests are CIRCULAR</x:v>
      </x:c>
      <x:c r="X425" s="48" t="str">
        <x:v>MANAGER_SELF_DESCRIPTION; NOT BEHAVIOURAL FREQUENCY</x:v>
      </x:c>
    </x:row>
    <x:row r="426">
      <x:c r="A426" s="48" t="str">
        <x:v>B_GOVERNANCE_SEGMENTATION</x:v>
      </x:c>
      <x:c r="B426" s="48" t="str">
        <x:v>Tier B v1.1 - N=29 rerun</x:v>
      </x:c>
      <x:c r="C426" s="48" t="str">
        <x:v>2026-07-16</x:v>
      </x:c>
      <x:c r="D426" s="48" t="str">
        <x:v>D08</x:v>
      </x:c>
      <x:c r="E426" s="48" t="str">
        <x:v>DILIGENCE_ORGANIZATION</x:v>
      </x:c>
      <x:c r="F426" s="48" t="str">
        <x:v>Formal QoE or financial due diligence typically used</x:v>
      </x:c>
      <x:c r="G426" s="48" t="str">
        <x:v>geography</x:v>
      </x:c>
      <x:c r="H426" s="48" t="str">
        <x:v>NORTH_AMERICA</x:v>
      </x:c>
      <x:c r="I426" s="48" t="str">
        <x:v>13</x:v>
      </x:c>
      <x:c r="J426" s="48" t="str">
        <x:v>12</x:v>
      </x:c>
      <x:c r="K426" s="48" t="str">
        <x:v>4</x:v>
      </x:c>
      <x:c r="L426" s="48" t="str">
        <x:v>0</x:v>
      </x:c>
      <x:c r="M426" s="48" t="str">
        <x:v>12</x:v>
      </x:c>
      <x:c r="N426" s="48" t="str">
        <x:v>1</x:v>
      </x:c>
      <x:c r="O426" s="48" t="str">
        <x:v>0</x:v>
      </x:c>
      <x:c r="P426" s="48" t="str">
        <x:v>0</x:v>
      </x:c>
      <x:c r="Q426" s="48" t="str">
        <x:v>1.000</x:v>
      </x:c>
      <x:c r="R426" s="48" t="str">
        <x:v>DRIVER DOES NOT SEPARATE</x:v>
      </x:c>
      <x:c r="S426" s="48" t="str">
        <x:v>0.000</x:v>
      </x:c>
      <x:c r="T426" s="48" t="str">
        <x:v>GLOBAL_TRANSATLANTIC:N=10,p=1.000; NORTH_AMERICA:N=12,p=1.000</x:v>
      </x:c>
      <x:c r="U426" s="48" t="str">
        <x:v>Maximum-minus-minimum prevalence among adequately observed groups is no more than 0.15.</x:v>
      </x:c>
      <x:c r="V426" s="48" t="str">
        <x:v>At least 5 observable manager families in at least 2 driver groups</x:v>
      </x:c>
      <x:c r="W426" s="48" t="str">
        <x:v>&gt;=0.35 separates; &lt;=0.15 does not separate; intermediate is inconclusive/confounded; direct driver-definition tests are CIRCULAR</x:v>
      </x:c>
      <x:c r="X426" s="48" t="str">
        <x:v>MANAGER_SELF_DESCRIPTION; NOT BEHAVIOURAL FREQUENCY</x:v>
      </x:c>
    </x:row>
    <x:row r="427">
      <x:c r="A427" s="48" t="str">
        <x:v>B_GOVERNANCE_SEGMENTATION</x:v>
      </x:c>
      <x:c r="B427" s="48" t="str">
        <x:v>Tier B v1.1 - N=29 rerun</x:v>
      </x:c>
      <x:c r="C427" s="48" t="str">
        <x:v>2026-07-16</x:v>
      </x:c>
      <x:c r="D427" s="48" t="str">
        <x:v>D08</x:v>
      </x:c>
      <x:c r="E427" s="48" t="str">
        <x:v>DILIGENCE_ORGANIZATION</x:v>
      </x:c>
      <x:c r="F427" s="48" t="str">
        <x:v>Formal QoE or financial due diligence typically used</x:v>
      </x:c>
      <x:c r="G427" s="48" t="str">
        <x:v>source_vintage_bin</x:v>
      </x:c>
      <x:c r="H427" s="48" t="str">
        <x:v>2018_2020</x:v>
      </x:c>
      <x:c r="I427" s="48" t="str">
        <x:v>6</x:v>
      </x:c>
      <x:c r="J427" s="48" t="str">
        <x:v>6</x:v>
      </x:c>
      <x:c r="K427" s="48" t="str">
        <x:v>2</x:v>
      </x:c>
      <x:c r="L427" s="48" t="str">
        <x:v>0</x:v>
      </x:c>
      <x:c r="M427" s="48" t="str">
        <x:v>6</x:v>
      </x:c>
      <x:c r="N427" s="48" t="str">
        <x:v>0</x:v>
      </x:c>
      <x:c r="O427" s="48" t="str">
        <x:v>0</x:v>
      </x:c>
      <x:c r="P427" s="48" t="str">
        <x:v>0</x:v>
      </x:c>
      <x:c r="Q427" s="48" t="str">
        <x:v>1.000</x:v>
      </x:c>
      <x:c r="R427" s="48" t="str">
        <x:v>DRIVER DOES NOT SEPARATE</x:v>
      </x:c>
      <x:c r="S427" s="48" t="str">
        <x:v>0.000</x:v>
      </x:c>
      <x:c r="T427" s="48" t="str">
        <x:v>2018_2020:N=6,p=1.000; 2021_2023:N=11,p=1.000; 2024_2026:N=10,p=1.000</x:v>
      </x:c>
      <x:c r="U427" s="48" t="str">
        <x:v>Maximum-minus-minimum prevalence among adequately observed groups is no more than 0.15.</x:v>
      </x:c>
      <x:c r="V427" s="48" t="str">
        <x:v>At least 5 observable manager families in at least 2 driver groups</x:v>
      </x:c>
      <x:c r="W427" s="48" t="str">
        <x:v>&gt;=0.35 separates; &lt;=0.15 does not separate; intermediate is inconclusive/confounded; direct driver-definition tests are CIRCULAR</x:v>
      </x:c>
      <x:c r="X427" s="48" t="str">
        <x:v>MANAGER_SELF_DESCRIPTION; NOT BEHAVIOURAL FREQUENCY</x:v>
      </x:c>
    </x:row>
    <x:row r="428">
      <x:c r="A428" s="48" t="str">
        <x:v>B_GOVERNANCE_SEGMENTATION</x:v>
      </x:c>
      <x:c r="B428" s="48" t="str">
        <x:v>Tier B v1.1 - N=29 rerun</x:v>
      </x:c>
      <x:c r="C428" s="48" t="str">
        <x:v>2026-07-16</x:v>
      </x:c>
      <x:c r="D428" s="48" t="str">
        <x:v>D08</x:v>
      </x:c>
      <x:c r="E428" s="48" t="str">
        <x:v>DILIGENCE_ORGANIZATION</x:v>
      </x:c>
      <x:c r="F428" s="48" t="str">
        <x:v>Formal QoE or financial due diligence typically used</x:v>
      </x:c>
      <x:c r="G428" s="48" t="str">
        <x:v>source_vintage_bin</x:v>
      </x:c>
      <x:c r="H428" s="48" t="str">
        <x:v>2021_2023</x:v>
      </x:c>
      <x:c r="I428" s="48" t="str">
        <x:v>11</x:v>
      </x:c>
      <x:c r="J428" s="48" t="str">
        <x:v>11</x:v>
      </x:c>
      <x:c r="K428" s="48" t="str">
        <x:v>4</x:v>
      </x:c>
      <x:c r="L428" s="48" t="str">
        <x:v>0</x:v>
      </x:c>
      <x:c r="M428" s="48" t="str">
        <x:v>11</x:v>
      </x:c>
      <x:c r="N428" s="48" t="str">
        <x:v>0</x:v>
      </x:c>
      <x:c r="O428" s="48" t="str">
        <x:v>0</x:v>
      </x:c>
      <x:c r="P428" s="48" t="str">
        <x:v>0</x:v>
      </x:c>
      <x:c r="Q428" s="48" t="str">
        <x:v>1.000</x:v>
      </x:c>
      <x:c r="R428" s="48" t="str">
        <x:v>DRIVER DOES NOT SEPARATE</x:v>
      </x:c>
      <x:c r="S428" s="48" t="str">
        <x:v>0.000</x:v>
      </x:c>
      <x:c r="T428" s="48" t="str">
        <x:v>2018_2020:N=6,p=1.000; 2021_2023:N=11,p=1.000; 2024_2026:N=10,p=1.000</x:v>
      </x:c>
      <x:c r="U428" s="48" t="str">
        <x:v>Maximum-minus-minimum prevalence among adequately observed groups is no more than 0.15.</x:v>
      </x:c>
      <x:c r="V428" s="48" t="str">
        <x:v>At least 5 observable manager families in at least 2 driver groups</x:v>
      </x:c>
      <x:c r="W428" s="48" t="str">
        <x:v>&gt;=0.35 separates; &lt;=0.15 does not separate; intermediate is inconclusive/confounded; direct driver-definition tests are CIRCULAR</x:v>
      </x:c>
      <x:c r="X428" s="48" t="str">
        <x:v>MANAGER_SELF_DESCRIPTION; NOT BEHAVIOURAL FREQUENCY</x:v>
      </x:c>
    </x:row>
    <x:row r="429">
      <x:c r="A429" s="48" t="str">
        <x:v>B_GOVERNANCE_SEGMENTATION</x:v>
      </x:c>
      <x:c r="B429" s="48" t="str">
        <x:v>Tier B v1.1 - N=29 rerun</x:v>
      </x:c>
      <x:c r="C429" s="48" t="str">
        <x:v>2026-07-16</x:v>
      </x:c>
      <x:c r="D429" s="48" t="str">
        <x:v>D08</x:v>
      </x:c>
      <x:c r="E429" s="48" t="str">
        <x:v>DILIGENCE_ORGANIZATION</x:v>
      </x:c>
      <x:c r="F429" s="48" t="str">
        <x:v>Formal QoE or financial due diligence typically used</x:v>
      </x:c>
      <x:c r="G429" s="48" t="str">
        <x:v>source_vintage_bin</x:v>
      </x:c>
      <x:c r="H429" s="48" t="str">
        <x:v>2024_2026</x:v>
      </x:c>
      <x:c r="I429" s="48" t="str">
        <x:v>12</x:v>
      </x:c>
      <x:c r="J429" s="48" t="str">
        <x:v>10</x:v>
      </x:c>
      <x:c r="K429" s="48" t="str">
        <x:v>5</x:v>
      </x:c>
      <x:c r="L429" s="48" t="str">
        <x:v>0</x:v>
      </x:c>
      <x:c r="M429" s="48" t="str">
        <x:v>10</x:v>
      </x:c>
      <x:c r="N429" s="48" t="str">
        <x:v>2</x:v>
      </x:c>
      <x:c r="O429" s="48" t="str">
        <x:v>0</x:v>
      </x:c>
      <x:c r="P429" s="48" t="str">
        <x:v>0</x:v>
      </x:c>
      <x:c r="Q429" s="48" t="str">
        <x:v>1.000</x:v>
      </x:c>
      <x:c r="R429" s="48" t="str">
        <x:v>DRIVER DOES NOT SEPARATE</x:v>
      </x:c>
      <x:c r="S429" s="48" t="str">
        <x:v>0.000</x:v>
      </x:c>
      <x:c r="T429" s="48" t="str">
        <x:v>2018_2020:N=6,p=1.000; 2021_2023:N=11,p=1.000; 2024_2026:N=10,p=1.000</x:v>
      </x:c>
      <x:c r="U429" s="48" t="str">
        <x:v>Maximum-minus-minimum prevalence among adequately observed groups is no more than 0.15.</x:v>
      </x:c>
      <x:c r="V429" s="48" t="str">
        <x:v>At least 5 observable manager families in at least 2 driver groups</x:v>
      </x:c>
      <x:c r="W429" s="48" t="str">
        <x:v>&gt;=0.35 separates; &lt;=0.15 does not separate; intermediate is inconclusive/confounded; direct driver-definition tests are CIRCULAR</x:v>
      </x:c>
      <x:c r="X429" s="48" t="str">
        <x:v>MANAGER_SELF_DESCRIPTION; NOT BEHAVIOURAL FREQUENCY</x:v>
      </x:c>
    </x:row>
    <x:row r="430">
      <x:c r="A430" s="48" t="str">
        <x:v>B_GOVERNANCE_SEGMENTATION</x:v>
      </x:c>
      <x:c r="B430" s="48" t="str">
        <x:v>Tier B v1.1 - N=29 rerun</x:v>
      </x:c>
      <x:c r="C430" s="48" t="str">
        <x:v>2026-07-16</x:v>
      </x:c>
      <x:c r="D430" s="48" t="str">
        <x:v>D08</x:v>
      </x:c>
      <x:c r="E430" s="48" t="str">
        <x:v>DILIGENCE_ORGANIZATION</x:v>
      </x:c>
      <x:c r="F430" s="48" t="str">
        <x:v>Formal QoE or financial due diligence typically used</x:v>
      </x:c>
      <x:c r="G430" s="48" t="str">
        <x:v>governance_architecture</x:v>
      </x:c>
      <x:c r="H430" s="48" t="str">
        <x:v>IC_FINAL_OR_DE_FACTO</x:v>
      </x:c>
      <x:c r="I430" s="48" t="str">
        <x:v>26</x:v>
      </x:c>
      <x:c r="J430" s="48" t="str">
        <x:v>24</x:v>
      </x:c>
      <x:c r="K430" s="48" t="str">
        <x:v>9</x:v>
      </x:c>
      <x:c r="L430" s="48" t="str">
        <x:v>0</x:v>
      </x:c>
      <x:c r="M430" s="48" t="str">
        <x:v>24</x:v>
      </x:c>
      <x:c r="N430" s="48" t="str">
        <x:v>2</x:v>
      </x:c>
      <x:c r="O430" s="48" t="str">
        <x:v>0</x:v>
      </x:c>
      <x:c r="P430" s="48" t="str">
        <x:v>0</x:v>
      </x:c>
      <x:c r="Q430" s="48" t="str">
        <x:v>1.000</x:v>
      </x:c>
      <x:c r="R430" s="48" t="str">
        <x:v>N TOO SMALL</x:v>
      </x:c>
      <x:c r="S430" s="48" t="str"/>
      <x:c r="T430" s="48" t="str">
        <x:v>IC_FINAL_OR_DE_FACTO:N=24,p=1.000</x:v>
      </x:c>
      <x:c r="U430" s="48" t="str">
        <x:v>Fewer than two driver groups have at least 5 observable manager families.</x:v>
      </x:c>
      <x:c r="V430" s="48" t="str">
        <x:v>At least 5 observable manager families in at least 2 driver groups</x:v>
      </x:c>
      <x:c r="W430" s="48" t="str">
        <x:v>&gt;=0.35 separates; &lt;=0.15 does not separate; intermediate is inconclusive/confounded; direct driver-definition tests are CIRCULAR</x:v>
      </x:c>
      <x:c r="X430" s="48" t="str">
        <x:v>MANAGER_SELF_DESCRIPTION; NOT BEHAVIOURAL FREQUENCY</x:v>
      </x:c>
    </x:row>
    <x:row r="431">
      <x:c r="A431" s="48" t="str">
        <x:v>B_GOVERNANCE_SEGMENTATION</x:v>
      </x:c>
      <x:c r="B431" s="48" t="str">
        <x:v>Tier B v1.1 - N=29 rerun</x:v>
      </x:c>
      <x:c r="C431" s="48" t="str">
        <x:v>2026-07-16</x:v>
      </x:c>
      <x:c r="D431" s="48" t="str">
        <x:v>D08</x:v>
      </x:c>
      <x:c r="E431" s="48" t="str">
        <x:v>DILIGENCE_ORGANIZATION</x:v>
      </x:c>
      <x:c r="F431" s="48" t="str">
        <x:v>Formal QoE or financial due diligence typically used</x:v>
      </x:c>
      <x:c r="G431" s="48" t="str">
        <x:v>governance_architecture</x:v>
      </x:c>
      <x:c r="H431" s="48" t="str">
        <x:v>IC_RECOMMENDS_SEPARATE_FINAL_AUTHORITY</x:v>
      </x:c>
      <x:c r="I431" s="48" t="str">
        <x:v>3</x:v>
      </x:c>
      <x:c r="J431" s="48" t="str">
        <x:v>3</x:v>
      </x:c>
      <x:c r="K431" s="48" t="str">
        <x:v>2</x:v>
      </x:c>
      <x:c r="L431" s="48" t="str">
        <x:v>0</x:v>
      </x:c>
      <x:c r="M431" s="48" t="str">
        <x:v>3</x:v>
      </x:c>
      <x:c r="N431" s="48" t="str">
        <x:v>0</x:v>
      </x:c>
      <x:c r="O431" s="48" t="str">
        <x:v>0</x:v>
      </x:c>
      <x:c r="P431" s="48" t="str">
        <x:v>0</x:v>
      </x:c>
      <x:c r="Q431" s="48" t="str">
        <x:v>1.000</x:v>
      </x:c>
      <x:c r="R431" s="48" t="str">
        <x:v>N TOO SMALL</x:v>
      </x:c>
      <x:c r="S431" s="48" t="str"/>
      <x:c r="T431" s="48" t="str">
        <x:v>IC_FINAL_OR_DE_FACTO:N=24,p=1.000</x:v>
      </x:c>
      <x:c r="U431" s="48" t="str">
        <x:v>Fewer than two driver groups have at least 5 observable manager families.</x:v>
      </x:c>
      <x:c r="V431" s="48" t="str">
        <x:v>At least 5 observable manager families in at least 2 driver groups</x:v>
      </x:c>
      <x:c r="W431" s="48" t="str">
        <x:v>&gt;=0.35 separates; &lt;=0.15 does not separate; intermediate is inconclusive/confounded; direct driver-definition tests are CIRCULAR</x:v>
      </x:c>
      <x:c r="X431" s="48" t="str">
        <x:v>MANAGER_SELF_DESCRIPTION; NOT BEHAVIOURAL FREQUENCY</x:v>
      </x:c>
    </x:row>
    <x:row r="432">
      <x:c r="A432" s="48" t="str">
        <x:v>B_GOVERNANCE_SEGMENTATION</x:v>
      </x:c>
      <x:c r="B432" s="48" t="str">
        <x:v>Tier B v1.1 - N=29 rerun</x:v>
      </x:c>
      <x:c r="C432" s="48" t="str">
        <x:v>2026-07-16</x:v>
      </x:c>
      <x:c r="D432" s="48" t="str">
        <x:v>D08</x:v>
      </x:c>
      <x:c r="E432" s="48" t="str">
        <x:v>DILIGENCE_ORGANIZATION</x:v>
      </x:c>
      <x:c r="F432" s="48" t="str">
        <x:v>Formal QoE or financial due diligence typically used</x:v>
      </x:c>
      <x:c r="G432" s="48" t="str">
        <x:v>dedicated_operating_team</x:v>
      </x:c>
      <x:c r="H432" s="48" t="str">
        <x:v>NO_OR_LIMITED</x:v>
      </x:c>
      <x:c r="I432" s="48" t="str">
        <x:v>6</x:v>
      </x:c>
      <x:c r="J432" s="48" t="str">
        <x:v>4</x:v>
      </x:c>
      <x:c r="K432" s="48" t="str">
        <x:v>1</x:v>
      </x:c>
      <x:c r="L432" s="48" t="str">
        <x:v>0</x:v>
      </x:c>
      <x:c r="M432" s="48" t="str">
        <x:v>4</x:v>
      </x:c>
      <x:c r="N432" s="48" t="str">
        <x:v>2</x:v>
      </x:c>
      <x:c r="O432" s="48" t="str">
        <x:v>0</x:v>
      </x:c>
      <x:c r="P432" s="48" t="str">
        <x:v>0</x:v>
      </x:c>
      <x:c r="Q432" s="48" t="str">
        <x:v>1.000</x:v>
      </x:c>
      <x:c r="R432" s="48" t="str">
        <x:v>N TOO SMALL</x:v>
      </x:c>
      <x:c r="S432" s="48" t="str"/>
      <x:c r="T432" s="48" t="str">
        <x:v>YES_DEDICATED:N=23,p=1.000</x:v>
      </x:c>
      <x:c r="U432" s="48" t="str">
        <x:v>Fewer than two driver groups have at least 5 observable manager families.</x:v>
      </x:c>
      <x:c r="V432" s="48" t="str">
        <x:v>At least 5 observable manager families in at least 2 driver groups</x:v>
      </x:c>
      <x:c r="W432" s="48" t="str">
        <x:v>&gt;=0.35 separates; &lt;=0.15 does not separate; intermediate is inconclusive/confounded; direct driver-definition tests are CIRCULAR</x:v>
      </x:c>
      <x:c r="X432" s="48" t="str">
        <x:v>MANAGER_SELF_DESCRIPTION; NOT BEHAVIOURAL FREQUENCY</x:v>
      </x:c>
    </x:row>
    <x:row r="433">
      <x:c r="A433" s="48" t="str">
        <x:v>B_GOVERNANCE_SEGMENTATION</x:v>
      </x:c>
      <x:c r="B433" s="48" t="str">
        <x:v>Tier B v1.1 - N=29 rerun</x:v>
      </x:c>
      <x:c r="C433" s="48" t="str">
        <x:v>2026-07-16</x:v>
      </x:c>
      <x:c r="D433" s="48" t="str">
        <x:v>D08</x:v>
      </x:c>
      <x:c r="E433" s="48" t="str">
        <x:v>DILIGENCE_ORGANIZATION</x:v>
      </x:c>
      <x:c r="F433" s="48" t="str">
        <x:v>Formal QoE or financial due diligence typically used</x:v>
      </x:c>
      <x:c r="G433" s="48" t="str">
        <x:v>dedicated_operating_team</x:v>
      </x:c>
      <x:c r="H433" s="48" t="str">
        <x:v>YES_DEDICATED</x:v>
      </x:c>
      <x:c r="I433" s="48" t="str">
        <x:v>23</x:v>
      </x:c>
      <x:c r="J433" s="48" t="str">
        <x:v>23</x:v>
      </x:c>
      <x:c r="K433" s="48" t="str">
        <x:v>10</x:v>
      </x:c>
      <x:c r="L433" s="48" t="str">
        <x:v>0</x:v>
      </x:c>
      <x:c r="M433" s="48" t="str">
        <x:v>23</x:v>
      </x:c>
      <x:c r="N433" s="48" t="str">
        <x:v>0</x:v>
      </x:c>
      <x:c r="O433" s="48" t="str">
        <x:v>0</x:v>
      </x:c>
      <x:c r="P433" s="48" t="str">
        <x:v>0</x:v>
      </x:c>
      <x:c r="Q433" s="48" t="str">
        <x:v>1.000</x:v>
      </x:c>
      <x:c r="R433" s="48" t="str">
        <x:v>N TOO SMALL</x:v>
      </x:c>
      <x:c r="S433" s="48" t="str"/>
      <x:c r="T433" s="48" t="str">
        <x:v>YES_DEDICATED:N=23,p=1.000</x:v>
      </x:c>
      <x:c r="U433" s="48" t="str">
        <x:v>Fewer than two driver groups have at least 5 observable manager families.</x:v>
      </x:c>
      <x:c r="V433" s="48" t="str">
        <x:v>At least 5 observable manager families in at least 2 driver groups</x:v>
      </x:c>
      <x:c r="W433" s="48" t="str">
        <x:v>&gt;=0.35 separates; &lt;=0.15 does not separate; intermediate is inconclusive/confounded; direct driver-definition tests are CIRCULAR</x:v>
      </x:c>
      <x:c r="X433" s="48" t="str">
        <x:v>MANAGER_SELF_DESCRIPTION; NOT BEHAVIOURAL FREQUENCY</x:v>
      </x:c>
    </x:row>
    <x:row r="434">
      <x:c r="A434" s="48" t="str">
        <x:v>B_GOVERNANCE_SEGMENTATION</x:v>
      </x:c>
      <x:c r="B434" s="48" t="str">
        <x:v>Tier B v1.1 - N=29 rerun</x:v>
      </x:c>
      <x:c r="C434" s="48" t="str">
        <x:v>2026-07-16</x:v>
      </x:c>
      <x:c r="D434" s="48" t="str">
        <x:v>D09</x:v>
      </x:c>
      <x:c r="E434" s="48" t="str">
        <x:v>DILIGENCE_ORGANIZATION</x:v>
      </x:c>
      <x:c r="F434" s="48" t="str">
        <x:v>Financing or capital-markets work integrated before approval</x:v>
      </x:c>
      <x:c r="G434" s="48" t="str">
        <x:v>fund_size_archetype</x:v>
      </x:c>
      <x:c r="H434" s="48" t="str">
        <x:v>LARGE_2_TO_LT_5B</x:v>
      </x:c>
      <x:c r="I434" s="48" t="str">
        <x:v>9</x:v>
      </x:c>
      <x:c r="J434" s="48" t="str">
        <x:v>9</x:v>
      </x:c>
      <x:c r="K434" s="48" t="str">
        <x:v>0</x:v>
      </x:c>
      <x:c r="L434" s="48" t="str">
        <x:v>0</x:v>
      </x:c>
      <x:c r="M434" s="48" t="str">
        <x:v>9</x:v>
      </x:c>
      <x:c r="N434" s="48" t="str">
        <x:v>0</x:v>
      </x:c>
      <x:c r="O434" s="48" t="str">
        <x:v>0</x:v>
      </x:c>
      <x:c r="P434" s="48" t="str">
        <x:v>0</x:v>
      </x:c>
      <x:c r="Q434" s="48" t="str">
        <x:v>1.000</x:v>
      </x:c>
      <x:c r="R434" s="48" t="str">
        <x:v>DRIVER DOES NOT SEPARATE</x:v>
      </x:c>
      <x:c r="S434" s="48" t="str">
        <x:v>0.000</x:v>
      </x:c>
      <x:c r="T434" s="48" t="str">
        <x:v>LARGE_2_TO_LT_5B:N=9,p=1.000; LOWER_MID_LT_2B:N=8,p=1.000; MEGA_GE_5B:N=11,p=1.000</x:v>
      </x:c>
      <x:c r="U434" s="48" t="str">
        <x:v>Maximum-minus-minimum prevalence among adequately observed groups is no more than 0.15.</x:v>
      </x:c>
      <x:c r="V434" s="48" t="str">
        <x:v>At least 5 observable manager families in at least 2 driver groups</x:v>
      </x:c>
      <x:c r="W434" s="48" t="str">
        <x:v>&gt;=0.35 separates; &lt;=0.15 does not separate; intermediate is inconclusive/confounded; direct driver-definition tests are CIRCULAR</x:v>
      </x:c>
      <x:c r="X434" s="48" t="str">
        <x:v>MANAGER_SELF_DESCRIPTION; NOT BEHAVIOURAL FREQUENCY</x:v>
      </x:c>
    </x:row>
    <x:row r="435">
      <x:c r="A435" s="48" t="str">
        <x:v>B_GOVERNANCE_SEGMENTATION</x:v>
      </x:c>
      <x:c r="B435" s="48" t="str">
        <x:v>Tier B v1.1 - N=29 rerun</x:v>
      </x:c>
      <x:c r="C435" s="48" t="str">
        <x:v>2026-07-16</x:v>
      </x:c>
      <x:c r="D435" s="48" t="str">
        <x:v>D09</x:v>
      </x:c>
      <x:c r="E435" s="48" t="str">
        <x:v>DILIGENCE_ORGANIZATION</x:v>
      </x:c>
      <x:c r="F435" s="48" t="str">
        <x:v>Financing or capital-markets work integrated before approval</x:v>
      </x:c>
      <x:c r="G435" s="48" t="str">
        <x:v>fund_size_archetype</x:v>
      </x:c>
      <x:c r="H435" s="48" t="str">
        <x:v>LOWER_MID_LT_2B</x:v>
      </x:c>
      <x:c r="I435" s="48" t="str">
        <x:v>8</x:v>
      </x:c>
      <x:c r="J435" s="48" t="str">
        <x:v>8</x:v>
      </x:c>
      <x:c r="K435" s="48" t="str">
        <x:v>0</x:v>
      </x:c>
      <x:c r="L435" s="48" t="str">
        <x:v>0</x:v>
      </x:c>
      <x:c r="M435" s="48" t="str">
        <x:v>8</x:v>
      </x:c>
      <x:c r="N435" s="48" t="str">
        <x:v>0</x:v>
      </x:c>
      <x:c r="O435" s="48" t="str">
        <x:v>0</x:v>
      </x:c>
      <x:c r="P435" s="48" t="str">
        <x:v>0</x:v>
      </x:c>
      <x:c r="Q435" s="48" t="str">
        <x:v>1.000</x:v>
      </x:c>
      <x:c r="R435" s="48" t="str">
        <x:v>DRIVER DOES NOT SEPARATE</x:v>
      </x:c>
      <x:c r="S435" s="48" t="str">
        <x:v>0.000</x:v>
      </x:c>
      <x:c r="T435" s="48" t="str">
        <x:v>LARGE_2_TO_LT_5B:N=9,p=1.000; LOWER_MID_LT_2B:N=8,p=1.000; MEGA_GE_5B:N=11,p=1.000</x:v>
      </x:c>
      <x:c r="U435" s="48" t="str">
        <x:v>Maximum-minus-minimum prevalence among adequately observed groups is no more than 0.15.</x:v>
      </x:c>
      <x:c r="V435" s="48" t="str">
        <x:v>At least 5 observable manager families in at least 2 driver groups</x:v>
      </x:c>
      <x:c r="W435" s="48" t="str">
        <x:v>&gt;=0.35 separates; &lt;=0.15 does not separate; intermediate is inconclusive/confounded; direct driver-definition tests are CIRCULAR</x:v>
      </x:c>
      <x:c r="X435" s="48" t="str">
        <x:v>MANAGER_SELF_DESCRIPTION; NOT BEHAVIOURAL FREQUENCY</x:v>
      </x:c>
    </x:row>
    <x:row r="436">
      <x:c r="A436" s="48" t="str">
        <x:v>B_GOVERNANCE_SEGMENTATION</x:v>
      </x:c>
      <x:c r="B436" s="48" t="str">
        <x:v>Tier B v1.1 - N=29 rerun</x:v>
      </x:c>
      <x:c r="C436" s="48" t="str">
        <x:v>2026-07-16</x:v>
      </x:c>
      <x:c r="D436" s="48" t="str">
        <x:v>D09</x:v>
      </x:c>
      <x:c r="E436" s="48" t="str">
        <x:v>DILIGENCE_ORGANIZATION</x:v>
      </x:c>
      <x:c r="F436" s="48" t="str">
        <x:v>Financing or capital-markets work integrated before approval</x:v>
      </x:c>
      <x:c r="G436" s="48" t="str">
        <x:v>fund_size_archetype</x:v>
      </x:c>
      <x:c r="H436" s="48" t="str">
        <x:v>MEGA_GE_5B</x:v>
      </x:c>
      <x:c r="I436" s="48" t="str">
        <x:v>11</x:v>
      </x:c>
      <x:c r="J436" s="48" t="str">
        <x:v>11</x:v>
      </x:c>
      <x:c r="K436" s="48" t="str">
        <x:v>0</x:v>
      </x:c>
      <x:c r="L436" s="48" t="str">
        <x:v>0</x:v>
      </x:c>
      <x:c r="M436" s="48" t="str">
        <x:v>11</x:v>
      </x:c>
      <x:c r="N436" s="48" t="str">
        <x:v>0</x:v>
      </x:c>
      <x:c r="O436" s="48" t="str">
        <x:v>0</x:v>
      </x:c>
      <x:c r="P436" s="48" t="str">
        <x:v>0</x:v>
      </x:c>
      <x:c r="Q436" s="48" t="str">
        <x:v>1.000</x:v>
      </x:c>
      <x:c r="R436" s="48" t="str">
        <x:v>DRIVER DOES NOT SEPARATE</x:v>
      </x:c>
      <x:c r="S436" s="48" t="str">
        <x:v>0.000</x:v>
      </x:c>
      <x:c r="T436" s="48" t="str">
        <x:v>LARGE_2_TO_LT_5B:N=9,p=1.000; LOWER_MID_LT_2B:N=8,p=1.000; MEGA_GE_5B:N=11,p=1.000</x:v>
      </x:c>
      <x:c r="U436" s="48" t="str">
        <x:v>Maximum-minus-minimum prevalence among adequately observed groups is no more than 0.15.</x:v>
      </x:c>
      <x:c r="V436" s="48" t="str">
        <x:v>At least 5 observable manager families in at least 2 driver groups</x:v>
      </x:c>
      <x:c r="W436" s="48" t="str">
        <x:v>&gt;=0.35 separates; &lt;=0.15 does not separate; intermediate is inconclusive/confounded; direct driver-definition tests are CIRCULAR</x:v>
      </x:c>
      <x:c r="X436" s="48" t="str">
        <x:v>MANAGER_SELF_DESCRIPTION; NOT BEHAVIOURAL FREQUENCY</x:v>
      </x:c>
    </x:row>
    <x:row r="437">
      <x:c r="A437" s="48" t="str">
        <x:v>B_GOVERNANCE_SEGMENTATION</x:v>
      </x:c>
      <x:c r="B437" s="48" t="str">
        <x:v>Tier B v1.1 - N=29 rerun</x:v>
      </x:c>
      <x:c r="C437" s="48" t="str">
        <x:v>2026-07-16</x:v>
      </x:c>
      <x:c r="D437" s="48" t="str">
        <x:v>D09</x:v>
      </x:c>
      <x:c r="E437" s="48" t="str">
        <x:v>DILIGENCE_ORGANIZATION</x:v>
      </x:c>
      <x:c r="F437" s="48" t="str">
        <x:v>Financing or capital-markets work integrated before approval</x:v>
      </x:c>
      <x:c r="G437" s="48" t="str">
        <x:v>fund_size_archetype</x:v>
      </x:c>
      <x:c r="H437" s="48" t="str">
        <x:v>NOT_APPLICABLE</x:v>
      </x:c>
      <x:c r="I437" s="48" t="str">
        <x:v>1</x:v>
      </x:c>
      <x:c r="J437" s="48" t="str">
        <x:v>1</x:v>
      </x:c>
      <x:c r="K437" s="48" t="str">
        <x:v>0</x:v>
      </x:c>
      <x:c r="L437" s="48" t="str">
        <x:v>0</x:v>
      </x:c>
      <x:c r="M437" s="48" t="str">
        <x:v>1</x:v>
      </x:c>
      <x:c r="N437" s="48" t="str">
        <x:v>0</x:v>
      </x:c>
      <x:c r="O437" s="48" t="str">
        <x:v>0</x:v>
      </x:c>
      <x:c r="P437" s="48" t="str">
        <x:v>0</x:v>
      </x:c>
      <x:c r="Q437" s="48" t="str">
        <x:v>1.000</x:v>
      </x:c>
      <x:c r="R437" s="48" t="str">
        <x:v>DRIVER DOES NOT SEPARATE</x:v>
      </x:c>
      <x:c r="S437" s="48" t="str">
        <x:v>0.000</x:v>
      </x:c>
      <x:c r="T437" s="48" t="str">
        <x:v>LARGE_2_TO_LT_5B:N=9,p=1.000; LOWER_MID_LT_2B:N=8,p=1.000; MEGA_GE_5B:N=11,p=1.000</x:v>
      </x:c>
      <x:c r="U437" s="48" t="str">
        <x:v>Maximum-minus-minimum prevalence among adequately observed groups is no more than 0.15.</x:v>
      </x:c>
      <x:c r="V437" s="48" t="str">
        <x:v>At least 5 observable manager families in at least 2 driver groups</x:v>
      </x:c>
      <x:c r="W437" s="48" t="str">
        <x:v>&gt;=0.35 separates; &lt;=0.15 does not separate; intermediate is inconclusive/confounded; direct driver-definition tests are CIRCULAR</x:v>
      </x:c>
      <x:c r="X437" s="48" t="str">
        <x:v>MANAGER_SELF_DESCRIPTION; NOT BEHAVIOURAL FREQUENCY</x:v>
      </x:c>
    </x:row>
    <x:row r="438">
      <x:c r="A438" s="48" t="str">
        <x:v>B_GOVERNANCE_SEGMENTATION</x:v>
      </x:c>
      <x:c r="B438" s="48" t="str">
        <x:v>Tier B v1.1 - N=29 rerun</x:v>
      </x:c>
      <x:c r="C438" s="48" t="str">
        <x:v>2026-07-16</x:v>
      </x:c>
      <x:c r="D438" s="48" t="str">
        <x:v>D09</x:v>
      </x:c>
      <x:c r="E438" s="48" t="str">
        <x:v>DILIGENCE_ORGANIZATION</x:v>
      </x:c>
      <x:c r="F438" s="48" t="str">
        <x:v>Financing or capital-markets work integrated before approval</x:v>
      </x:c>
      <x:c r="G438" s="48" t="str">
        <x:v>strategy</x:v>
      </x:c>
      <x:c r="H438" s="48" t="str">
        <x:v>CONTROL_BUYOUT</x:v>
      </x:c>
      <x:c r="I438" s="48" t="str">
        <x:v>22</x:v>
      </x:c>
      <x:c r="J438" s="48" t="str">
        <x:v>22</x:v>
      </x:c>
      <x:c r="K438" s="48" t="str">
        <x:v>0</x:v>
      </x:c>
      <x:c r="L438" s="48" t="str">
        <x:v>0</x:v>
      </x:c>
      <x:c r="M438" s="48" t="str">
        <x:v>22</x:v>
      </x:c>
      <x:c r="N438" s="48" t="str">
        <x:v>0</x:v>
      </x:c>
      <x:c r="O438" s="48" t="str">
        <x:v>0</x:v>
      </x:c>
      <x:c r="P438" s="48" t="str">
        <x:v>0</x:v>
      </x:c>
      <x:c r="Q438" s="48" t="str">
        <x:v>1.000</x:v>
      </x:c>
      <x:c r="R438" s="48" t="str">
        <x:v>DRIVER DOES NOT SEPARATE</x:v>
      </x:c>
      <x:c r="S438" s="48" t="str">
        <x:v>0.000</x:v>
      </x:c>
      <x:c r="T438" s="48" t="str">
        <x:v>CONTROL_BUYOUT:N=22,p=1.000; GROWTH_CONTROL_HYBRID:N=6,p=1.000</x:v>
      </x:c>
      <x:c r="U438" s="48" t="str">
        <x:v>Maximum-minus-minimum prevalence among adequately observed groups is no more than 0.15.</x:v>
      </x:c>
      <x:c r="V438" s="48" t="str">
        <x:v>At least 5 observable manager families in at least 2 driver groups</x:v>
      </x:c>
      <x:c r="W438" s="48" t="str">
        <x:v>&gt;=0.35 separates; &lt;=0.15 does not separate; intermediate is inconclusive/confounded; direct driver-definition tests are CIRCULAR</x:v>
      </x:c>
      <x:c r="X438" s="48" t="str">
        <x:v>MANAGER_SELF_DESCRIPTION; NOT BEHAVIOURAL FREQUENCY</x:v>
      </x:c>
    </x:row>
    <x:row r="439">
      <x:c r="A439" s="48" t="str">
        <x:v>B_GOVERNANCE_SEGMENTATION</x:v>
      </x:c>
      <x:c r="B439" s="48" t="str">
        <x:v>Tier B v1.1 - N=29 rerun</x:v>
      </x:c>
      <x:c r="C439" s="48" t="str">
        <x:v>2026-07-16</x:v>
      </x:c>
      <x:c r="D439" s="48" t="str">
        <x:v>D09</x:v>
      </x:c>
      <x:c r="E439" s="48" t="str">
        <x:v>DILIGENCE_ORGANIZATION</x:v>
      </x:c>
      <x:c r="F439" s="48" t="str">
        <x:v>Financing or capital-markets work integrated before approval</x:v>
      </x:c>
      <x:c r="G439" s="48" t="str">
        <x:v>strategy</x:v>
      </x:c>
      <x:c r="H439" s="48" t="str">
        <x:v>GROWTH_CONTROL_HYBRID</x:v>
      </x:c>
      <x:c r="I439" s="48" t="str">
        <x:v>6</x:v>
      </x:c>
      <x:c r="J439" s="48" t="str">
        <x:v>6</x:v>
      </x:c>
      <x:c r="K439" s="48" t="str">
        <x:v>0</x:v>
      </x:c>
      <x:c r="L439" s="48" t="str">
        <x:v>0</x:v>
      </x:c>
      <x:c r="M439" s="48" t="str">
        <x:v>6</x:v>
      </x:c>
      <x:c r="N439" s="48" t="str">
        <x:v>0</x:v>
      </x:c>
      <x:c r="O439" s="48" t="str">
        <x:v>0</x:v>
      </x:c>
      <x:c r="P439" s="48" t="str">
        <x:v>0</x:v>
      </x:c>
      <x:c r="Q439" s="48" t="str">
        <x:v>1.000</x:v>
      </x:c>
      <x:c r="R439" s="48" t="str">
        <x:v>DRIVER DOES NOT SEPARATE</x:v>
      </x:c>
      <x:c r="S439" s="48" t="str">
        <x:v>0.000</x:v>
      </x:c>
      <x:c r="T439" s="48" t="str">
        <x:v>CONTROL_BUYOUT:N=22,p=1.000; GROWTH_CONTROL_HYBRID:N=6,p=1.000</x:v>
      </x:c>
      <x:c r="U439" s="48" t="str">
        <x:v>Maximum-minus-minimum prevalence among adequately observed groups is no more than 0.15.</x:v>
      </x:c>
      <x:c r="V439" s="48" t="str">
        <x:v>At least 5 observable manager families in at least 2 driver groups</x:v>
      </x:c>
      <x:c r="W439" s="48" t="str">
        <x:v>&gt;=0.35 separates; &lt;=0.15 does not separate; intermediate is inconclusive/confounded; direct driver-definition tests are CIRCULAR</x:v>
      </x:c>
      <x:c r="X439" s="48" t="str">
        <x:v>MANAGER_SELF_DESCRIPTION; NOT BEHAVIOURAL FREQUENCY</x:v>
      </x:c>
    </x:row>
    <x:row r="440">
      <x:c r="A440" s="48" t="str">
        <x:v>B_GOVERNANCE_SEGMENTATION</x:v>
      </x:c>
      <x:c r="B440" s="48" t="str">
        <x:v>Tier B v1.1 - N=29 rerun</x:v>
      </x:c>
      <x:c r="C440" s="48" t="str">
        <x:v>2026-07-16</x:v>
      </x:c>
      <x:c r="D440" s="48" t="str">
        <x:v>D09</x:v>
      </x:c>
      <x:c r="E440" s="48" t="str">
        <x:v>DILIGENCE_ORGANIZATION</x:v>
      </x:c>
      <x:c r="F440" s="48" t="str">
        <x:v>Financing or capital-markets work integrated before approval</x:v>
      </x:c>
      <x:c r="G440" s="48" t="str">
        <x:v>strategy</x:v>
      </x:c>
      <x:c r="H440" s="48" t="str">
        <x:v>OPPORTUNISTIC_CONTROL</x:v>
      </x:c>
      <x:c r="I440" s="48" t="str">
        <x:v>1</x:v>
      </x:c>
      <x:c r="J440" s="48" t="str">
        <x:v>1</x:v>
      </x:c>
      <x:c r="K440" s="48" t="str">
        <x:v>0</x:v>
      </x:c>
      <x:c r="L440" s="48" t="str">
        <x:v>0</x:v>
      </x:c>
      <x:c r="M440" s="48" t="str">
        <x:v>1</x:v>
      </x:c>
      <x:c r="N440" s="48" t="str">
        <x:v>0</x:v>
      </x:c>
      <x:c r="O440" s="48" t="str">
        <x:v>0</x:v>
      </x:c>
      <x:c r="P440" s="48" t="str">
        <x:v>0</x:v>
      </x:c>
      <x:c r="Q440" s="48" t="str">
        <x:v>1.000</x:v>
      </x:c>
      <x:c r="R440" s="48" t="str">
        <x:v>DRIVER DOES NOT SEPARATE</x:v>
      </x:c>
      <x:c r="S440" s="48" t="str">
        <x:v>0.000</x:v>
      </x:c>
      <x:c r="T440" s="48" t="str">
        <x:v>CONTROL_BUYOUT:N=22,p=1.000; GROWTH_CONTROL_HYBRID:N=6,p=1.000</x:v>
      </x:c>
      <x:c r="U440" s="48" t="str">
        <x:v>Maximum-minus-minimum prevalence among adequately observed groups is no more than 0.15.</x:v>
      </x:c>
      <x:c r="V440" s="48" t="str">
        <x:v>At least 5 observable manager families in at least 2 driver groups</x:v>
      </x:c>
      <x:c r="W440" s="48" t="str">
        <x:v>&gt;=0.35 separates; &lt;=0.15 does not separate; intermediate is inconclusive/confounded; direct driver-definition tests are CIRCULAR</x:v>
      </x:c>
      <x:c r="X440" s="48" t="str">
        <x:v>MANAGER_SELF_DESCRIPTION; NOT BEHAVIOURAL FREQUENCY</x:v>
      </x:c>
    </x:row>
    <x:row r="441">
      <x:c r="A441" s="48" t="str">
        <x:v>B_GOVERNANCE_SEGMENTATION</x:v>
      </x:c>
      <x:c r="B441" s="48" t="str">
        <x:v>Tier B v1.1 - N=29 rerun</x:v>
      </x:c>
      <x:c r="C441" s="48" t="str">
        <x:v>2026-07-16</x:v>
      </x:c>
      <x:c r="D441" s="48" t="str">
        <x:v>D09</x:v>
      </x:c>
      <x:c r="E441" s="48" t="str">
        <x:v>DILIGENCE_ORGANIZATION</x:v>
      </x:c>
      <x:c r="F441" s="48" t="str">
        <x:v>Financing or capital-markets work integrated before approval</x:v>
      </x:c>
      <x:c r="G441" s="48" t="str">
        <x:v>geography</x:v>
      </x:c>
      <x:c r="H441" s="48" t="str">
        <x:v>ASIA_PACIFIC</x:v>
      </x:c>
      <x:c r="I441" s="48" t="str">
        <x:v>4</x:v>
      </x:c>
      <x:c r="J441" s="48" t="str">
        <x:v>4</x:v>
      </x:c>
      <x:c r="K441" s="48" t="str">
        <x:v>0</x:v>
      </x:c>
      <x:c r="L441" s="48" t="str">
        <x:v>0</x:v>
      </x:c>
      <x:c r="M441" s="48" t="str">
        <x:v>4</x:v>
      </x:c>
      <x:c r="N441" s="48" t="str">
        <x:v>0</x:v>
      </x:c>
      <x:c r="O441" s="48" t="str">
        <x:v>0</x:v>
      </x:c>
      <x:c r="P441" s="48" t="str">
        <x:v>0</x:v>
      </x:c>
      <x:c r="Q441" s="48" t="str">
        <x:v>1.000</x:v>
      </x:c>
      <x:c r="R441" s="48" t="str">
        <x:v>DRIVER DOES NOT SEPARATE</x:v>
      </x:c>
      <x:c r="S441" s="48" t="str">
        <x:v>0.000</x:v>
      </x:c>
      <x:c r="T441" s="48" t="str">
        <x:v>GLOBAL_TRANSATLANTIC:N=10,p=1.000; NORTH_AMERICA:N=13,p=1.000</x:v>
      </x:c>
      <x:c r="U441" s="48" t="str">
        <x:v>Maximum-minus-minimum prevalence among adequately observed groups is no more than 0.15.</x:v>
      </x:c>
      <x:c r="V441" s="48" t="str">
        <x:v>At least 5 observable manager families in at least 2 driver groups</x:v>
      </x:c>
      <x:c r="W441" s="48" t="str">
        <x:v>&gt;=0.35 separates; &lt;=0.15 does not separate; intermediate is inconclusive/confounded; direct driver-definition tests are CIRCULAR</x:v>
      </x:c>
      <x:c r="X441" s="48" t="str">
        <x:v>MANAGER_SELF_DESCRIPTION; NOT BEHAVIOURAL FREQUENCY</x:v>
      </x:c>
    </x:row>
    <x:row r="442">
      <x:c r="A442" s="48" t="str">
        <x:v>B_GOVERNANCE_SEGMENTATION</x:v>
      </x:c>
      <x:c r="B442" s="48" t="str">
        <x:v>Tier B v1.1 - N=29 rerun</x:v>
      </x:c>
      <x:c r="C442" s="48" t="str">
        <x:v>2026-07-16</x:v>
      </x:c>
      <x:c r="D442" s="48" t="str">
        <x:v>D09</x:v>
      </x:c>
      <x:c r="E442" s="48" t="str">
        <x:v>DILIGENCE_ORGANIZATION</x:v>
      </x:c>
      <x:c r="F442" s="48" t="str">
        <x:v>Financing or capital-markets work integrated before approval</x:v>
      </x:c>
      <x:c r="G442" s="48" t="str">
        <x:v>geography</x:v>
      </x:c>
      <x:c r="H442" s="48" t="str">
        <x:v>EUROPE</x:v>
      </x:c>
      <x:c r="I442" s="48" t="str">
        <x:v>2</x:v>
      </x:c>
      <x:c r="J442" s="48" t="str">
        <x:v>2</x:v>
      </x:c>
      <x:c r="K442" s="48" t="str">
        <x:v>0</x:v>
      </x:c>
      <x:c r="L442" s="48" t="str">
        <x:v>0</x:v>
      </x:c>
      <x:c r="M442" s="48" t="str">
        <x:v>2</x:v>
      </x:c>
      <x:c r="N442" s="48" t="str">
        <x:v>0</x:v>
      </x:c>
      <x:c r="O442" s="48" t="str">
        <x:v>0</x:v>
      </x:c>
      <x:c r="P442" s="48" t="str">
        <x:v>0</x:v>
      </x:c>
      <x:c r="Q442" s="48" t="str">
        <x:v>1.000</x:v>
      </x:c>
      <x:c r="R442" s="48" t="str">
        <x:v>DRIVER DOES NOT SEPARATE</x:v>
      </x:c>
      <x:c r="S442" s="48" t="str">
        <x:v>0.000</x:v>
      </x:c>
      <x:c r="T442" s="48" t="str">
        <x:v>GLOBAL_TRANSATLANTIC:N=10,p=1.000; NORTH_AMERICA:N=13,p=1.000</x:v>
      </x:c>
      <x:c r="U442" s="48" t="str">
        <x:v>Maximum-minus-minimum prevalence among adequately observed groups is no more than 0.15.</x:v>
      </x:c>
      <x:c r="V442" s="48" t="str">
        <x:v>At least 5 observable manager families in at least 2 driver groups</x:v>
      </x:c>
      <x:c r="W442" s="48" t="str">
        <x:v>&gt;=0.35 separates; &lt;=0.15 does not separate; intermediate is inconclusive/confounded; direct driver-definition tests are CIRCULAR</x:v>
      </x:c>
      <x:c r="X442" s="48" t="str">
        <x:v>MANAGER_SELF_DESCRIPTION; NOT BEHAVIOURAL FREQUENCY</x:v>
      </x:c>
    </x:row>
    <x:row r="443">
      <x:c r="A443" s="48" t="str">
        <x:v>B_GOVERNANCE_SEGMENTATION</x:v>
      </x:c>
      <x:c r="B443" s="48" t="str">
        <x:v>Tier B v1.1 - N=29 rerun</x:v>
      </x:c>
      <x:c r="C443" s="48" t="str">
        <x:v>2026-07-16</x:v>
      </x:c>
      <x:c r="D443" s="48" t="str">
        <x:v>D09</x:v>
      </x:c>
      <x:c r="E443" s="48" t="str">
        <x:v>DILIGENCE_ORGANIZATION</x:v>
      </x:c>
      <x:c r="F443" s="48" t="str">
        <x:v>Financing or capital-markets work integrated before approval</x:v>
      </x:c>
      <x:c r="G443" s="48" t="str">
        <x:v>geography</x:v>
      </x:c>
      <x:c r="H443" s="48" t="str">
        <x:v>GLOBAL_TRANSATLANTIC</x:v>
      </x:c>
      <x:c r="I443" s="48" t="str">
        <x:v>10</x:v>
      </x:c>
      <x:c r="J443" s="48" t="str">
        <x:v>10</x:v>
      </x:c>
      <x:c r="K443" s="48" t="str">
        <x:v>0</x:v>
      </x:c>
      <x:c r="L443" s="48" t="str">
        <x:v>0</x:v>
      </x:c>
      <x:c r="M443" s="48" t="str">
        <x:v>10</x:v>
      </x:c>
      <x:c r="N443" s="48" t="str">
        <x:v>0</x:v>
      </x:c>
      <x:c r="O443" s="48" t="str">
        <x:v>0</x:v>
      </x:c>
      <x:c r="P443" s="48" t="str">
        <x:v>0</x:v>
      </x:c>
      <x:c r="Q443" s="48" t="str">
        <x:v>1.000</x:v>
      </x:c>
      <x:c r="R443" s="48" t="str">
        <x:v>DRIVER DOES NOT SEPARATE</x:v>
      </x:c>
      <x:c r="S443" s="48" t="str">
        <x:v>0.000</x:v>
      </x:c>
      <x:c r="T443" s="48" t="str">
        <x:v>GLOBAL_TRANSATLANTIC:N=10,p=1.000; NORTH_AMERICA:N=13,p=1.000</x:v>
      </x:c>
      <x:c r="U443" s="48" t="str">
        <x:v>Maximum-minus-minimum prevalence among adequately observed groups is no more than 0.15.</x:v>
      </x:c>
      <x:c r="V443" s="48" t="str">
        <x:v>At least 5 observable manager families in at least 2 driver groups</x:v>
      </x:c>
      <x:c r="W443" s="48" t="str">
        <x:v>&gt;=0.35 separates; &lt;=0.15 does not separate; intermediate is inconclusive/confounded; direct driver-definition tests are CIRCULAR</x:v>
      </x:c>
      <x:c r="X443" s="48" t="str">
        <x:v>MANAGER_SELF_DESCRIPTION; NOT BEHAVIOURAL FREQUENCY</x:v>
      </x:c>
    </x:row>
    <x:row r="444">
      <x:c r="A444" s="48" t="str">
        <x:v>B_GOVERNANCE_SEGMENTATION</x:v>
      </x:c>
      <x:c r="B444" s="48" t="str">
        <x:v>Tier B v1.1 - N=29 rerun</x:v>
      </x:c>
      <x:c r="C444" s="48" t="str">
        <x:v>2026-07-16</x:v>
      </x:c>
      <x:c r="D444" s="48" t="str">
        <x:v>D09</x:v>
      </x:c>
      <x:c r="E444" s="48" t="str">
        <x:v>DILIGENCE_ORGANIZATION</x:v>
      </x:c>
      <x:c r="F444" s="48" t="str">
        <x:v>Financing or capital-markets work integrated before approval</x:v>
      </x:c>
      <x:c r="G444" s="48" t="str">
        <x:v>geography</x:v>
      </x:c>
      <x:c r="H444" s="48" t="str">
        <x:v>NORTH_AMERICA</x:v>
      </x:c>
      <x:c r="I444" s="48" t="str">
        <x:v>13</x:v>
      </x:c>
      <x:c r="J444" s="48" t="str">
        <x:v>13</x:v>
      </x:c>
      <x:c r="K444" s="48" t="str">
        <x:v>0</x:v>
      </x:c>
      <x:c r="L444" s="48" t="str">
        <x:v>0</x:v>
      </x:c>
      <x:c r="M444" s="48" t="str">
        <x:v>13</x:v>
      </x:c>
      <x:c r="N444" s="48" t="str">
        <x:v>0</x:v>
      </x:c>
      <x:c r="O444" s="48" t="str">
        <x:v>0</x:v>
      </x:c>
      <x:c r="P444" s="48" t="str">
        <x:v>0</x:v>
      </x:c>
      <x:c r="Q444" s="48" t="str">
        <x:v>1.000</x:v>
      </x:c>
      <x:c r="R444" s="48" t="str">
        <x:v>DRIVER DOES NOT SEPARATE</x:v>
      </x:c>
      <x:c r="S444" s="48" t="str">
        <x:v>0.000</x:v>
      </x:c>
      <x:c r="T444" s="48" t="str">
        <x:v>GLOBAL_TRANSATLANTIC:N=10,p=1.000; NORTH_AMERICA:N=13,p=1.000</x:v>
      </x:c>
      <x:c r="U444" s="48" t="str">
        <x:v>Maximum-minus-minimum prevalence among adequately observed groups is no more than 0.15.</x:v>
      </x:c>
      <x:c r="V444" s="48" t="str">
        <x:v>At least 5 observable manager families in at least 2 driver groups</x:v>
      </x:c>
      <x:c r="W444" s="48" t="str">
        <x:v>&gt;=0.35 separates; &lt;=0.15 does not separate; intermediate is inconclusive/confounded; direct driver-definition tests are CIRCULAR</x:v>
      </x:c>
      <x:c r="X444" s="48" t="str">
        <x:v>MANAGER_SELF_DESCRIPTION; NOT BEHAVIOURAL FREQUENCY</x:v>
      </x:c>
    </x:row>
    <x:row r="445">
      <x:c r="A445" s="48" t="str">
        <x:v>B_GOVERNANCE_SEGMENTATION</x:v>
      </x:c>
      <x:c r="B445" s="48" t="str">
        <x:v>Tier B v1.1 - N=29 rerun</x:v>
      </x:c>
      <x:c r="C445" s="48" t="str">
        <x:v>2026-07-16</x:v>
      </x:c>
      <x:c r="D445" s="48" t="str">
        <x:v>D09</x:v>
      </x:c>
      <x:c r="E445" s="48" t="str">
        <x:v>DILIGENCE_ORGANIZATION</x:v>
      </x:c>
      <x:c r="F445" s="48" t="str">
        <x:v>Financing or capital-markets work integrated before approval</x:v>
      </x:c>
      <x:c r="G445" s="48" t="str">
        <x:v>source_vintage_bin</x:v>
      </x:c>
      <x:c r="H445" s="48" t="str">
        <x:v>2018_2020</x:v>
      </x:c>
      <x:c r="I445" s="48" t="str">
        <x:v>6</x:v>
      </x:c>
      <x:c r="J445" s="48" t="str">
        <x:v>6</x:v>
      </x:c>
      <x:c r="K445" s="48" t="str">
        <x:v>0</x:v>
      </x:c>
      <x:c r="L445" s="48" t="str">
        <x:v>0</x:v>
      </x:c>
      <x:c r="M445" s="48" t="str">
        <x:v>6</x:v>
      </x:c>
      <x:c r="N445" s="48" t="str">
        <x:v>0</x:v>
      </x:c>
      <x:c r="O445" s="48" t="str">
        <x:v>0</x:v>
      </x:c>
      <x:c r="P445" s="48" t="str">
        <x:v>0</x:v>
      </x:c>
      <x:c r="Q445" s="48" t="str">
        <x:v>1.000</x:v>
      </x:c>
      <x:c r="R445" s="48" t="str">
        <x:v>DRIVER DOES NOT SEPARATE</x:v>
      </x:c>
      <x:c r="S445" s="48" t="str">
        <x:v>0.000</x:v>
      </x:c>
      <x:c r="T445" s="48" t="str">
        <x:v>2018_2020:N=6,p=1.000; 2021_2023:N=11,p=1.000; 2024_2026:N=12,p=1.000</x:v>
      </x:c>
      <x:c r="U445" s="48" t="str">
        <x:v>Maximum-minus-minimum prevalence among adequately observed groups is no more than 0.15.</x:v>
      </x:c>
      <x:c r="V445" s="48" t="str">
        <x:v>At least 5 observable manager families in at least 2 driver groups</x:v>
      </x:c>
      <x:c r="W445" s="48" t="str">
        <x:v>&gt;=0.35 separates; &lt;=0.15 does not separate; intermediate is inconclusive/confounded; direct driver-definition tests are CIRCULAR</x:v>
      </x:c>
      <x:c r="X445" s="48" t="str">
        <x:v>MANAGER_SELF_DESCRIPTION; NOT BEHAVIOURAL FREQUENCY</x:v>
      </x:c>
    </x:row>
    <x:row r="446">
      <x:c r="A446" s="48" t="str">
        <x:v>B_GOVERNANCE_SEGMENTATION</x:v>
      </x:c>
      <x:c r="B446" s="48" t="str">
        <x:v>Tier B v1.1 - N=29 rerun</x:v>
      </x:c>
      <x:c r="C446" s="48" t="str">
        <x:v>2026-07-16</x:v>
      </x:c>
      <x:c r="D446" s="48" t="str">
        <x:v>D09</x:v>
      </x:c>
      <x:c r="E446" s="48" t="str">
        <x:v>DILIGENCE_ORGANIZATION</x:v>
      </x:c>
      <x:c r="F446" s="48" t="str">
        <x:v>Financing or capital-markets work integrated before approval</x:v>
      </x:c>
      <x:c r="G446" s="48" t="str">
        <x:v>source_vintage_bin</x:v>
      </x:c>
      <x:c r="H446" s="48" t="str">
        <x:v>2021_2023</x:v>
      </x:c>
      <x:c r="I446" s="48" t="str">
        <x:v>11</x:v>
      </x:c>
      <x:c r="J446" s="48" t="str">
        <x:v>11</x:v>
      </x:c>
      <x:c r="K446" s="48" t="str">
        <x:v>0</x:v>
      </x:c>
      <x:c r="L446" s="48" t="str">
        <x:v>0</x:v>
      </x:c>
      <x:c r="M446" s="48" t="str">
        <x:v>11</x:v>
      </x:c>
      <x:c r="N446" s="48" t="str">
        <x:v>0</x:v>
      </x:c>
      <x:c r="O446" s="48" t="str">
        <x:v>0</x:v>
      </x:c>
      <x:c r="P446" s="48" t="str">
        <x:v>0</x:v>
      </x:c>
      <x:c r="Q446" s="48" t="str">
        <x:v>1.000</x:v>
      </x:c>
      <x:c r="R446" s="48" t="str">
        <x:v>DRIVER DOES NOT SEPARATE</x:v>
      </x:c>
      <x:c r="S446" s="48" t="str">
        <x:v>0.000</x:v>
      </x:c>
      <x:c r="T446" s="48" t="str">
        <x:v>2018_2020:N=6,p=1.000; 2021_2023:N=11,p=1.000; 2024_2026:N=12,p=1.000</x:v>
      </x:c>
      <x:c r="U446" s="48" t="str">
        <x:v>Maximum-minus-minimum prevalence among adequately observed groups is no more than 0.15.</x:v>
      </x:c>
      <x:c r="V446" s="48" t="str">
        <x:v>At least 5 observable manager families in at least 2 driver groups</x:v>
      </x:c>
      <x:c r="W446" s="48" t="str">
        <x:v>&gt;=0.35 separates; &lt;=0.15 does not separate; intermediate is inconclusive/confounded; direct driver-definition tests are CIRCULAR</x:v>
      </x:c>
      <x:c r="X446" s="48" t="str">
        <x:v>MANAGER_SELF_DESCRIPTION; NOT BEHAVIOURAL FREQUENCY</x:v>
      </x:c>
    </x:row>
    <x:row r="447">
      <x:c r="A447" s="48" t="str">
        <x:v>B_GOVERNANCE_SEGMENTATION</x:v>
      </x:c>
      <x:c r="B447" s="48" t="str">
        <x:v>Tier B v1.1 - N=29 rerun</x:v>
      </x:c>
      <x:c r="C447" s="48" t="str">
        <x:v>2026-07-16</x:v>
      </x:c>
      <x:c r="D447" s="48" t="str">
        <x:v>D09</x:v>
      </x:c>
      <x:c r="E447" s="48" t="str">
        <x:v>DILIGENCE_ORGANIZATION</x:v>
      </x:c>
      <x:c r="F447" s="48" t="str">
        <x:v>Financing or capital-markets work integrated before approval</x:v>
      </x:c>
      <x:c r="G447" s="48" t="str">
        <x:v>source_vintage_bin</x:v>
      </x:c>
      <x:c r="H447" s="48" t="str">
        <x:v>2024_2026</x:v>
      </x:c>
      <x:c r="I447" s="48" t="str">
        <x:v>12</x:v>
      </x:c>
      <x:c r="J447" s="48" t="str">
        <x:v>12</x:v>
      </x:c>
      <x:c r="K447" s="48" t="str">
        <x:v>0</x:v>
      </x:c>
      <x:c r="L447" s="48" t="str">
        <x:v>0</x:v>
      </x:c>
      <x:c r="M447" s="48" t="str">
        <x:v>12</x:v>
      </x:c>
      <x:c r="N447" s="48" t="str">
        <x:v>0</x:v>
      </x:c>
      <x:c r="O447" s="48" t="str">
        <x:v>0</x:v>
      </x:c>
      <x:c r="P447" s="48" t="str">
        <x:v>0</x:v>
      </x:c>
      <x:c r="Q447" s="48" t="str">
        <x:v>1.000</x:v>
      </x:c>
      <x:c r="R447" s="48" t="str">
        <x:v>DRIVER DOES NOT SEPARATE</x:v>
      </x:c>
      <x:c r="S447" s="48" t="str">
        <x:v>0.000</x:v>
      </x:c>
      <x:c r="T447" s="48" t="str">
        <x:v>2018_2020:N=6,p=1.000; 2021_2023:N=11,p=1.000; 2024_2026:N=12,p=1.000</x:v>
      </x:c>
      <x:c r="U447" s="48" t="str">
        <x:v>Maximum-minus-minimum prevalence among adequately observed groups is no more than 0.15.</x:v>
      </x:c>
      <x:c r="V447" s="48" t="str">
        <x:v>At least 5 observable manager families in at least 2 driver groups</x:v>
      </x:c>
      <x:c r="W447" s="48" t="str">
        <x:v>&gt;=0.35 separates; &lt;=0.15 does not separate; intermediate is inconclusive/confounded; direct driver-definition tests are CIRCULAR</x:v>
      </x:c>
      <x:c r="X447" s="48" t="str">
        <x:v>MANAGER_SELF_DESCRIPTION; NOT BEHAVIOURAL FREQUENCY</x:v>
      </x:c>
    </x:row>
    <x:row r="448">
      <x:c r="A448" s="48" t="str">
        <x:v>B_GOVERNANCE_SEGMENTATION</x:v>
      </x:c>
      <x:c r="B448" s="48" t="str">
        <x:v>Tier B v1.1 - N=29 rerun</x:v>
      </x:c>
      <x:c r="C448" s="48" t="str">
        <x:v>2026-07-16</x:v>
      </x:c>
      <x:c r="D448" s="48" t="str">
        <x:v>D09</x:v>
      </x:c>
      <x:c r="E448" s="48" t="str">
        <x:v>DILIGENCE_ORGANIZATION</x:v>
      </x:c>
      <x:c r="F448" s="48" t="str">
        <x:v>Financing or capital-markets work integrated before approval</x:v>
      </x:c>
      <x:c r="G448" s="48" t="str">
        <x:v>governance_architecture</x:v>
      </x:c>
      <x:c r="H448" s="48" t="str">
        <x:v>IC_FINAL_OR_DE_FACTO</x:v>
      </x:c>
      <x:c r="I448" s="48" t="str">
        <x:v>26</x:v>
      </x:c>
      <x:c r="J448" s="48" t="str">
        <x:v>26</x:v>
      </x:c>
      <x:c r="K448" s="48" t="str">
        <x:v>0</x:v>
      </x:c>
      <x:c r="L448" s="48" t="str">
        <x:v>0</x:v>
      </x:c>
      <x:c r="M448" s="48" t="str">
        <x:v>26</x:v>
      </x:c>
      <x:c r="N448" s="48" t="str">
        <x:v>0</x:v>
      </x:c>
      <x:c r="O448" s="48" t="str">
        <x:v>0</x:v>
      </x:c>
      <x:c r="P448" s="48" t="str">
        <x:v>0</x:v>
      </x:c>
      <x:c r="Q448" s="48" t="str">
        <x:v>1.000</x:v>
      </x:c>
      <x:c r="R448" s="48" t="str">
        <x:v>N TOO SMALL</x:v>
      </x:c>
      <x:c r="S448" s="48" t="str"/>
      <x:c r="T448" s="48" t="str">
        <x:v>IC_FINAL_OR_DE_FACTO:N=26,p=1.000</x:v>
      </x:c>
      <x:c r="U448" s="48" t="str">
        <x:v>Fewer than two driver groups have at least 5 observable manager families.</x:v>
      </x:c>
      <x:c r="V448" s="48" t="str">
        <x:v>At least 5 observable manager families in at least 2 driver groups</x:v>
      </x:c>
      <x:c r="W448" s="48" t="str">
        <x:v>&gt;=0.35 separates; &lt;=0.15 does not separate; intermediate is inconclusive/confounded; direct driver-definition tests are CIRCULAR</x:v>
      </x:c>
      <x:c r="X448" s="48" t="str">
        <x:v>MANAGER_SELF_DESCRIPTION; NOT BEHAVIOURAL FREQUENCY</x:v>
      </x:c>
    </x:row>
    <x:row r="449">
      <x:c r="A449" s="48" t="str">
        <x:v>B_GOVERNANCE_SEGMENTATION</x:v>
      </x:c>
      <x:c r="B449" s="48" t="str">
        <x:v>Tier B v1.1 - N=29 rerun</x:v>
      </x:c>
      <x:c r="C449" s="48" t="str">
        <x:v>2026-07-16</x:v>
      </x:c>
      <x:c r="D449" s="48" t="str">
        <x:v>D09</x:v>
      </x:c>
      <x:c r="E449" s="48" t="str">
        <x:v>DILIGENCE_ORGANIZATION</x:v>
      </x:c>
      <x:c r="F449" s="48" t="str">
        <x:v>Financing or capital-markets work integrated before approval</x:v>
      </x:c>
      <x:c r="G449" s="48" t="str">
        <x:v>governance_architecture</x:v>
      </x:c>
      <x:c r="H449" s="48" t="str">
        <x:v>IC_RECOMMENDS_SEPARATE_FINAL_AUTHORITY</x:v>
      </x:c>
      <x:c r="I449" s="48" t="str">
        <x:v>3</x:v>
      </x:c>
      <x:c r="J449" s="48" t="str">
        <x:v>3</x:v>
      </x:c>
      <x:c r="K449" s="48" t="str">
        <x:v>0</x:v>
      </x:c>
      <x:c r="L449" s="48" t="str">
        <x:v>0</x:v>
      </x:c>
      <x:c r="M449" s="48" t="str">
        <x:v>3</x:v>
      </x:c>
      <x:c r="N449" s="48" t="str">
        <x:v>0</x:v>
      </x:c>
      <x:c r="O449" s="48" t="str">
        <x:v>0</x:v>
      </x:c>
      <x:c r="P449" s="48" t="str">
        <x:v>0</x:v>
      </x:c>
      <x:c r="Q449" s="48" t="str">
        <x:v>1.000</x:v>
      </x:c>
      <x:c r="R449" s="48" t="str">
        <x:v>N TOO SMALL</x:v>
      </x:c>
      <x:c r="S449" s="48" t="str"/>
      <x:c r="T449" s="48" t="str">
        <x:v>IC_FINAL_OR_DE_FACTO:N=26,p=1.000</x:v>
      </x:c>
      <x:c r="U449" s="48" t="str">
        <x:v>Fewer than two driver groups have at least 5 observable manager families.</x:v>
      </x:c>
      <x:c r="V449" s="48" t="str">
        <x:v>At least 5 observable manager families in at least 2 driver groups</x:v>
      </x:c>
      <x:c r="W449" s="48" t="str">
        <x:v>&gt;=0.35 separates; &lt;=0.15 does not separate; intermediate is inconclusive/confounded; direct driver-definition tests are CIRCULAR</x:v>
      </x:c>
      <x:c r="X449" s="48" t="str">
        <x:v>MANAGER_SELF_DESCRIPTION; NOT BEHAVIOURAL FREQUENCY</x:v>
      </x:c>
    </x:row>
    <x:row r="450">
      <x:c r="A450" s="48" t="str">
        <x:v>B_GOVERNANCE_SEGMENTATION</x:v>
      </x:c>
      <x:c r="B450" s="48" t="str">
        <x:v>Tier B v1.1 - N=29 rerun</x:v>
      </x:c>
      <x:c r="C450" s="48" t="str">
        <x:v>2026-07-16</x:v>
      </x:c>
      <x:c r="D450" s="48" t="str">
        <x:v>D09</x:v>
      </x:c>
      <x:c r="E450" s="48" t="str">
        <x:v>DILIGENCE_ORGANIZATION</x:v>
      </x:c>
      <x:c r="F450" s="48" t="str">
        <x:v>Financing or capital-markets work integrated before approval</x:v>
      </x:c>
      <x:c r="G450" s="48" t="str">
        <x:v>dedicated_operating_team</x:v>
      </x:c>
      <x:c r="H450" s="48" t="str">
        <x:v>NO_OR_LIMITED</x:v>
      </x:c>
      <x:c r="I450" s="48" t="str">
        <x:v>6</x:v>
      </x:c>
      <x:c r="J450" s="48" t="str">
        <x:v>6</x:v>
      </x:c>
      <x:c r="K450" s="48" t="str">
        <x:v>0</x:v>
      </x:c>
      <x:c r="L450" s="48" t="str">
        <x:v>0</x:v>
      </x:c>
      <x:c r="M450" s="48" t="str">
        <x:v>6</x:v>
      </x:c>
      <x:c r="N450" s="48" t="str">
        <x:v>0</x:v>
      </x:c>
      <x:c r="O450" s="48" t="str">
        <x:v>0</x:v>
      </x:c>
      <x:c r="P450" s="48" t="str">
        <x:v>0</x:v>
      </x:c>
      <x:c r="Q450" s="48" t="str">
        <x:v>1.000</x:v>
      </x:c>
      <x:c r="R450" s="48" t="str">
        <x:v>DRIVER DOES NOT SEPARATE</x:v>
      </x:c>
      <x:c r="S450" s="48" t="str">
        <x:v>0.000</x:v>
      </x:c>
      <x:c r="T450" s="48" t="str">
        <x:v>NO_OR_LIMITED:N=6,p=1.000; YES_DEDICATED:N=23,p=1.000</x:v>
      </x:c>
      <x:c r="U450" s="48" t="str">
        <x:v>Maximum-minus-minimum prevalence among adequately observed groups is no more than 0.15.</x:v>
      </x:c>
      <x:c r="V450" s="48" t="str">
        <x:v>At least 5 observable manager families in at least 2 driver groups</x:v>
      </x:c>
      <x:c r="W450" s="48" t="str">
        <x:v>&gt;=0.35 separates; &lt;=0.15 does not separate; intermediate is inconclusive/confounded; direct driver-definition tests are CIRCULAR</x:v>
      </x:c>
      <x:c r="X450" s="48" t="str">
        <x:v>MANAGER_SELF_DESCRIPTION; NOT BEHAVIOURAL FREQUENCY</x:v>
      </x:c>
    </x:row>
    <x:row r="451">
      <x:c r="A451" s="48" t="str">
        <x:v>B_GOVERNANCE_SEGMENTATION</x:v>
      </x:c>
      <x:c r="B451" s="48" t="str">
        <x:v>Tier B v1.1 - N=29 rerun</x:v>
      </x:c>
      <x:c r="C451" s="48" t="str">
        <x:v>2026-07-16</x:v>
      </x:c>
      <x:c r="D451" s="48" t="str">
        <x:v>D09</x:v>
      </x:c>
      <x:c r="E451" s="48" t="str">
        <x:v>DILIGENCE_ORGANIZATION</x:v>
      </x:c>
      <x:c r="F451" s="48" t="str">
        <x:v>Financing or capital-markets work integrated before approval</x:v>
      </x:c>
      <x:c r="G451" s="48" t="str">
        <x:v>dedicated_operating_team</x:v>
      </x:c>
      <x:c r="H451" s="48" t="str">
        <x:v>YES_DEDICATED</x:v>
      </x:c>
      <x:c r="I451" s="48" t="str">
        <x:v>23</x:v>
      </x:c>
      <x:c r="J451" s="48" t="str">
        <x:v>23</x:v>
      </x:c>
      <x:c r="K451" s="48" t="str">
        <x:v>0</x:v>
      </x:c>
      <x:c r="L451" s="48" t="str">
        <x:v>0</x:v>
      </x:c>
      <x:c r="M451" s="48" t="str">
        <x:v>23</x:v>
      </x:c>
      <x:c r="N451" s="48" t="str">
        <x:v>0</x:v>
      </x:c>
      <x:c r="O451" s="48" t="str">
        <x:v>0</x:v>
      </x:c>
      <x:c r="P451" s="48" t="str">
        <x:v>0</x:v>
      </x:c>
      <x:c r="Q451" s="48" t="str">
        <x:v>1.000</x:v>
      </x:c>
      <x:c r="R451" s="48" t="str">
        <x:v>DRIVER DOES NOT SEPARATE</x:v>
      </x:c>
      <x:c r="S451" s="48" t="str">
        <x:v>0.000</x:v>
      </x:c>
      <x:c r="T451" s="48" t="str">
        <x:v>NO_OR_LIMITED:N=6,p=1.000; YES_DEDICATED:N=23,p=1.000</x:v>
      </x:c>
      <x:c r="U451" s="48" t="str">
        <x:v>Maximum-minus-minimum prevalence among adequately observed groups is no more than 0.15.</x:v>
      </x:c>
      <x:c r="V451" s="48" t="str">
        <x:v>At least 5 observable manager families in at least 2 driver groups</x:v>
      </x:c>
      <x:c r="W451" s="48" t="str">
        <x:v>&gt;=0.35 separates; &lt;=0.15 does not separate; intermediate is inconclusive/confounded; direct driver-definition tests are CIRCULAR</x:v>
      </x:c>
      <x:c r="X451" s="48" t="str">
        <x:v>MANAGER_SELF_DESCRIPTION; NOT BEHAVIOURAL FREQUENCY</x:v>
      </x:c>
    </x:row>
    <x:row r="452">
      <x:c r="A452" s="48" t="str">
        <x:v>B_GOVERNANCE_SEGMENTATION</x:v>
      </x:c>
      <x:c r="B452" s="48" t="str">
        <x:v>Tier B v1.1 - N=29 rerun</x:v>
      </x:c>
      <x:c r="C452" s="48" t="str">
        <x:v>2026-07-16</x:v>
      </x:c>
      <x:c r="D452" s="48" t="str">
        <x:v>D10</x:v>
      </x:c>
      <x:c r="E452" s="48" t="str">
        <x:v>DILIGENCE_ORGANIZATION</x:v>
      </x:c>
      <x:c r="F452" s="48" t="str">
        <x:v>Legal, tax or structuring work integrated before approval</x:v>
      </x:c>
      <x:c r="G452" s="48" t="str">
        <x:v>fund_size_archetype</x:v>
      </x:c>
      <x:c r="H452" s="48" t="str">
        <x:v>LARGE_2_TO_LT_5B</x:v>
      </x:c>
      <x:c r="I452" s="48" t="str">
        <x:v>9</x:v>
      </x:c>
      <x:c r="J452" s="48" t="str">
        <x:v>9</x:v>
      </x:c>
      <x:c r="K452" s="48" t="str">
        <x:v>0</x:v>
      </x:c>
      <x:c r="L452" s="48" t="str">
        <x:v>0</x:v>
      </x:c>
      <x:c r="M452" s="48" t="str">
        <x:v>9</x:v>
      </x:c>
      <x:c r="N452" s="48" t="str">
        <x:v>0</x:v>
      </x:c>
      <x:c r="O452" s="48" t="str">
        <x:v>0</x:v>
      </x:c>
      <x:c r="P452" s="48" t="str">
        <x:v>0</x:v>
      </x:c>
      <x:c r="Q452" s="48" t="str">
        <x:v>1.000</x:v>
      </x:c>
      <x:c r="R452" s="48" t="str">
        <x:v>DRIVER DOES NOT SEPARATE</x:v>
      </x:c>
      <x:c r="S452" s="48" t="str">
        <x:v>0.000</x:v>
      </x:c>
      <x:c r="T452" s="48" t="str">
        <x:v>LARGE_2_TO_LT_5B:N=9,p=1.000; LOWER_MID_LT_2B:N=8,p=1.000; MEGA_GE_5B:N=11,p=1.000</x:v>
      </x:c>
      <x:c r="U452" s="48" t="str">
        <x:v>Maximum-minus-minimum prevalence among adequately observed groups is no more than 0.15.</x:v>
      </x:c>
      <x:c r="V452" s="48" t="str">
        <x:v>At least 5 observable manager families in at least 2 driver groups</x:v>
      </x:c>
      <x:c r="W452" s="48" t="str">
        <x:v>&gt;=0.35 separates; &lt;=0.15 does not separate; intermediate is inconclusive/confounded; direct driver-definition tests are CIRCULAR</x:v>
      </x:c>
      <x:c r="X452" s="48" t="str">
        <x:v>MANAGER_SELF_DESCRIPTION; NOT BEHAVIOURAL FREQUENCY</x:v>
      </x:c>
    </x:row>
    <x:row r="453">
      <x:c r="A453" s="48" t="str">
        <x:v>B_GOVERNANCE_SEGMENTATION</x:v>
      </x:c>
      <x:c r="B453" s="48" t="str">
        <x:v>Tier B v1.1 - N=29 rerun</x:v>
      </x:c>
      <x:c r="C453" s="48" t="str">
        <x:v>2026-07-16</x:v>
      </x:c>
      <x:c r="D453" s="48" t="str">
        <x:v>D10</x:v>
      </x:c>
      <x:c r="E453" s="48" t="str">
        <x:v>DILIGENCE_ORGANIZATION</x:v>
      </x:c>
      <x:c r="F453" s="48" t="str">
        <x:v>Legal, tax or structuring work integrated before approval</x:v>
      </x:c>
      <x:c r="G453" s="48" t="str">
        <x:v>fund_size_archetype</x:v>
      </x:c>
      <x:c r="H453" s="48" t="str">
        <x:v>LOWER_MID_LT_2B</x:v>
      </x:c>
      <x:c r="I453" s="48" t="str">
        <x:v>8</x:v>
      </x:c>
      <x:c r="J453" s="48" t="str">
        <x:v>8</x:v>
      </x:c>
      <x:c r="K453" s="48" t="str">
        <x:v>0</x:v>
      </x:c>
      <x:c r="L453" s="48" t="str">
        <x:v>0</x:v>
      </x:c>
      <x:c r="M453" s="48" t="str">
        <x:v>8</x:v>
      </x:c>
      <x:c r="N453" s="48" t="str">
        <x:v>0</x:v>
      </x:c>
      <x:c r="O453" s="48" t="str">
        <x:v>0</x:v>
      </x:c>
      <x:c r="P453" s="48" t="str">
        <x:v>0</x:v>
      </x:c>
      <x:c r="Q453" s="48" t="str">
        <x:v>1.000</x:v>
      </x:c>
      <x:c r="R453" s="48" t="str">
        <x:v>DRIVER DOES NOT SEPARATE</x:v>
      </x:c>
      <x:c r="S453" s="48" t="str">
        <x:v>0.000</x:v>
      </x:c>
      <x:c r="T453" s="48" t="str">
        <x:v>LARGE_2_TO_LT_5B:N=9,p=1.000; LOWER_MID_LT_2B:N=8,p=1.000; MEGA_GE_5B:N=11,p=1.000</x:v>
      </x:c>
      <x:c r="U453" s="48" t="str">
        <x:v>Maximum-minus-minimum prevalence among adequately observed groups is no more than 0.15.</x:v>
      </x:c>
      <x:c r="V453" s="48" t="str">
        <x:v>At least 5 observable manager families in at least 2 driver groups</x:v>
      </x:c>
      <x:c r="W453" s="48" t="str">
        <x:v>&gt;=0.35 separates; &lt;=0.15 does not separate; intermediate is inconclusive/confounded; direct driver-definition tests are CIRCULAR</x:v>
      </x:c>
      <x:c r="X453" s="48" t="str">
        <x:v>MANAGER_SELF_DESCRIPTION; NOT BEHAVIOURAL FREQUENCY</x:v>
      </x:c>
    </x:row>
    <x:row r="454">
      <x:c r="A454" s="48" t="str">
        <x:v>B_GOVERNANCE_SEGMENTATION</x:v>
      </x:c>
      <x:c r="B454" s="48" t="str">
        <x:v>Tier B v1.1 - N=29 rerun</x:v>
      </x:c>
      <x:c r="C454" s="48" t="str">
        <x:v>2026-07-16</x:v>
      </x:c>
      <x:c r="D454" s="48" t="str">
        <x:v>D10</x:v>
      </x:c>
      <x:c r="E454" s="48" t="str">
        <x:v>DILIGENCE_ORGANIZATION</x:v>
      </x:c>
      <x:c r="F454" s="48" t="str">
        <x:v>Legal, tax or structuring work integrated before approval</x:v>
      </x:c>
      <x:c r="G454" s="48" t="str">
        <x:v>fund_size_archetype</x:v>
      </x:c>
      <x:c r="H454" s="48" t="str">
        <x:v>MEGA_GE_5B</x:v>
      </x:c>
      <x:c r="I454" s="48" t="str">
        <x:v>11</x:v>
      </x:c>
      <x:c r="J454" s="48" t="str">
        <x:v>11</x:v>
      </x:c>
      <x:c r="K454" s="48" t="str">
        <x:v>0</x:v>
      </x:c>
      <x:c r="L454" s="48" t="str">
        <x:v>0</x:v>
      </x:c>
      <x:c r="M454" s="48" t="str">
        <x:v>11</x:v>
      </x:c>
      <x:c r="N454" s="48" t="str">
        <x:v>0</x:v>
      </x:c>
      <x:c r="O454" s="48" t="str">
        <x:v>0</x:v>
      </x:c>
      <x:c r="P454" s="48" t="str">
        <x:v>0</x:v>
      </x:c>
      <x:c r="Q454" s="48" t="str">
        <x:v>1.000</x:v>
      </x:c>
      <x:c r="R454" s="48" t="str">
        <x:v>DRIVER DOES NOT SEPARATE</x:v>
      </x:c>
      <x:c r="S454" s="48" t="str">
        <x:v>0.000</x:v>
      </x:c>
      <x:c r="T454" s="48" t="str">
        <x:v>LARGE_2_TO_LT_5B:N=9,p=1.000; LOWER_MID_LT_2B:N=8,p=1.000; MEGA_GE_5B:N=11,p=1.000</x:v>
      </x:c>
      <x:c r="U454" s="48" t="str">
        <x:v>Maximum-minus-minimum prevalence among adequately observed groups is no more than 0.15.</x:v>
      </x:c>
      <x:c r="V454" s="48" t="str">
        <x:v>At least 5 observable manager families in at least 2 driver groups</x:v>
      </x:c>
      <x:c r="W454" s="48" t="str">
        <x:v>&gt;=0.35 separates; &lt;=0.15 does not separate; intermediate is inconclusive/confounded; direct driver-definition tests are CIRCULAR</x:v>
      </x:c>
      <x:c r="X454" s="48" t="str">
        <x:v>MANAGER_SELF_DESCRIPTION; NOT BEHAVIOURAL FREQUENCY</x:v>
      </x:c>
    </x:row>
    <x:row r="455">
      <x:c r="A455" s="48" t="str">
        <x:v>B_GOVERNANCE_SEGMENTATION</x:v>
      </x:c>
      <x:c r="B455" s="48" t="str">
        <x:v>Tier B v1.1 - N=29 rerun</x:v>
      </x:c>
      <x:c r="C455" s="48" t="str">
        <x:v>2026-07-16</x:v>
      </x:c>
      <x:c r="D455" s="48" t="str">
        <x:v>D10</x:v>
      </x:c>
      <x:c r="E455" s="48" t="str">
        <x:v>DILIGENCE_ORGANIZATION</x:v>
      </x:c>
      <x:c r="F455" s="48" t="str">
        <x:v>Legal, tax or structuring work integrated before approval</x:v>
      </x:c>
      <x:c r="G455" s="48" t="str">
        <x:v>fund_size_archetype</x:v>
      </x:c>
      <x:c r="H455" s="48" t="str">
        <x:v>NOT_APPLICABLE</x:v>
      </x:c>
      <x:c r="I455" s="48" t="str">
        <x:v>1</x:v>
      </x:c>
      <x:c r="J455" s="48" t="str">
        <x:v>1</x:v>
      </x:c>
      <x:c r="K455" s="48" t="str">
        <x:v>0</x:v>
      </x:c>
      <x:c r="L455" s="48" t="str">
        <x:v>0</x:v>
      </x:c>
      <x:c r="M455" s="48" t="str">
        <x:v>1</x:v>
      </x:c>
      <x:c r="N455" s="48" t="str">
        <x:v>0</x:v>
      </x:c>
      <x:c r="O455" s="48" t="str">
        <x:v>0</x:v>
      </x:c>
      <x:c r="P455" s="48" t="str">
        <x:v>0</x:v>
      </x:c>
      <x:c r="Q455" s="48" t="str">
        <x:v>1.000</x:v>
      </x:c>
      <x:c r="R455" s="48" t="str">
        <x:v>DRIVER DOES NOT SEPARATE</x:v>
      </x:c>
      <x:c r="S455" s="48" t="str">
        <x:v>0.000</x:v>
      </x:c>
      <x:c r="T455" s="48" t="str">
        <x:v>LARGE_2_TO_LT_5B:N=9,p=1.000; LOWER_MID_LT_2B:N=8,p=1.000; MEGA_GE_5B:N=11,p=1.000</x:v>
      </x:c>
      <x:c r="U455" s="48" t="str">
        <x:v>Maximum-minus-minimum prevalence among adequately observed groups is no more than 0.15.</x:v>
      </x:c>
      <x:c r="V455" s="48" t="str">
        <x:v>At least 5 observable manager families in at least 2 driver groups</x:v>
      </x:c>
      <x:c r="W455" s="48" t="str">
        <x:v>&gt;=0.35 separates; &lt;=0.15 does not separate; intermediate is inconclusive/confounded; direct driver-definition tests are CIRCULAR</x:v>
      </x:c>
      <x:c r="X455" s="48" t="str">
        <x:v>MANAGER_SELF_DESCRIPTION; NOT BEHAVIOURAL FREQUENCY</x:v>
      </x:c>
    </x:row>
    <x:row r="456">
      <x:c r="A456" s="48" t="str">
        <x:v>B_GOVERNANCE_SEGMENTATION</x:v>
      </x:c>
      <x:c r="B456" s="48" t="str">
        <x:v>Tier B v1.1 - N=29 rerun</x:v>
      </x:c>
      <x:c r="C456" s="48" t="str">
        <x:v>2026-07-16</x:v>
      </x:c>
      <x:c r="D456" s="48" t="str">
        <x:v>D10</x:v>
      </x:c>
      <x:c r="E456" s="48" t="str">
        <x:v>DILIGENCE_ORGANIZATION</x:v>
      </x:c>
      <x:c r="F456" s="48" t="str">
        <x:v>Legal, tax or structuring work integrated before approval</x:v>
      </x:c>
      <x:c r="G456" s="48" t="str">
        <x:v>strategy</x:v>
      </x:c>
      <x:c r="H456" s="48" t="str">
        <x:v>CONTROL_BUYOUT</x:v>
      </x:c>
      <x:c r="I456" s="48" t="str">
        <x:v>22</x:v>
      </x:c>
      <x:c r="J456" s="48" t="str">
        <x:v>22</x:v>
      </x:c>
      <x:c r="K456" s="48" t="str">
        <x:v>0</x:v>
      </x:c>
      <x:c r="L456" s="48" t="str">
        <x:v>0</x:v>
      </x:c>
      <x:c r="M456" s="48" t="str">
        <x:v>22</x:v>
      </x:c>
      <x:c r="N456" s="48" t="str">
        <x:v>0</x:v>
      </x:c>
      <x:c r="O456" s="48" t="str">
        <x:v>0</x:v>
      </x:c>
      <x:c r="P456" s="48" t="str">
        <x:v>0</x:v>
      </x:c>
      <x:c r="Q456" s="48" t="str">
        <x:v>1.000</x:v>
      </x:c>
      <x:c r="R456" s="48" t="str">
        <x:v>DRIVER DOES NOT SEPARATE</x:v>
      </x:c>
      <x:c r="S456" s="48" t="str">
        <x:v>0.000</x:v>
      </x:c>
      <x:c r="T456" s="48" t="str">
        <x:v>CONTROL_BUYOUT:N=22,p=1.000; GROWTH_CONTROL_HYBRID:N=6,p=1.000</x:v>
      </x:c>
      <x:c r="U456" s="48" t="str">
        <x:v>Maximum-minus-minimum prevalence among adequately observed groups is no more than 0.15.</x:v>
      </x:c>
      <x:c r="V456" s="48" t="str">
        <x:v>At least 5 observable manager families in at least 2 driver groups</x:v>
      </x:c>
      <x:c r="W456" s="48" t="str">
        <x:v>&gt;=0.35 separates; &lt;=0.15 does not separate; intermediate is inconclusive/confounded; direct driver-definition tests are CIRCULAR</x:v>
      </x:c>
      <x:c r="X456" s="48" t="str">
        <x:v>MANAGER_SELF_DESCRIPTION; NOT BEHAVIOURAL FREQUENCY</x:v>
      </x:c>
    </x:row>
    <x:row r="457">
      <x:c r="A457" s="48" t="str">
        <x:v>B_GOVERNANCE_SEGMENTATION</x:v>
      </x:c>
      <x:c r="B457" s="48" t="str">
        <x:v>Tier B v1.1 - N=29 rerun</x:v>
      </x:c>
      <x:c r="C457" s="48" t="str">
        <x:v>2026-07-16</x:v>
      </x:c>
      <x:c r="D457" s="48" t="str">
        <x:v>D10</x:v>
      </x:c>
      <x:c r="E457" s="48" t="str">
        <x:v>DILIGENCE_ORGANIZATION</x:v>
      </x:c>
      <x:c r="F457" s="48" t="str">
        <x:v>Legal, tax or structuring work integrated before approval</x:v>
      </x:c>
      <x:c r="G457" s="48" t="str">
        <x:v>strategy</x:v>
      </x:c>
      <x:c r="H457" s="48" t="str">
        <x:v>GROWTH_CONTROL_HYBRID</x:v>
      </x:c>
      <x:c r="I457" s="48" t="str">
        <x:v>6</x:v>
      </x:c>
      <x:c r="J457" s="48" t="str">
        <x:v>6</x:v>
      </x:c>
      <x:c r="K457" s="48" t="str">
        <x:v>0</x:v>
      </x:c>
      <x:c r="L457" s="48" t="str">
        <x:v>0</x:v>
      </x:c>
      <x:c r="M457" s="48" t="str">
        <x:v>6</x:v>
      </x:c>
      <x:c r="N457" s="48" t="str">
        <x:v>0</x:v>
      </x:c>
      <x:c r="O457" s="48" t="str">
        <x:v>0</x:v>
      </x:c>
      <x:c r="P457" s="48" t="str">
        <x:v>0</x:v>
      </x:c>
      <x:c r="Q457" s="48" t="str">
        <x:v>1.000</x:v>
      </x:c>
      <x:c r="R457" s="48" t="str">
        <x:v>DRIVER DOES NOT SEPARATE</x:v>
      </x:c>
      <x:c r="S457" s="48" t="str">
        <x:v>0.000</x:v>
      </x:c>
      <x:c r="T457" s="48" t="str">
        <x:v>CONTROL_BUYOUT:N=22,p=1.000; GROWTH_CONTROL_HYBRID:N=6,p=1.000</x:v>
      </x:c>
      <x:c r="U457" s="48" t="str">
        <x:v>Maximum-minus-minimum prevalence among adequately observed groups is no more than 0.15.</x:v>
      </x:c>
      <x:c r="V457" s="48" t="str">
        <x:v>At least 5 observable manager families in at least 2 driver groups</x:v>
      </x:c>
      <x:c r="W457" s="48" t="str">
        <x:v>&gt;=0.35 separates; &lt;=0.15 does not separate; intermediate is inconclusive/confounded; direct driver-definition tests are CIRCULAR</x:v>
      </x:c>
      <x:c r="X457" s="48" t="str">
        <x:v>MANAGER_SELF_DESCRIPTION; NOT BEHAVIOURAL FREQUENCY</x:v>
      </x:c>
    </x:row>
    <x:row r="458">
      <x:c r="A458" s="48" t="str">
        <x:v>B_GOVERNANCE_SEGMENTATION</x:v>
      </x:c>
      <x:c r="B458" s="48" t="str">
        <x:v>Tier B v1.1 - N=29 rerun</x:v>
      </x:c>
      <x:c r="C458" s="48" t="str">
        <x:v>2026-07-16</x:v>
      </x:c>
      <x:c r="D458" s="48" t="str">
        <x:v>D10</x:v>
      </x:c>
      <x:c r="E458" s="48" t="str">
        <x:v>DILIGENCE_ORGANIZATION</x:v>
      </x:c>
      <x:c r="F458" s="48" t="str">
        <x:v>Legal, tax or structuring work integrated before approval</x:v>
      </x:c>
      <x:c r="G458" s="48" t="str">
        <x:v>strategy</x:v>
      </x:c>
      <x:c r="H458" s="48" t="str">
        <x:v>OPPORTUNISTIC_CONTROL</x:v>
      </x:c>
      <x:c r="I458" s="48" t="str">
        <x:v>1</x:v>
      </x:c>
      <x:c r="J458" s="48" t="str">
        <x:v>1</x:v>
      </x:c>
      <x:c r="K458" s="48" t="str">
        <x:v>0</x:v>
      </x:c>
      <x:c r="L458" s="48" t="str">
        <x:v>0</x:v>
      </x:c>
      <x:c r="M458" s="48" t="str">
        <x:v>1</x:v>
      </x:c>
      <x:c r="N458" s="48" t="str">
        <x:v>0</x:v>
      </x:c>
      <x:c r="O458" s="48" t="str">
        <x:v>0</x:v>
      </x:c>
      <x:c r="P458" s="48" t="str">
        <x:v>0</x:v>
      </x:c>
      <x:c r="Q458" s="48" t="str">
        <x:v>1.000</x:v>
      </x:c>
      <x:c r="R458" s="48" t="str">
        <x:v>DRIVER DOES NOT SEPARATE</x:v>
      </x:c>
      <x:c r="S458" s="48" t="str">
        <x:v>0.000</x:v>
      </x:c>
      <x:c r="T458" s="48" t="str">
        <x:v>CONTROL_BUYOUT:N=22,p=1.000; GROWTH_CONTROL_HYBRID:N=6,p=1.000</x:v>
      </x:c>
      <x:c r="U458" s="48" t="str">
        <x:v>Maximum-minus-minimum prevalence among adequately observed groups is no more than 0.15.</x:v>
      </x:c>
      <x:c r="V458" s="48" t="str">
        <x:v>At least 5 observable manager families in at least 2 driver groups</x:v>
      </x:c>
      <x:c r="W458" s="48" t="str">
        <x:v>&gt;=0.35 separates; &lt;=0.15 does not separate; intermediate is inconclusive/confounded; direct driver-definition tests are CIRCULAR</x:v>
      </x:c>
      <x:c r="X458" s="48" t="str">
        <x:v>MANAGER_SELF_DESCRIPTION; NOT BEHAVIOURAL FREQUENCY</x:v>
      </x:c>
    </x:row>
    <x:row r="459">
      <x:c r="A459" s="48" t="str">
        <x:v>B_GOVERNANCE_SEGMENTATION</x:v>
      </x:c>
      <x:c r="B459" s="48" t="str">
        <x:v>Tier B v1.1 - N=29 rerun</x:v>
      </x:c>
      <x:c r="C459" s="48" t="str">
        <x:v>2026-07-16</x:v>
      </x:c>
      <x:c r="D459" s="48" t="str">
        <x:v>D10</x:v>
      </x:c>
      <x:c r="E459" s="48" t="str">
        <x:v>DILIGENCE_ORGANIZATION</x:v>
      </x:c>
      <x:c r="F459" s="48" t="str">
        <x:v>Legal, tax or structuring work integrated before approval</x:v>
      </x:c>
      <x:c r="G459" s="48" t="str">
        <x:v>geography</x:v>
      </x:c>
      <x:c r="H459" s="48" t="str">
        <x:v>ASIA_PACIFIC</x:v>
      </x:c>
      <x:c r="I459" s="48" t="str">
        <x:v>4</x:v>
      </x:c>
      <x:c r="J459" s="48" t="str">
        <x:v>4</x:v>
      </x:c>
      <x:c r="K459" s="48" t="str">
        <x:v>0</x:v>
      </x:c>
      <x:c r="L459" s="48" t="str">
        <x:v>0</x:v>
      </x:c>
      <x:c r="M459" s="48" t="str">
        <x:v>4</x:v>
      </x:c>
      <x:c r="N459" s="48" t="str">
        <x:v>0</x:v>
      </x:c>
      <x:c r="O459" s="48" t="str">
        <x:v>0</x:v>
      </x:c>
      <x:c r="P459" s="48" t="str">
        <x:v>0</x:v>
      </x:c>
      <x:c r="Q459" s="48" t="str">
        <x:v>1.000</x:v>
      </x:c>
      <x:c r="R459" s="48" t="str">
        <x:v>DRIVER DOES NOT SEPARATE</x:v>
      </x:c>
      <x:c r="S459" s="48" t="str">
        <x:v>0.000</x:v>
      </x:c>
      <x:c r="T459" s="48" t="str">
        <x:v>GLOBAL_TRANSATLANTIC:N=10,p=1.000; NORTH_AMERICA:N=13,p=1.000</x:v>
      </x:c>
      <x:c r="U459" s="48" t="str">
        <x:v>Maximum-minus-minimum prevalence among adequately observed groups is no more than 0.15.</x:v>
      </x:c>
      <x:c r="V459" s="48" t="str">
        <x:v>At least 5 observable manager families in at least 2 driver groups</x:v>
      </x:c>
      <x:c r="W459" s="48" t="str">
        <x:v>&gt;=0.35 separates; &lt;=0.15 does not separate; intermediate is inconclusive/confounded; direct driver-definition tests are CIRCULAR</x:v>
      </x:c>
      <x:c r="X459" s="48" t="str">
        <x:v>MANAGER_SELF_DESCRIPTION; NOT BEHAVIOURAL FREQUENCY</x:v>
      </x:c>
    </x:row>
    <x:row r="460">
      <x:c r="A460" s="48" t="str">
        <x:v>B_GOVERNANCE_SEGMENTATION</x:v>
      </x:c>
      <x:c r="B460" s="48" t="str">
        <x:v>Tier B v1.1 - N=29 rerun</x:v>
      </x:c>
      <x:c r="C460" s="48" t="str">
        <x:v>2026-07-16</x:v>
      </x:c>
      <x:c r="D460" s="48" t="str">
        <x:v>D10</x:v>
      </x:c>
      <x:c r="E460" s="48" t="str">
        <x:v>DILIGENCE_ORGANIZATION</x:v>
      </x:c>
      <x:c r="F460" s="48" t="str">
        <x:v>Legal, tax or structuring work integrated before approval</x:v>
      </x:c>
      <x:c r="G460" s="48" t="str">
        <x:v>geography</x:v>
      </x:c>
      <x:c r="H460" s="48" t="str">
        <x:v>EUROPE</x:v>
      </x:c>
      <x:c r="I460" s="48" t="str">
        <x:v>2</x:v>
      </x:c>
      <x:c r="J460" s="48" t="str">
        <x:v>2</x:v>
      </x:c>
      <x:c r="K460" s="48" t="str">
        <x:v>0</x:v>
      </x:c>
      <x:c r="L460" s="48" t="str">
        <x:v>0</x:v>
      </x:c>
      <x:c r="M460" s="48" t="str">
        <x:v>2</x:v>
      </x:c>
      <x:c r="N460" s="48" t="str">
        <x:v>0</x:v>
      </x:c>
      <x:c r="O460" s="48" t="str">
        <x:v>0</x:v>
      </x:c>
      <x:c r="P460" s="48" t="str">
        <x:v>0</x:v>
      </x:c>
      <x:c r="Q460" s="48" t="str">
        <x:v>1.000</x:v>
      </x:c>
      <x:c r="R460" s="48" t="str">
        <x:v>DRIVER DOES NOT SEPARATE</x:v>
      </x:c>
      <x:c r="S460" s="48" t="str">
        <x:v>0.000</x:v>
      </x:c>
      <x:c r="T460" s="48" t="str">
        <x:v>GLOBAL_TRANSATLANTIC:N=10,p=1.000; NORTH_AMERICA:N=13,p=1.000</x:v>
      </x:c>
      <x:c r="U460" s="48" t="str">
        <x:v>Maximum-minus-minimum prevalence among adequately observed groups is no more than 0.15.</x:v>
      </x:c>
      <x:c r="V460" s="48" t="str">
        <x:v>At least 5 observable manager families in at least 2 driver groups</x:v>
      </x:c>
      <x:c r="W460" s="48" t="str">
        <x:v>&gt;=0.35 separates; &lt;=0.15 does not separate; intermediate is inconclusive/confounded; direct driver-definition tests are CIRCULAR</x:v>
      </x:c>
      <x:c r="X460" s="48" t="str">
        <x:v>MANAGER_SELF_DESCRIPTION; NOT BEHAVIOURAL FREQUENCY</x:v>
      </x:c>
    </x:row>
    <x:row r="461">
      <x:c r="A461" s="48" t="str">
        <x:v>B_GOVERNANCE_SEGMENTATION</x:v>
      </x:c>
      <x:c r="B461" s="48" t="str">
        <x:v>Tier B v1.1 - N=29 rerun</x:v>
      </x:c>
      <x:c r="C461" s="48" t="str">
        <x:v>2026-07-16</x:v>
      </x:c>
      <x:c r="D461" s="48" t="str">
        <x:v>D10</x:v>
      </x:c>
      <x:c r="E461" s="48" t="str">
        <x:v>DILIGENCE_ORGANIZATION</x:v>
      </x:c>
      <x:c r="F461" s="48" t="str">
        <x:v>Legal, tax or structuring work integrated before approval</x:v>
      </x:c>
      <x:c r="G461" s="48" t="str">
        <x:v>geography</x:v>
      </x:c>
      <x:c r="H461" s="48" t="str">
        <x:v>GLOBAL_TRANSATLANTIC</x:v>
      </x:c>
      <x:c r="I461" s="48" t="str">
        <x:v>10</x:v>
      </x:c>
      <x:c r="J461" s="48" t="str">
        <x:v>10</x:v>
      </x:c>
      <x:c r="K461" s="48" t="str">
        <x:v>0</x:v>
      </x:c>
      <x:c r="L461" s="48" t="str">
        <x:v>0</x:v>
      </x:c>
      <x:c r="M461" s="48" t="str">
        <x:v>10</x:v>
      </x:c>
      <x:c r="N461" s="48" t="str">
        <x:v>0</x:v>
      </x:c>
      <x:c r="O461" s="48" t="str">
        <x:v>0</x:v>
      </x:c>
      <x:c r="P461" s="48" t="str">
        <x:v>0</x:v>
      </x:c>
      <x:c r="Q461" s="48" t="str">
        <x:v>1.000</x:v>
      </x:c>
      <x:c r="R461" s="48" t="str">
        <x:v>DRIVER DOES NOT SEPARATE</x:v>
      </x:c>
      <x:c r="S461" s="48" t="str">
        <x:v>0.000</x:v>
      </x:c>
      <x:c r="T461" s="48" t="str">
        <x:v>GLOBAL_TRANSATLANTIC:N=10,p=1.000; NORTH_AMERICA:N=13,p=1.000</x:v>
      </x:c>
      <x:c r="U461" s="48" t="str">
        <x:v>Maximum-minus-minimum prevalence among adequately observed groups is no more than 0.15.</x:v>
      </x:c>
      <x:c r="V461" s="48" t="str">
        <x:v>At least 5 observable manager families in at least 2 driver groups</x:v>
      </x:c>
      <x:c r="W461" s="48" t="str">
        <x:v>&gt;=0.35 separates; &lt;=0.15 does not separate; intermediate is inconclusive/confounded; direct driver-definition tests are CIRCULAR</x:v>
      </x:c>
      <x:c r="X461" s="48" t="str">
        <x:v>MANAGER_SELF_DESCRIPTION; NOT BEHAVIOURAL FREQUENCY</x:v>
      </x:c>
    </x:row>
    <x:row r="462">
      <x:c r="A462" s="48" t="str">
        <x:v>B_GOVERNANCE_SEGMENTATION</x:v>
      </x:c>
      <x:c r="B462" s="48" t="str">
        <x:v>Tier B v1.1 - N=29 rerun</x:v>
      </x:c>
      <x:c r="C462" s="48" t="str">
        <x:v>2026-07-16</x:v>
      </x:c>
      <x:c r="D462" s="48" t="str">
        <x:v>D10</x:v>
      </x:c>
      <x:c r="E462" s="48" t="str">
        <x:v>DILIGENCE_ORGANIZATION</x:v>
      </x:c>
      <x:c r="F462" s="48" t="str">
        <x:v>Legal, tax or structuring work integrated before approval</x:v>
      </x:c>
      <x:c r="G462" s="48" t="str">
        <x:v>geography</x:v>
      </x:c>
      <x:c r="H462" s="48" t="str">
        <x:v>NORTH_AMERICA</x:v>
      </x:c>
      <x:c r="I462" s="48" t="str">
        <x:v>13</x:v>
      </x:c>
      <x:c r="J462" s="48" t="str">
        <x:v>13</x:v>
      </x:c>
      <x:c r="K462" s="48" t="str">
        <x:v>0</x:v>
      </x:c>
      <x:c r="L462" s="48" t="str">
        <x:v>0</x:v>
      </x:c>
      <x:c r="M462" s="48" t="str">
        <x:v>13</x:v>
      </x:c>
      <x:c r="N462" s="48" t="str">
        <x:v>0</x:v>
      </x:c>
      <x:c r="O462" s="48" t="str">
        <x:v>0</x:v>
      </x:c>
      <x:c r="P462" s="48" t="str">
        <x:v>0</x:v>
      </x:c>
      <x:c r="Q462" s="48" t="str">
        <x:v>1.000</x:v>
      </x:c>
      <x:c r="R462" s="48" t="str">
        <x:v>DRIVER DOES NOT SEPARATE</x:v>
      </x:c>
      <x:c r="S462" s="48" t="str">
        <x:v>0.000</x:v>
      </x:c>
      <x:c r="T462" s="48" t="str">
        <x:v>GLOBAL_TRANSATLANTIC:N=10,p=1.000; NORTH_AMERICA:N=13,p=1.000</x:v>
      </x:c>
      <x:c r="U462" s="48" t="str">
        <x:v>Maximum-minus-minimum prevalence among adequately observed groups is no more than 0.15.</x:v>
      </x:c>
      <x:c r="V462" s="48" t="str">
        <x:v>At least 5 observable manager families in at least 2 driver groups</x:v>
      </x:c>
      <x:c r="W462" s="48" t="str">
        <x:v>&gt;=0.35 separates; &lt;=0.15 does not separate; intermediate is inconclusive/confounded; direct driver-definition tests are CIRCULAR</x:v>
      </x:c>
      <x:c r="X462" s="48" t="str">
        <x:v>MANAGER_SELF_DESCRIPTION; NOT BEHAVIOURAL FREQUENCY</x:v>
      </x:c>
    </x:row>
    <x:row r="463">
      <x:c r="A463" s="48" t="str">
        <x:v>B_GOVERNANCE_SEGMENTATION</x:v>
      </x:c>
      <x:c r="B463" s="48" t="str">
        <x:v>Tier B v1.1 - N=29 rerun</x:v>
      </x:c>
      <x:c r="C463" s="48" t="str">
        <x:v>2026-07-16</x:v>
      </x:c>
      <x:c r="D463" s="48" t="str">
        <x:v>D10</x:v>
      </x:c>
      <x:c r="E463" s="48" t="str">
        <x:v>DILIGENCE_ORGANIZATION</x:v>
      </x:c>
      <x:c r="F463" s="48" t="str">
        <x:v>Legal, tax or structuring work integrated before approval</x:v>
      </x:c>
      <x:c r="G463" s="48" t="str">
        <x:v>source_vintage_bin</x:v>
      </x:c>
      <x:c r="H463" s="48" t="str">
        <x:v>2018_2020</x:v>
      </x:c>
      <x:c r="I463" s="48" t="str">
        <x:v>6</x:v>
      </x:c>
      <x:c r="J463" s="48" t="str">
        <x:v>6</x:v>
      </x:c>
      <x:c r="K463" s="48" t="str">
        <x:v>0</x:v>
      </x:c>
      <x:c r="L463" s="48" t="str">
        <x:v>0</x:v>
      </x:c>
      <x:c r="M463" s="48" t="str">
        <x:v>6</x:v>
      </x:c>
      <x:c r="N463" s="48" t="str">
        <x:v>0</x:v>
      </x:c>
      <x:c r="O463" s="48" t="str">
        <x:v>0</x:v>
      </x:c>
      <x:c r="P463" s="48" t="str">
        <x:v>0</x:v>
      </x:c>
      <x:c r="Q463" s="48" t="str">
        <x:v>1.000</x:v>
      </x:c>
      <x:c r="R463" s="48" t="str">
        <x:v>DRIVER DOES NOT SEPARATE</x:v>
      </x:c>
      <x:c r="S463" s="48" t="str">
        <x:v>0.000</x:v>
      </x:c>
      <x:c r="T463" s="48" t="str">
        <x:v>2018_2020:N=6,p=1.000; 2021_2023:N=11,p=1.000; 2024_2026:N=12,p=1.000</x:v>
      </x:c>
      <x:c r="U463" s="48" t="str">
        <x:v>Maximum-minus-minimum prevalence among adequately observed groups is no more than 0.15.</x:v>
      </x:c>
      <x:c r="V463" s="48" t="str">
        <x:v>At least 5 observable manager families in at least 2 driver groups</x:v>
      </x:c>
      <x:c r="W463" s="48" t="str">
        <x:v>&gt;=0.35 separates; &lt;=0.15 does not separate; intermediate is inconclusive/confounded; direct driver-definition tests are CIRCULAR</x:v>
      </x:c>
      <x:c r="X463" s="48" t="str">
        <x:v>MANAGER_SELF_DESCRIPTION; NOT BEHAVIOURAL FREQUENCY</x:v>
      </x:c>
    </x:row>
    <x:row r="464">
      <x:c r="A464" s="48" t="str">
        <x:v>B_GOVERNANCE_SEGMENTATION</x:v>
      </x:c>
      <x:c r="B464" s="48" t="str">
        <x:v>Tier B v1.1 - N=29 rerun</x:v>
      </x:c>
      <x:c r="C464" s="48" t="str">
        <x:v>2026-07-16</x:v>
      </x:c>
      <x:c r="D464" s="48" t="str">
        <x:v>D10</x:v>
      </x:c>
      <x:c r="E464" s="48" t="str">
        <x:v>DILIGENCE_ORGANIZATION</x:v>
      </x:c>
      <x:c r="F464" s="48" t="str">
        <x:v>Legal, tax or structuring work integrated before approval</x:v>
      </x:c>
      <x:c r="G464" s="48" t="str">
        <x:v>source_vintage_bin</x:v>
      </x:c>
      <x:c r="H464" s="48" t="str">
        <x:v>2021_2023</x:v>
      </x:c>
      <x:c r="I464" s="48" t="str">
        <x:v>11</x:v>
      </x:c>
      <x:c r="J464" s="48" t="str">
        <x:v>11</x:v>
      </x:c>
      <x:c r="K464" s="48" t="str">
        <x:v>0</x:v>
      </x:c>
      <x:c r="L464" s="48" t="str">
        <x:v>0</x:v>
      </x:c>
      <x:c r="M464" s="48" t="str">
        <x:v>11</x:v>
      </x:c>
      <x:c r="N464" s="48" t="str">
        <x:v>0</x:v>
      </x:c>
      <x:c r="O464" s="48" t="str">
        <x:v>0</x:v>
      </x:c>
      <x:c r="P464" s="48" t="str">
        <x:v>0</x:v>
      </x:c>
      <x:c r="Q464" s="48" t="str">
        <x:v>1.000</x:v>
      </x:c>
      <x:c r="R464" s="48" t="str">
        <x:v>DRIVER DOES NOT SEPARATE</x:v>
      </x:c>
      <x:c r="S464" s="48" t="str">
        <x:v>0.000</x:v>
      </x:c>
      <x:c r="T464" s="48" t="str">
        <x:v>2018_2020:N=6,p=1.000; 2021_2023:N=11,p=1.000; 2024_2026:N=12,p=1.000</x:v>
      </x:c>
      <x:c r="U464" s="48" t="str">
        <x:v>Maximum-minus-minimum prevalence among adequately observed groups is no more than 0.15.</x:v>
      </x:c>
      <x:c r="V464" s="48" t="str">
        <x:v>At least 5 observable manager families in at least 2 driver groups</x:v>
      </x:c>
      <x:c r="W464" s="48" t="str">
        <x:v>&gt;=0.35 separates; &lt;=0.15 does not separate; intermediate is inconclusive/confounded; direct driver-definition tests are CIRCULAR</x:v>
      </x:c>
      <x:c r="X464" s="48" t="str">
        <x:v>MANAGER_SELF_DESCRIPTION; NOT BEHAVIOURAL FREQUENCY</x:v>
      </x:c>
    </x:row>
    <x:row r="465">
      <x:c r="A465" s="48" t="str">
        <x:v>B_GOVERNANCE_SEGMENTATION</x:v>
      </x:c>
      <x:c r="B465" s="48" t="str">
        <x:v>Tier B v1.1 - N=29 rerun</x:v>
      </x:c>
      <x:c r="C465" s="48" t="str">
        <x:v>2026-07-16</x:v>
      </x:c>
      <x:c r="D465" s="48" t="str">
        <x:v>D10</x:v>
      </x:c>
      <x:c r="E465" s="48" t="str">
        <x:v>DILIGENCE_ORGANIZATION</x:v>
      </x:c>
      <x:c r="F465" s="48" t="str">
        <x:v>Legal, tax or structuring work integrated before approval</x:v>
      </x:c>
      <x:c r="G465" s="48" t="str">
        <x:v>source_vintage_bin</x:v>
      </x:c>
      <x:c r="H465" s="48" t="str">
        <x:v>2024_2026</x:v>
      </x:c>
      <x:c r="I465" s="48" t="str">
        <x:v>12</x:v>
      </x:c>
      <x:c r="J465" s="48" t="str">
        <x:v>12</x:v>
      </x:c>
      <x:c r="K465" s="48" t="str">
        <x:v>0</x:v>
      </x:c>
      <x:c r="L465" s="48" t="str">
        <x:v>0</x:v>
      </x:c>
      <x:c r="M465" s="48" t="str">
        <x:v>12</x:v>
      </x:c>
      <x:c r="N465" s="48" t="str">
        <x:v>0</x:v>
      </x:c>
      <x:c r="O465" s="48" t="str">
        <x:v>0</x:v>
      </x:c>
      <x:c r="P465" s="48" t="str">
        <x:v>0</x:v>
      </x:c>
      <x:c r="Q465" s="48" t="str">
        <x:v>1.000</x:v>
      </x:c>
      <x:c r="R465" s="48" t="str">
        <x:v>DRIVER DOES NOT SEPARATE</x:v>
      </x:c>
      <x:c r="S465" s="48" t="str">
        <x:v>0.000</x:v>
      </x:c>
      <x:c r="T465" s="48" t="str">
        <x:v>2018_2020:N=6,p=1.000; 2021_2023:N=11,p=1.000; 2024_2026:N=12,p=1.000</x:v>
      </x:c>
      <x:c r="U465" s="48" t="str">
        <x:v>Maximum-minus-minimum prevalence among adequately observed groups is no more than 0.15.</x:v>
      </x:c>
      <x:c r="V465" s="48" t="str">
        <x:v>At least 5 observable manager families in at least 2 driver groups</x:v>
      </x:c>
      <x:c r="W465" s="48" t="str">
        <x:v>&gt;=0.35 separates; &lt;=0.15 does not separate; intermediate is inconclusive/confounded; direct driver-definition tests are CIRCULAR</x:v>
      </x:c>
      <x:c r="X465" s="48" t="str">
        <x:v>MANAGER_SELF_DESCRIPTION; NOT BEHAVIOURAL FREQUENCY</x:v>
      </x:c>
    </x:row>
    <x:row r="466">
      <x:c r="A466" s="48" t="str">
        <x:v>B_GOVERNANCE_SEGMENTATION</x:v>
      </x:c>
      <x:c r="B466" s="48" t="str">
        <x:v>Tier B v1.1 - N=29 rerun</x:v>
      </x:c>
      <x:c r="C466" s="48" t="str">
        <x:v>2026-07-16</x:v>
      </x:c>
      <x:c r="D466" s="48" t="str">
        <x:v>D10</x:v>
      </x:c>
      <x:c r="E466" s="48" t="str">
        <x:v>DILIGENCE_ORGANIZATION</x:v>
      </x:c>
      <x:c r="F466" s="48" t="str">
        <x:v>Legal, tax or structuring work integrated before approval</x:v>
      </x:c>
      <x:c r="G466" s="48" t="str">
        <x:v>governance_architecture</x:v>
      </x:c>
      <x:c r="H466" s="48" t="str">
        <x:v>IC_FINAL_OR_DE_FACTO</x:v>
      </x:c>
      <x:c r="I466" s="48" t="str">
        <x:v>26</x:v>
      </x:c>
      <x:c r="J466" s="48" t="str">
        <x:v>26</x:v>
      </x:c>
      <x:c r="K466" s="48" t="str">
        <x:v>0</x:v>
      </x:c>
      <x:c r="L466" s="48" t="str">
        <x:v>0</x:v>
      </x:c>
      <x:c r="M466" s="48" t="str">
        <x:v>26</x:v>
      </x:c>
      <x:c r="N466" s="48" t="str">
        <x:v>0</x:v>
      </x:c>
      <x:c r="O466" s="48" t="str">
        <x:v>0</x:v>
      </x:c>
      <x:c r="P466" s="48" t="str">
        <x:v>0</x:v>
      </x:c>
      <x:c r="Q466" s="48" t="str">
        <x:v>1.000</x:v>
      </x:c>
      <x:c r="R466" s="48" t="str">
        <x:v>N TOO SMALL</x:v>
      </x:c>
      <x:c r="S466" s="48" t="str"/>
      <x:c r="T466" s="48" t="str">
        <x:v>IC_FINAL_OR_DE_FACTO:N=26,p=1.000</x:v>
      </x:c>
      <x:c r="U466" s="48" t="str">
        <x:v>Fewer than two driver groups have at least 5 observable manager families.</x:v>
      </x:c>
      <x:c r="V466" s="48" t="str">
        <x:v>At least 5 observable manager families in at least 2 driver groups</x:v>
      </x:c>
      <x:c r="W466" s="48" t="str">
        <x:v>&gt;=0.35 separates; &lt;=0.15 does not separate; intermediate is inconclusive/confounded; direct driver-definition tests are CIRCULAR</x:v>
      </x:c>
      <x:c r="X466" s="48" t="str">
        <x:v>MANAGER_SELF_DESCRIPTION; NOT BEHAVIOURAL FREQUENCY</x:v>
      </x:c>
    </x:row>
    <x:row r="467">
      <x:c r="A467" s="48" t="str">
        <x:v>B_GOVERNANCE_SEGMENTATION</x:v>
      </x:c>
      <x:c r="B467" s="48" t="str">
        <x:v>Tier B v1.1 - N=29 rerun</x:v>
      </x:c>
      <x:c r="C467" s="48" t="str">
        <x:v>2026-07-16</x:v>
      </x:c>
      <x:c r="D467" s="48" t="str">
        <x:v>D10</x:v>
      </x:c>
      <x:c r="E467" s="48" t="str">
        <x:v>DILIGENCE_ORGANIZATION</x:v>
      </x:c>
      <x:c r="F467" s="48" t="str">
        <x:v>Legal, tax or structuring work integrated before approval</x:v>
      </x:c>
      <x:c r="G467" s="48" t="str">
        <x:v>governance_architecture</x:v>
      </x:c>
      <x:c r="H467" s="48" t="str">
        <x:v>IC_RECOMMENDS_SEPARATE_FINAL_AUTHORITY</x:v>
      </x:c>
      <x:c r="I467" s="48" t="str">
        <x:v>3</x:v>
      </x:c>
      <x:c r="J467" s="48" t="str">
        <x:v>3</x:v>
      </x:c>
      <x:c r="K467" s="48" t="str">
        <x:v>0</x:v>
      </x:c>
      <x:c r="L467" s="48" t="str">
        <x:v>0</x:v>
      </x:c>
      <x:c r="M467" s="48" t="str">
        <x:v>3</x:v>
      </x:c>
      <x:c r="N467" s="48" t="str">
        <x:v>0</x:v>
      </x:c>
      <x:c r="O467" s="48" t="str">
        <x:v>0</x:v>
      </x:c>
      <x:c r="P467" s="48" t="str">
        <x:v>0</x:v>
      </x:c>
      <x:c r="Q467" s="48" t="str">
        <x:v>1.000</x:v>
      </x:c>
      <x:c r="R467" s="48" t="str">
        <x:v>N TOO SMALL</x:v>
      </x:c>
      <x:c r="S467" s="48" t="str"/>
      <x:c r="T467" s="48" t="str">
        <x:v>IC_FINAL_OR_DE_FACTO:N=26,p=1.000</x:v>
      </x:c>
      <x:c r="U467" s="48" t="str">
        <x:v>Fewer than two driver groups have at least 5 observable manager families.</x:v>
      </x:c>
      <x:c r="V467" s="48" t="str">
        <x:v>At least 5 observable manager families in at least 2 driver groups</x:v>
      </x:c>
      <x:c r="W467" s="48" t="str">
        <x:v>&gt;=0.35 separates; &lt;=0.15 does not separate; intermediate is inconclusive/confounded; direct driver-definition tests are CIRCULAR</x:v>
      </x:c>
      <x:c r="X467" s="48" t="str">
        <x:v>MANAGER_SELF_DESCRIPTION; NOT BEHAVIOURAL FREQUENCY</x:v>
      </x:c>
    </x:row>
    <x:row r="468">
      <x:c r="A468" s="48" t="str">
        <x:v>B_GOVERNANCE_SEGMENTATION</x:v>
      </x:c>
      <x:c r="B468" s="48" t="str">
        <x:v>Tier B v1.1 - N=29 rerun</x:v>
      </x:c>
      <x:c r="C468" s="48" t="str">
        <x:v>2026-07-16</x:v>
      </x:c>
      <x:c r="D468" s="48" t="str">
        <x:v>D10</x:v>
      </x:c>
      <x:c r="E468" s="48" t="str">
        <x:v>DILIGENCE_ORGANIZATION</x:v>
      </x:c>
      <x:c r="F468" s="48" t="str">
        <x:v>Legal, tax or structuring work integrated before approval</x:v>
      </x:c>
      <x:c r="G468" s="48" t="str">
        <x:v>dedicated_operating_team</x:v>
      </x:c>
      <x:c r="H468" s="48" t="str">
        <x:v>NO_OR_LIMITED</x:v>
      </x:c>
      <x:c r="I468" s="48" t="str">
        <x:v>6</x:v>
      </x:c>
      <x:c r="J468" s="48" t="str">
        <x:v>6</x:v>
      </x:c>
      <x:c r="K468" s="48" t="str">
        <x:v>0</x:v>
      </x:c>
      <x:c r="L468" s="48" t="str">
        <x:v>0</x:v>
      </x:c>
      <x:c r="M468" s="48" t="str">
        <x:v>6</x:v>
      </x:c>
      <x:c r="N468" s="48" t="str">
        <x:v>0</x:v>
      </x:c>
      <x:c r="O468" s="48" t="str">
        <x:v>0</x:v>
      </x:c>
      <x:c r="P468" s="48" t="str">
        <x:v>0</x:v>
      </x:c>
      <x:c r="Q468" s="48" t="str">
        <x:v>1.000</x:v>
      </x:c>
      <x:c r="R468" s="48" t="str">
        <x:v>DRIVER DOES NOT SEPARATE</x:v>
      </x:c>
      <x:c r="S468" s="48" t="str">
        <x:v>0.000</x:v>
      </x:c>
      <x:c r="T468" s="48" t="str">
        <x:v>NO_OR_LIMITED:N=6,p=1.000; YES_DEDICATED:N=23,p=1.000</x:v>
      </x:c>
      <x:c r="U468" s="48" t="str">
        <x:v>Maximum-minus-minimum prevalence among adequately observed groups is no more than 0.15.</x:v>
      </x:c>
      <x:c r="V468" s="48" t="str">
        <x:v>At least 5 observable manager families in at least 2 driver groups</x:v>
      </x:c>
      <x:c r="W468" s="48" t="str">
        <x:v>&gt;=0.35 separates; &lt;=0.15 does not separate; intermediate is inconclusive/confounded; direct driver-definition tests are CIRCULAR</x:v>
      </x:c>
      <x:c r="X468" s="48" t="str">
        <x:v>MANAGER_SELF_DESCRIPTION; NOT BEHAVIOURAL FREQUENCY</x:v>
      </x:c>
    </x:row>
    <x:row r="469">
      <x:c r="A469" s="48" t="str">
        <x:v>B_GOVERNANCE_SEGMENTATION</x:v>
      </x:c>
      <x:c r="B469" s="48" t="str">
        <x:v>Tier B v1.1 - N=29 rerun</x:v>
      </x:c>
      <x:c r="C469" s="48" t="str">
        <x:v>2026-07-16</x:v>
      </x:c>
      <x:c r="D469" s="48" t="str">
        <x:v>D10</x:v>
      </x:c>
      <x:c r="E469" s="48" t="str">
        <x:v>DILIGENCE_ORGANIZATION</x:v>
      </x:c>
      <x:c r="F469" s="48" t="str">
        <x:v>Legal, tax or structuring work integrated before approval</x:v>
      </x:c>
      <x:c r="G469" s="48" t="str">
        <x:v>dedicated_operating_team</x:v>
      </x:c>
      <x:c r="H469" s="48" t="str">
        <x:v>YES_DEDICATED</x:v>
      </x:c>
      <x:c r="I469" s="48" t="str">
        <x:v>23</x:v>
      </x:c>
      <x:c r="J469" s="48" t="str">
        <x:v>23</x:v>
      </x:c>
      <x:c r="K469" s="48" t="str">
        <x:v>0</x:v>
      </x:c>
      <x:c r="L469" s="48" t="str">
        <x:v>0</x:v>
      </x:c>
      <x:c r="M469" s="48" t="str">
        <x:v>23</x:v>
      </x:c>
      <x:c r="N469" s="48" t="str">
        <x:v>0</x:v>
      </x:c>
      <x:c r="O469" s="48" t="str">
        <x:v>0</x:v>
      </x:c>
      <x:c r="P469" s="48" t="str">
        <x:v>0</x:v>
      </x:c>
      <x:c r="Q469" s="48" t="str">
        <x:v>1.000</x:v>
      </x:c>
      <x:c r="R469" s="48" t="str">
        <x:v>DRIVER DOES NOT SEPARATE</x:v>
      </x:c>
      <x:c r="S469" s="48" t="str">
        <x:v>0.000</x:v>
      </x:c>
      <x:c r="T469" s="48" t="str">
        <x:v>NO_OR_LIMITED:N=6,p=1.000; YES_DEDICATED:N=23,p=1.000</x:v>
      </x:c>
      <x:c r="U469" s="48" t="str">
        <x:v>Maximum-minus-minimum prevalence among adequately observed groups is no more than 0.15.</x:v>
      </x:c>
      <x:c r="V469" s="48" t="str">
        <x:v>At least 5 observable manager families in at least 2 driver groups</x:v>
      </x:c>
      <x:c r="W469" s="48" t="str">
        <x:v>&gt;=0.35 separates; &lt;=0.15 does not separate; intermediate is inconclusive/confounded; direct driver-definition tests are CIRCULAR</x:v>
      </x:c>
      <x:c r="X469" s="48" t="str">
        <x:v>MANAGER_SELF_DESCRIPTION; NOT BEHAVIOURAL FREQUENCY</x:v>
      </x:c>
    </x:row>
    <x:row r="470">
      <x:c r="A470" s="48" t="str">
        <x:v>B_GOVERNANCE_SEGMENTATION</x:v>
      </x:c>
      <x:c r="B470" s="48" t="str">
        <x:v>Tier B v1.1 - N=29 rerun</x:v>
      </x:c>
      <x:c r="C470" s="48" t="str">
        <x:v>2026-07-16</x:v>
      </x:c>
      <x:c r="D470" s="48" t="str">
        <x:v>U01</x:v>
      </x:c>
      <x:c r="E470" s="48" t="str">
        <x:v>UNDERWRITING_DOCUMENTS</x:v>
      </x:c>
      <x:c r="F470" s="48" t="str">
        <x:v>Preliminary model before full diligence</x:v>
      </x:c>
      <x:c r="G470" s="48" t="str">
        <x:v>fund_size_archetype</x:v>
      </x:c>
      <x:c r="H470" s="48" t="str">
        <x:v>LARGE_2_TO_LT_5B</x:v>
      </x:c>
      <x:c r="I470" s="48" t="str">
        <x:v>9</x:v>
      </x:c>
      <x:c r="J470" s="48" t="str">
        <x:v>9</x:v>
      </x:c>
      <x:c r="K470" s="48" t="str">
        <x:v>1</x:v>
      </x:c>
      <x:c r="L470" s="48" t="str">
        <x:v>0</x:v>
      </x:c>
      <x:c r="M470" s="48" t="str">
        <x:v>9</x:v>
      </x:c>
      <x:c r="N470" s="48" t="str">
        <x:v>0</x:v>
      </x:c>
      <x:c r="O470" s="48" t="str">
        <x:v>0</x:v>
      </x:c>
      <x:c r="P470" s="48" t="str">
        <x:v>0</x:v>
      </x:c>
      <x:c r="Q470" s="48" t="str">
        <x:v>1.000</x:v>
      </x:c>
      <x:c r="R470" s="48" t="str">
        <x:v>DRIVER DOES NOT SEPARATE</x:v>
      </x:c>
      <x:c r="S470" s="48" t="str">
        <x:v>0.000</x:v>
      </x:c>
      <x:c r="T470" s="48" t="str">
        <x:v>LARGE_2_TO_LT_5B:N=9,p=1.000; LOWER_MID_LT_2B:N=6,p=1.000; MEGA_GE_5B:N=11,p=1.000</x:v>
      </x:c>
      <x:c r="U470" s="48" t="str">
        <x:v>Maximum-minus-minimum prevalence among adequately observed groups is no more than 0.15.</x:v>
      </x:c>
      <x:c r="V470" s="48" t="str">
        <x:v>At least 5 observable manager families in at least 2 driver groups</x:v>
      </x:c>
      <x:c r="W470" s="48" t="str">
        <x:v>&gt;=0.35 separates; &lt;=0.15 does not separate; intermediate is inconclusive/confounded; direct driver-definition tests are CIRCULAR</x:v>
      </x:c>
      <x:c r="X470" s="48" t="str">
        <x:v>MANAGER_SELF_DESCRIPTION; NOT BEHAVIOURAL FREQUENCY</x:v>
      </x:c>
    </x:row>
    <x:row r="471">
      <x:c r="A471" s="48" t="str">
        <x:v>B_GOVERNANCE_SEGMENTATION</x:v>
      </x:c>
      <x:c r="B471" s="48" t="str">
        <x:v>Tier B v1.1 - N=29 rerun</x:v>
      </x:c>
      <x:c r="C471" s="48" t="str">
        <x:v>2026-07-16</x:v>
      </x:c>
      <x:c r="D471" s="48" t="str">
        <x:v>U01</x:v>
      </x:c>
      <x:c r="E471" s="48" t="str">
        <x:v>UNDERWRITING_DOCUMENTS</x:v>
      </x:c>
      <x:c r="F471" s="48" t="str">
        <x:v>Preliminary model before full diligence</x:v>
      </x:c>
      <x:c r="G471" s="48" t="str">
        <x:v>fund_size_archetype</x:v>
      </x:c>
      <x:c r="H471" s="48" t="str">
        <x:v>LOWER_MID_LT_2B</x:v>
      </x:c>
      <x:c r="I471" s="48" t="str">
        <x:v>8</x:v>
      </x:c>
      <x:c r="J471" s="48" t="str">
        <x:v>6</x:v>
      </x:c>
      <x:c r="K471" s="48" t="str">
        <x:v>0</x:v>
      </x:c>
      <x:c r="L471" s="48" t="str">
        <x:v>0</x:v>
      </x:c>
      <x:c r="M471" s="48" t="str">
        <x:v>6</x:v>
      </x:c>
      <x:c r="N471" s="48" t="str">
        <x:v>2</x:v>
      </x:c>
      <x:c r="O471" s="48" t="str">
        <x:v>0</x:v>
      </x:c>
      <x:c r="P471" s="48" t="str">
        <x:v>0</x:v>
      </x:c>
      <x:c r="Q471" s="48" t="str">
        <x:v>1.000</x:v>
      </x:c>
      <x:c r="R471" s="48" t="str">
        <x:v>DRIVER DOES NOT SEPARATE</x:v>
      </x:c>
      <x:c r="S471" s="48" t="str">
        <x:v>0.000</x:v>
      </x:c>
      <x:c r="T471" s="48" t="str">
        <x:v>LARGE_2_TO_LT_5B:N=9,p=1.000; LOWER_MID_LT_2B:N=6,p=1.000; MEGA_GE_5B:N=11,p=1.000</x:v>
      </x:c>
      <x:c r="U471" s="48" t="str">
        <x:v>Maximum-minus-minimum prevalence among adequately observed groups is no more than 0.15.</x:v>
      </x:c>
      <x:c r="V471" s="48" t="str">
        <x:v>At least 5 observable manager families in at least 2 driver groups</x:v>
      </x:c>
      <x:c r="W471" s="48" t="str">
        <x:v>&gt;=0.35 separates; &lt;=0.15 does not separate; intermediate is inconclusive/confounded; direct driver-definition tests are CIRCULAR</x:v>
      </x:c>
      <x:c r="X471" s="48" t="str">
        <x:v>MANAGER_SELF_DESCRIPTION; NOT BEHAVIOURAL FREQUENCY</x:v>
      </x:c>
    </x:row>
    <x:row r="472">
      <x:c r="A472" s="48" t="str">
        <x:v>B_GOVERNANCE_SEGMENTATION</x:v>
      </x:c>
      <x:c r="B472" s="48" t="str">
        <x:v>Tier B v1.1 - N=29 rerun</x:v>
      </x:c>
      <x:c r="C472" s="48" t="str">
        <x:v>2026-07-16</x:v>
      </x:c>
      <x:c r="D472" s="48" t="str">
        <x:v>U01</x:v>
      </x:c>
      <x:c r="E472" s="48" t="str">
        <x:v>UNDERWRITING_DOCUMENTS</x:v>
      </x:c>
      <x:c r="F472" s="48" t="str">
        <x:v>Preliminary model before full diligence</x:v>
      </x:c>
      <x:c r="G472" s="48" t="str">
        <x:v>fund_size_archetype</x:v>
      </x:c>
      <x:c r="H472" s="48" t="str">
        <x:v>MEGA_GE_5B</x:v>
      </x:c>
      <x:c r="I472" s="48" t="str">
        <x:v>11</x:v>
      </x:c>
      <x:c r="J472" s="48" t="str">
        <x:v>11</x:v>
      </x:c>
      <x:c r="K472" s="48" t="str">
        <x:v>0</x:v>
      </x:c>
      <x:c r="L472" s="48" t="str">
        <x:v>0</x:v>
      </x:c>
      <x:c r="M472" s="48" t="str">
        <x:v>11</x:v>
      </x:c>
      <x:c r="N472" s="48" t="str">
        <x:v>0</x:v>
      </x:c>
      <x:c r="O472" s="48" t="str">
        <x:v>0</x:v>
      </x:c>
      <x:c r="P472" s="48" t="str">
        <x:v>0</x:v>
      </x:c>
      <x:c r="Q472" s="48" t="str">
        <x:v>1.000</x:v>
      </x:c>
      <x:c r="R472" s="48" t="str">
        <x:v>DRIVER DOES NOT SEPARATE</x:v>
      </x:c>
      <x:c r="S472" s="48" t="str">
        <x:v>0.000</x:v>
      </x:c>
      <x:c r="T472" s="48" t="str">
        <x:v>LARGE_2_TO_LT_5B:N=9,p=1.000; LOWER_MID_LT_2B:N=6,p=1.000; MEGA_GE_5B:N=11,p=1.000</x:v>
      </x:c>
      <x:c r="U472" s="48" t="str">
        <x:v>Maximum-minus-minimum prevalence among adequately observed groups is no more than 0.15.</x:v>
      </x:c>
      <x:c r="V472" s="48" t="str">
        <x:v>At least 5 observable manager families in at least 2 driver groups</x:v>
      </x:c>
      <x:c r="W472" s="48" t="str">
        <x:v>&gt;=0.35 separates; &lt;=0.15 does not separate; intermediate is inconclusive/confounded; direct driver-definition tests are CIRCULAR</x:v>
      </x:c>
      <x:c r="X472" s="48" t="str">
        <x:v>MANAGER_SELF_DESCRIPTION; NOT BEHAVIOURAL FREQUENCY</x:v>
      </x:c>
    </x:row>
    <x:row r="473">
      <x:c r="A473" s="48" t="str">
        <x:v>B_GOVERNANCE_SEGMENTATION</x:v>
      </x:c>
      <x:c r="B473" s="48" t="str">
        <x:v>Tier B v1.1 - N=29 rerun</x:v>
      </x:c>
      <x:c r="C473" s="48" t="str">
        <x:v>2026-07-16</x:v>
      </x:c>
      <x:c r="D473" s="48" t="str">
        <x:v>U01</x:v>
      </x:c>
      <x:c r="E473" s="48" t="str">
        <x:v>UNDERWRITING_DOCUMENTS</x:v>
      </x:c>
      <x:c r="F473" s="48" t="str">
        <x:v>Preliminary model before full diligence</x:v>
      </x:c>
      <x:c r="G473" s="48" t="str">
        <x:v>fund_size_archetype</x:v>
      </x:c>
      <x:c r="H473" s="48" t="str">
        <x:v>NOT_APPLICABLE</x:v>
      </x:c>
      <x:c r="I473" s="48" t="str">
        <x:v>1</x:v>
      </x:c>
      <x:c r="J473" s="48" t="str">
        <x:v>1</x:v>
      </x:c>
      <x:c r="K473" s="48" t="str">
        <x:v>0</x:v>
      </x:c>
      <x:c r="L473" s="48" t="str">
        <x:v>0</x:v>
      </x:c>
      <x:c r="M473" s="48" t="str">
        <x:v>1</x:v>
      </x:c>
      <x:c r="N473" s="48" t="str">
        <x:v>0</x:v>
      </x:c>
      <x:c r="O473" s="48" t="str">
        <x:v>0</x:v>
      </x:c>
      <x:c r="P473" s="48" t="str">
        <x:v>0</x:v>
      </x:c>
      <x:c r="Q473" s="48" t="str">
        <x:v>1.000</x:v>
      </x:c>
      <x:c r="R473" s="48" t="str">
        <x:v>DRIVER DOES NOT SEPARATE</x:v>
      </x:c>
      <x:c r="S473" s="48" t="str">
        <x:v>0.000</x:v>
      </x:c>
      <x:c r="T473" s="48" t="str">
        <x:v>LARGE_2_TO_LT_5B:N=9,p=1.000; LOWER_MID_LT_2B:N=6,p=1.000; MEGA_GE_5B:N=11,p=1.000</x:v>
      </x:c>
      <x:c r="U473" s="48" t="str">
        <x:v>Maximum-minus-minimum prevalence among adequately observed groups is no more than 0.15.</x:v>
      </x:c>
      <x:c r="V473" s="48" t="str">
        <x:v>At least 5 observable manager families in at least 2 driver groups</x:v>
      </x:c>
      <x:c r="W473" s="48" t="str">
        <x:v>&gt;=0.35 separates; &lt;=0.15 does not separate; intermediate is inconclusive/confounded; direct driver-definition tests are CIRCULAR</x:v>
      </x:c>
      <x:c r="X473" s="48" t="str">
        <x:v>MANAGER_SELF_DESCRIPTION; NOT BEHAVIOURAL FREQUENCY</x:v>
      </x:c>
    </x:row>
    <x:row r="474">
      <x:c r="A474" s="48" t="str">
        <x:v>B_GOVERNANCE_SEGMENTATION</x:v>
      </x:c>
      <x:c r="B474" s="48" t="str">
        <x:v>Tier B v1.1 - N=29 rerun</x:v>
      </x:c>
      <x:c r="C474" s="48" t="str">
        <x:v>2026-07-16</x:v>
      </x:c>
      <x:c r="D474" s="48" t="str">
        <x:v>U01</x:v>
      </x:c>
      <x:c r="E474" s="48" t="str">
        <x:v>UNDERWRITING_DOCUMENTS</x:v>
      </x:c>
      <x:c r="F474" s="48" t="str">
        <x:v>Preliminary model before full diligence</x:v>
      </x:c>
      <x:c r="G474" s="48" t="str">
        <x:v>strategy</x:v>
      </x:c>
      <x:c r="H474" s="48" t="str">
        <x:v>CONTROL_BUYOUT</x:v>
      </x:c>
      <x:c r="I474" s="48" t="str">
        <x:v>22</x:v>
      </x:c>
      <x:c r="J474" s="48" t="str">
        <x:v>20</x:v>
      </x:c>
      <x:c r="K474" s="48" t="str">
        <x:v>1</x:v>
      </x:c>
      <x:c r="L474" s="48" t="str">
        <x:v>0</x:v>
      </x:c>
      <x:c r="M474" s="48" t="str">
        <x:v>20</x:v>
      </x:c>
      <x:c r="N474" s="48" t="str">
        <x:v>2</x:v>
      </x:c>
      <x:c r="O474" s="48" t="str">
        <x:v>0</x:v>
      </x:c>
      <x:c r="P474" s="48" t="str">
        <x:v>0</x:v>
      </x:c>
      <x:c r="Q474" s="48" t="str">
        <x:v>1.000</x:v>
      </x:c>
      <x:c r="R474" s="48" t="str">
        <x:v>DRIVER DOES NOT SEPARATE</x:v>
      </x:c>
      <x:c r="S474" s="48" t="str">
        <x:v>0.000</x:v>
      </x:c>
      <x:c r="T474" s="48" t="str">
        <x:v>CONTROL_BUYOUT:N=20,p=1.000; GROWTH_CONTROL_HYBRID:N=6,p=1.000</x:v>
      </x:c>
      <x:c r="U474" s="48" t="str">
        <x:v>Maximum-minus-minimum prevalence among adequately observed groups is no more than 0.15.</x:v>
      </x:c>
      <x:c r="V474" s="48" t="str">
        <x:v>At least 5 observable manager families in at least 2 driver groups</x:v>
      </x:c>
      <x:c r="W474" s="48" t="str">
        <x:v>&gt;=0.35 separates; &lt;=0.15 does not separate; intermediate is inconclusive/confounded; direct driver-definition tests are CIRCULAR</x:v>
      </x:c>
      <x:c r="X474" s="48" t="str">
        <x:v>MANAGER_SELF_DESCRIPTION; NOT BEHAVIOURAL FREQUENCY</x:v>
      </x:c>
    </x:row>
    <x:row r="475">
      <x:c r="A475" s="48" t="str">
        <x:v>B_GOVERNANCE_SEGMENTATION</x:v>
      </x:c>
      <x:c r="B475" s="48" t="str">
        <x:v>Tier B v1.1 - N=29 rerun</x:v>
      </x:c>
      <x:c r="C475" s="48" t="str">
        <x:v>2026-07-16</x:v>
      </x:c>
      <x:c r="D475" s="48" t="str">
        <x:v>U01</x:v>
      </x:c>
      <x:c r="E475" s="48" t="str">
        <x:v>UNDERWRITING_DOCUMENTS</x:v>
      </x:c>
      <x:c r="F475" s="48" t="str">
        <x:v>Preliminary model before full diligence</x:v>
      </x:c>
      <x:c r="G475" s="48" t="str">
        <x:v>strategy</x:v>
      </x:c>
      <x:c r="H475" s="48" t="str">
        <x:v>GROWTH_CONTROL_HYBRID</x:v>
      </x:c>
      <x:c r="I475" s="48" t="str">
        <x:v>6</x:v>
      </x:c>
      <x:c r="J475" s="48" t="str">
        <x:v>6</x:v>
      </x:c>
      <x:c r="K475" s="48" t="str">
        <x:v>0</x:v>
      </x:c>
      <x:c r="L475" s="48" t="str">
        <x:v>0</x:v>
      </x:c>
      <x:c r="M475" s="48" t="str">
        <x:v>6</x:v>
      </x:c>
      <x:c r="N475" s="48" t="str">
        <x:v>0</x:v>
      </x:c>
      <x:c r="O475" s="48" t="str">
        <x:v>0</x:v>
      </x:c>
      <x:c r="P475" s="48" t="str">
        <x:v>0</x:v>
      </x:c>
      <x:c r="Q475" s="48" t="str">
        <x:v>1.000</x:v>
      </x:c>
      <x:c r="R475" s="48" t="str">
        <x:v>DRIVER DOES NOT SEPARATE</x:v>
      </x:c>
      <x:c r="S475" s="48" t="str">
        <x:v>0.000</x:v>
      </x:c>
      <x:c r="T475" s="48" t="str">
        <x:v>CONTROL_BUYOUT:N=20,p=1.000; GROWTH_CONTROL_HYBRID:N=6,p=1.000</x:v>
      </x:c>
      <x:c r="U475" s="48" t="str">
        <x:v>Maximum-minus-minimum prevalence among adequately observed groups is no more than 0.15.</x:v>
      </x:c>
      <x:c r="V475" s="48" t="str">
        <x:v>At least 5 observable manager families in at least 2 driver groups</x:v>
      </x:c>
      <x:c r="W475" s="48" t="str">
        <x:v>&gt;=0.35 separates; &lt;=0.15 does not separate; intermediate is inconclusive/confounded; direct driver-definition tests are CIRCULAR</x:v>
      </x:c>
      <x:c r="X475" s="48" t="str">
        <x:v>MANAGER_SELF_DESCRIPTION; NOT BEHAVIOURAL FREQUENCY</x:v>
      </x:c>
    </x:row>
    <x:row r="476">
      <x:c r="A476" s="48" t="str">
        <x:v>B_GOVERNANCE_SEGMENTATION</x:v>
      </x:c>
      <x:c r="B476" s="48" t="str">
        <x:v>Tier B v1.1 - N=29 rerun</x:v>
      </x:c>
      <x:c r="C476" s="48" t="str">
        <x:v>2026-07-16</x:v>
      </x:c>
      <x:c r="D476" s="48" t="str">
        <x:v>U01</x:v>
      </x:c>
      <x:c r="E476" s="48" t="str">
        <x:v>UNDERWRITING_DOCUMENTS</x:v>
      </x:c>
      <x:c r="F476" s="48" t="str">
        <x:v>Preliminary model before full diligence</x:v>
      </x:c>
      <x:c r="G476" s="48" t="str">
        <x:v>strategy</x:v>
      </x:c>
      <x:c r="H476" s="48" t="str">
        <x:v>OPPORTUNISTIC_CONTROL</x:v>
      </x:c>
      <x:c r="I476" s="48" t="str">
        <x:v>1</x:v>
      </x:c>
      <x:c r="J476" s="48" t="str">
        <x:v>1</x:v>
      </x:c>
      <x:c r="K476" s="48" t="str">
        <x:v>0</x:v>
      </x:c>
      <x:c r="L476" s="48" t="str">
        <x:v>0</x:v>
      </x:c>
      <x:c r="M476" s="48" t="str">
        <x:v>1</x:v>
      </x:c>
      <x:c r="N476" s="48" t="str">
        <x:v>0</x:v>
      </x:c>
      <x:c r="O476" s="48" t="str">
        <x:v>0</x:v>
      </x:c>
      <x:c r="P476" s="48" t="str">
        <x:v>0</x:v>
      </x:c>
      <x:c r="Q476" s="48" t="str">
        <x:v>1.000</x:v>
      </x:c>
      <x:c r="R476" s="48" t="str">
        <x:v>DRIVER DOES NOT SEPARATE</x:v>
      </x:c>
      <x:c r="S476" s="48" t="str">
        <x:v>0.000</x:v>
      </x:c>
      <x:c r="T476" s="48" t="str">
        <x:v>CONTROL_BUYOUT:N=20,p=1.000; GROWTH_CONTROL_HYBRID:N=6,p=1.000</x:v>
      </x:c>
      <x:c r="U476" s="48" t="str">
        <x:v>Maximum-minus-minimum prevalence among adequately observed groups is no more than 0.15.</x:v>
      </x:c>
      <x:c r="V476" s="48" t="str">
        <x:v>At least 5 observable manager families in at least 2 driver groups</x:v>
      </x:c>
      <x:c r="W476" s="48" t="str">
        <x:v>&gt;=0.35 separates; &lt;=0.15 does not separate; intermediate is inconclusive/confounded; direct driver-definition tests are CIRCULAR</x:v>
      </x:c>
      <x:c r="X476" s="48" t="str">
        <x:v>MANAGER_SELF_DESCRIPTION; NOT BEHAVIOURAL FREQUENCY</x:v>
      </x:c>
    </x:row>
    <x:row r="477">
      <x:c r="A477" s="48" t="str">
        <x:v>B_GOVERNANCE_SEGMENTATION</x:v>
      </x:c>
      <x:c r="B477" s="48" t="str">
        <x:v>Tier B v1.1 - N=29 rerun</x:v>
      </x:c>
      <x:c r="C477" s="48" t="str">
        <x:v>2026-07-16</x:v>
      </x:c>
      <x:c r="D477" s="48" t="str">
        <x:v>U01</x:v>
      </x:c>
      <x:c r="E477" s="48" t="str">
        <x:v>UNDERWRITING_DOCUMENTS</x:v>
      </x:c>
      <x:c r="F477" s="48" t="str">
        <x:v>Preliminary model before full diligence</x:v>
      </x:c>
      <x:c r="G477" s="48" t="str">
        <x:v>geography</x:v>
      </x:c>
      <x:c r="H477" s="48" t="str">
        <x:v>ASIA_PACIFIC</x:v>
      </x:c>
      <x:c r="I477" s="48" t="str">
        <x:v>4</x:v>
      </x:c>
      <x:c r="J477" s="48" t="str">
        <x:v>4</x:v>
      </x:c>
      <x:c r="K477" s="48" t="str">
        <x:v>0</x:v>
      </x:c>
      <x:c r="L477" s="48" t="str">
        <x:v>0</x:v>
      </x:c>
      <x:c r="M477" s="48" t="str">
        <x:v>4</x:v>
      </x:c>
      <x:c r="N477" s="48" t="str">
        <x:v>0</x:v>
      </x:c>
      <x:c r="O477" s="48" t="str">
        <x:v>0</x:v>
      </x:c>
      <x:c r="P477" s="48" t="str">
        <x:v>0</x:v>
      </x:c>
      <x:c r="Q477" s="48" t="str">
        <x:v>1.000</x:v>
      </x:c>
      <x:c r="R477" s="48" t="str">
        <x:v>DRIVER DOES NOT SEPARATE</x:v>
      </x:c>
      <x:c r="S477" s="48" t="str">
        <x:v>0.000</x:v>
      </x:c>
      <x:c r="T477" s="48" t="str">
        <x:v>GLOBAL_TRANSATLANTIC:N=10,p=1.000; NORTH_AMERICA:N=12,p=1.000</x:v>
      </x:c>
      <x:c r="U477" s="48" t="str">
        <x:v>Maximum-minus-minimum prevalence among adequately observed groups is no more than 0.15.</x:v>
      </x:c>
      <x:c r="V477" s="48" t="str">
        <x:v>At least 5 observable manager families in at least 2 driver groups</x:v>
      </x:c>
      <x:c r="W477" s="48" t="str">
        <x:v>&gt;=0.35 separates; &lt;=0.15 does not separate; intermediate is inconclusive/confounded; direct driver-definition tests are CIRCULAR</x:v>
      </x:c>
      <x:c r="X477" s="48" t="str">
        <x:v>MANAGER_SELF_DESCRIPTION; NOT BEHAVIOURAL FREQUENCY</x:v>
      </x:c>
    </x:row>
    <x:row r="478">
      <x:c r="A478" s="48" t="str">
        <x:v>B_GOVERNANCE_SEGMENTATION</x:v>
      </x:c>
      <x:c r="B478" s="48" t="str">
        <x:v>Tier B v1.1 - N=29 rerun</x:v>
      </x:c>
      <x:c r="C478" s="48" t="str">
        <x:v>2026-07-16</x:v>
      </x:c>
      <x:c r="D478" s="48" t="str">
        <x:v>U01</x:v>
      </x:c>
      <x:c r="E478" s="48" t="str">
        <x:v>UNDERWRITING_DOCUMENTS</x:v>
      </x:c>
      <x:c r="F478" s="48" t="str">
        <x:v>Preliminary model before full diligence</x:v>
      </x:c>
      <x:c r="G478" s="48" t="str">
        <x:v>geography</x:v>
      </x:c>
      <x:c r="H478" s="48" t="str">
        <x:v>EUROPE</x:v>
      </x:c>
      <x:c r="I478" s="48" t="str">
        <x:v>2</x:v>
      </x:c>
      <x:c r="J478" s="48" t="str">
        <x:v>1</x:v>
      </x:c>
      <x:c r="K478" s="48" t="str">
        <x:v>0</x:v>
      </x:c>
      <x:c r="L478" s="48" t="str">
        <x:v>0</x:v>
      </x:c>
      <x:c r="M478" s="48" t="str">
        <x:v>1</x:v>
      </x:c>
      <x:c r="N478" s="48" t="str">
        <x:v>1</x:v>
      </x:c>
      <x:c r="O478" s="48" t="str">
        <x:v>0</x:v>
      </x:c>
      <x:c r="P478" s="48" t="str">
        <x:v>0</x:v>
      </x:c>
      <x:c r="Q478" s="48" t="str">
        <x:v>1.000</x:v>
      </x:c>
      <x:c r="R478" s="48" t="str">
        <x:v>DRIVER DOES NOT SEPARATE</x:v>
      </x:c>
      <x:c r="S478" s="48" t="str">
        <x:v>0.000</x:v>
      </x:c>
      <x:c r="T478" s="48" t="str">
        <x:v>GLOBAL_TRANSATLANTIC:N=10,p=1.000; NORTH_AMERICA:N=12,p=1.000</x:v>
      </x:c>
      <x:c r="U478" s="48" t="str">
        <x:v>Maximum-minus-minimum prevalence among adequately observed groups is no more than 0.15.</x:v>
      </x:c>
      <x:c r="V478" s="48" t="str">
        <x:v>At least 5 observable manager families in at least 2 driver groups</x:v>
      </x:c>
      <x:c r="W478" s="48" t="str">
        <x:v>&gt;=0.35 separates; &lt;=0.15 does not separate; intermediate is inconclusive/confounded; direct driver-definition tests are CIRCULAR</x:v>
      </x:c>
      <x:c r="X478" s="48" t="str">
        <x:v>MANAGER_SELF_DESCRIPTION; NOT BEHAVIOURAL FREQUENCY</x:v>
      </x:c>
    </x:row>
    <x:row r="479">
      <x:c r="A479" s="48" t="str">
        <x:v>B_GOVERNANCE_SEGMENTATION</x:v>
      </x:c>
      <x:c r="B479" s="48" t="str">
        <x:v>Tier B v1.1 - N=29 rerun</x:v>
      </x:c>
      <x:c r="C479" s="48" t="str">
        <x:v>2026-07-16</x:v>
      </x:c>
      <x:c r="D479" s="48" t="str">
        <x:v>U01</x:v>
      </x:c>
      <x:c r="E479" s="48" t="str">
        <x:v>UNDERWRITING_DOCUMENTS</x:v>
      </x:c>
      <x:c r="F479" s="48" t="str">
        <x:v>Preliminary model before full diligence</x:v>
      </x:c>
      <x:c r="G479" s="48" t="str">
        <x:v>geography</x:v>
      </x:c>
      <x:c r="H479" s="48" t="str">
        <x:v>GLOBAL_TRANSATLANTIC</x:v>
      </x:c>
      <x:c r="I479" s="48" t="str">
        <x:v>10</x:v>
      </x:c>
      <x:c r="J479" s="48" t="str">
        <x:v>10</x:v>
      </x:c>
      <x:c r="K479" s="48" t="str">
        <x:v>0</x:v>
      </x:c>
      <x:c r="L479" s="48" t="str">
        <x:v>0</x:v>
      </x:c>
      <x:c r="M479" s="48" t="str">
        <x:v>10</x:v>
      </x:c>
      <x:c r="N479" s="48" t="str">
        <x:v>0</x:v>
      </x:c>
      <x:c r="O479" s="48" t="str">
        <x:v>0</x:v>
      </x:c>
      <x:c r="P479" s="48" t="str">
        <x:v>0</x:v>
      </x:c>
      <x:c r="Q479" s="48" t="str">
        <x:v>1.000</x:v>
      </x:c>
      <x:c r="R479" s="48" t="str">
        <x:v>DRIVER DOES NOT SEPARATE</x:v>
      </x:c>
      <x:c r="S479" s="48" t="str">
        <x:v>0.000</x:v>
      </x:c>
      <x:c r="T479" s="48" t="str">
        <x:v>GLOBAL_TRANSATLANTIC:N=10,p=1.000; NORTH_AMERICA:N=12,p=1.000</x:v>
      </x:c>
      <x:c r="U479" s="48" t="str">
        <x:v>Maximum-minus-minimum prevalence among adequately observed groups is no more than 0.15.</x:v>
      </x:c>
      <x:c r="V479" s="48" t="str">
        <x:v>At least 5 observable manager families in at least 2 driver groups</x:v>
      </x:c>
      <x:c r="W479" s="48" t="str">
        <x:v>&gt;=0.35 separates; &lt;=0.15 does not separate; intermediate is inconclusive/confounded; direct driver-definition tests are CIRCULAR</x:v>
      </x:c>
      <x:c r="X479" s="48" t="str">
        <x:v>MANAGER_SELF_DESCRIPTION; NOT BEHAVIOURAL FREQUENCY</x:v>
      </x:c>
    </x:row>
    <x:row r="480">
      <x:c r="A480" s="48" t="str">
        <x:v>B_GOVERNANCE_SEGMENTATION</x:v>
      </x:c>
      <x:c r="B480" s="48" t="str">
        <x:v>Tier B v1.1 - N=29 rerun</x:v>
      </x:c>
      <x:c r="C480" s="48" t="str">
        <x:v>2026-07-16</x:v>
      </x:c>
      <x:c r="D480" s="48" t="str">
        <x:v>U01</x:v>
      </x:c>
      <x:c r="E480" s="48" t="str">
        <x:v>UNDERWRITING_DOCUMENTS</x:v>
      </x:c>
      <x:c r="F480" s="48" t="str">
        <x:v>Preliminary model before full diligence</x:v>
      </x:c>
      <x:c r="G480" s="48" t="str">
        <x:v>geography</x:v>
      </x:c>
      <x:c r="H480" s="48" t="str">
        <x:v>NORTH_AMERICA</x:v>
      </x:c>
      <x:c r="I480" s="48" t="str">
        <x:v>13</x:v>
      </x:c>
      <x:c r="J480" s="48" t="str">
        <x:v>12</x:v>
      </x:c>
      <x:c r="K480" s="48" t="str">
        <x:v>1</x:v>
      </x:c>
      <x:c r="L480" s="48" t="str">
        <x:v>0</x:v>
      </x:c>
      <x:c r="M480" s="48" t="str">
        <x:v>12</x:v>
      </x:c>
      <x:c r="N480" s="48" t="str">
        <x:v>1</x:v>
      </x:c>
      <x:c r="O480" s="48" t="str">
        <x:v>0</x:v>
      </x:c>
      <x:c r="P480" s="48" t="str">
        <x:v>0</x:v>
      </x:c>
      <x:c r="Q480" s="48" t="str">
        <x:v>1.000</x:v>
      </x:c>
      <x:c r="R480" s="48" t="str">
        <x:v>DRIVER DOES NOT SEPARATE</x:v>
      </x:c>
      <x:c r="S480" s="48" t="str">
        <x:v>0.000</x:v>
      </x:c>
      <x:c r="T480" s="48" t="str">
        <x:v>GLOBAL_TRANSATLANTIC:N=10,p=1.000; NORTH_AMERICA:N=12,p=1.000</x:v>
      </x:c>
      <x:c r="U480" s="48" t="str">
        <x:v>Maximum-minus-minimum prevalence among adequately observed groups is no more than 0.15.</x:v>
      </x:c>
      <x:c r="V480" s="48" t="str">
        <x:v>At least 5 observable manager families in at least 2 driver groups</x:v>
      </x:c>
      <x:c r="W480" s="48" t="str">
        <x:v>&gt;=0.35 separates; &lt;=0.15 does not separate; intermediate is inconclusive/confounded; direct driver-definition tests are CIRCULAR</x:v>
      </x:c>
      <x:c r="X480" s="48" t="str">
        <x:v>MANAGER_SELF_DESCRIPTION; NOT BEHAVIOURAL FREQUENCY</x:v>
      </x:c>
    </x:row>
    <x:row r="481">
      <x:c r="A481" s="48" t="str">
        <x:v>B_GOVERNANCE_SEGMENTATION</x:v>
      </x:c>
      <x:c r="B481" s="48" t="str">
        <x:v>Tier B v1.1 - N=29 rerun</x:v>
      </x:c>
      <x:c r="C481" s="48" t="str">
        <x:v>2026-07-16</x:v>
      </x:c>
      <x:c r="D481" s="48" t="str">
        <x:v>U01</x:v>
      </x:c>
      <x:c r="E481" s="48" t="str">
        <x:v>UNDERWRITING_DOCUMENTS</x:v>
      </x:c>
      <x:c r="F481" s="48" t="str">
        <x:v>Preliminary model before full diligence</x:v>
      </x:c>
      <x:c r="G481" s="48" t="str">
        <x:v>source_vintage_bin</x:v>
      </x:c>
      <x:c r="H481" s="48" t="str">
        <x:v>2018_2020</x:v>
      </x:c>
      <x:c r="I481" s="48" t="str">
        <x:v>6</x:v>
      </x:c>
      <x:c r="J481" s="48" t="str">
        <x:v>5</x:v>
      </x:c>
      <x:c r="K481" s="48" t="str">
        <x:v>1</x:v>
      </x:c>
      <x:c r="L481" s="48" t="str">
        <x:v>0</x:v>
      </x:c>
      <x:c r="M481" s="48" t="str">
        <x:v>5</x:v>
      </x:c>
      <x:c r="N481" s="48" t="str">
        <x:v>1</x:v>
      </x:c>
      <x:c r="O481" s="48" t="str">
        <x:v>0</x:v>
      </x:c>
      <x:c r="P481" s="48" t="str">
        <x:v>0</x:v>
      </x:c>
      <x:c r="Q481" s="48" t="str">
        <x:v>1.000</x:v>
      </x:c>
      <x:c r="R481" s="48" t="str">
        <x:v>DRIVER DOES NOT SEPARATE</x:v>
      </x:c>
      <x:c r="S481" s="48" t="str">
        <x:v>0.000</x:v>
      </x:c>
      <x:c r="T481" s="48" t="str">
        <x:v>2018_2020:N=5,p=1.000; 2021_2023:N=10,p=1.000; 2024_2026:N=12,p=1.000</x:v>
      </x:c>
      <x:c r="U481" s="48" t="str">
        <x:v>Maximum-minus-minimum prevalence among adequately observed groups is no more than 0.15.</x:v>
      </x:c>
      <x:c r="V481" s="48" t="str">
        <x:v>At least 5 observable manager families in at least 2 driver groups</x:v>
      </x:c>
      <x:c r="W481" s="48" t="str">
        <x:v>&gt;=0.35 separates; &lt;=0.15 does not separate; intermediate is inconclusive/confounded; direct driver-definition tests are CIRCULAR</x:v>
      </x:c>
      <x:c r="X481" s="48" t="str">
        <x:v>MANAGER_SELF_DESCRIPTION; NOT BEHAVIOURAL FREQUENCY</x:v>
      </x:c>
    </x:row>
    <x:row r="482">
      <x:c r="A482" s="48" t="str">
        <x:v>B_GOVERNANCE_SEGMENTATION</x:v>
      </x:c>
      <x:c r="B482" s="48" t="str">
        <x:v>Tier B v1.1 - N=29 rerun</x:v>
      </x:c>
      <x:c r="C482" s="48" t="str">
        <x:v>2026-07-16</x:v>
      </x:c>
      <x:c r="D482" s="48" t="str">
        <x:v>U01</x:v>
      </x:c>
      <x:c r="E482" s="48" t="str">
        <x:v>UNDERWRITING_DOCUMENTS</x:v>
      </x:c>
      <x:c r="F482" s="48" t="str">
        <x:v>Preliminary model before full diligence</x:v>
      </x:c>
      <x:c r="G482" s="48" t="str">
        <x:v>source_vintage_bin</x:v>
      </x:c>
      <x:c r="H482" s="48" t="str">
        <x:v>2021_2023</x:v>
      </x:c>
      <x:c r="I482" s="48" t="str">
        <x:v>11</x:v>
      </x:c>
      <x:c r="J482" s="48" t="str">
        <x:v>10</x:v>
      </x:c>
      <x:c r="K482" s="48" t="str">
        <x:v>0</x:v>
      </x:c>
      <x:c r="L482" s="48" t="str">
        <x:v>0</x:v>
      </x:c>
      <x:c r="M482" s="48" t="str">
        <x:v>10</x:v>
      </x:c>
      <x:c r="N482" s="48" t="str">
        <x:v>1</x:v>
      </x:c>
      <x:c r="O482" s="48" t="str">
        <x:v>0</x:v>
      </x:c>
      <x:c r="P482" s="48" t="str">
        <x:v>0</x:v>
      </x:c>
      <x:c r="Q482" s="48" t="str">
        <x:v>1.000</x:v>
      </x:c>
      <x:c r="R482" s="48" t="str">
        <x:v>DRIVER DOES NOT SEPARATE</x:v>
      </x:c>
      <x:c r="S482" s="48" t="str">
        <x:v>0.000</x:v>
      </x:c>
      <x:c r="T482" s="48" t="str">
        <x:v>2018_2020:N=5,p=1.000; 2021_2023:N=10,p=1.000; 2024_2026:N=12,p=1.000</x:v>
      </x:c>
      <x:c r="U482" s="48" t="str">
        <x:v>Maximum-minus-minimum prevalence among adequately observed groups is no more than 0.15.</x:v>
      </x:c>
      <x:c r="V482" s="48" t="str">
        <x:v>At least 5 observable manager families in at least 2 driver groups</x:v>
      </x:c>
      <x:c r="W482" s="48" t="str">
        <x:v>&gt;=0.35 separates; &lt;=0.15 does not separate; intermediate is inconclusive/confounded; direct driver-definition tests are CIRCULAR</x:v>
      </x:c>
      <x:c r="X482" s="48" t="str">
        <x:v>MANAGER_SELF_DESCRIPTION; NOT BEHAVIOURAL FREQUENCY</x:v>
      </x:c>
    </x:row>
    <x:row r="483">
      <x:c r="A483" s="48" t="str">
        <x:v>B_GOVERNANCE_SEGMENTATION</x:v>
      </x:c>
      <x:c r="B483" s="48" t="str">
        <x:v>Tier B v1.1 - N=29 rerun</x:v>
      </x:c>
      <x:c r="C483" s="48" t="str">
        <x:v>2026-07-16</x:v>
      </x:c>
      <x:c r="D483" s="48" t="str">
        <x:v>U01</x:v>
      </x:c>
      <x:c r="E483" s="48" t="str">
        <x:v>UNDERWRITING_DOCUMENTS</x:v>
      </x:c>
      <x:c r="F483" s="48" t="str">
        <x:v>Preliminary model before full diligence</x:v>
      </x:c>
      <x:c r="G483" s="48" t="str">
        <x:v>source_vintage_bin</x:v>
      </x:c>
      <x:c r="H483" s="48" t="str">
        <x:v>2024_2026</x:v>
      </x:c>
      <x:c r="I483" s="48" t="str">
        <x:v>12</x:v>
      </x:c>
      <x:c r="J483" s="48" t="str">
        <x:v>12</x:v>
      </x:c>
      <x:c r="K483" s="48" t="str">
        <x:v>0</x:v>
      </x:c>
      <x:c r="L483" s="48" t="str">
        <x:v>0</x:v>
      </x:c>
      <x:c r="M483" s="48" t="str">
        <x:v>12</x:v>
      </x:c>
      <x:c r="N483" s="48" t="str">
        <x:v>0</x:v>
      </x:c>
      <x:c r="O483" s="48" t="str">
        <x:v>0</x:v>
      </x:c>
      <x:c r="P483" s="48" t="str">
        <x:v>0</x:v>
      </x:c>
      <x:c r="Q483" s="48" t="str">
        <x:v>1.000</x:v>
      </x:c>
      <x:c r="R483" s="48" t="str">
        <x:v>DRIVER DOES NOT SEPARATE</x:v>
      </x:c>
      <x:c r="S483" s="48" t="str">
        <x:v>0.000</x:v>
      </x:c>
      <x:c r="T483" s="48" t="str">
        <x:v>2018_2020:N=5,p=1.000; 2021_2023:N=10,p=1.000; 2024_2026:N=12,p=1.000</x:v>
      </x:c>
      <x:c r="U483" s="48" t="str">
        <x:v>Maximum-minus-minimum prevalence among adequately observed groups is no more than 0.15.</x:v>
      </x:c>
      <x:c r="V483" s="48" t="str">
        <x:v>At least 5 observable manager families in at least 2 driver groups</x:v>
      </x:c>
      <x:c r="W483" s="48" t="str">
        <x:v>&gt;=0.35 separates; &lt;=0.15 does not separate; intermediate is inconclusive/confounded; direct driver-definition tests are CIRCULAR</x:v>
      </x:c>
      <x:c r="X483" s="48" t="str">
        <x:v>MANAGER_SELF_DESCRIPTION; NOT BEHAVIOURAL FREQUENCY</x:v>
      </x:c>
    </x:row>
    <x:row r="484">
      <x:c r="A484" s="48" t="str">
        <x:v>B_GOVERNANCE_SEGMENTATION</x:v>
      </x:c>
      <x:c r="B484" s="48" t="str">
        <x:v>Tier B v1.1 - N=29 rerun</x:v>
      </x:c>
      <x:c r="C484" s="48" t="str">
        <x:v>2026-07-16</x:v>
      </x:c>
      <x:c r="D484" s="48" t="str">
        <x:v>U01</x:v>
      </x:c>
      <x:c r="E484" s="48" t="str">
        <x:v>UNDERWRITING_DOCUMENTS</x:v>
      </x:c>
      <x:c r="F484" s="48" t="str">
        <x:v>Preliminary model before full diligence</x:v>
      </x:c>
      <x:c r="G484" s="48" t="str">
        <x:v>governance_architecture</x:v>
      </x:c>
      <x:c r="H484" s="48" t="str">
        <x:v>IC_FINAL_OR_DE_FACTO</x:v>
      </x:c>
      <x:c r="I484" s="48" t="str">
        <x:v>26</x:v>
      </x:c>
      <x:c r="J484" s="48" t="str">
        <x:v>24</x:v>
      </x:c>
      <x:c r="K484" s="48" t="str">
        <x:v>1</x:v>
      </x:c>
      <x:c r="L484" s="48" t="str">
        <x:v>0</x:v>
      </x:c>
      <x:c r="M484" s="48" t="str">
        <x:v>24</x:v>
      </x:c>
      <x:c r="N484" s="48" t="str">
        <x:v>2</x:v>
      </x:c>
      <x:c r="O484" s="48" t="str">
        <x:v>0</x:v>
      </x:c>
      <x:c r="P484" s="48" t="str">
        <x:v>0</x:v>
      </x:c>
      <x:c r="Q484" s="48" t="str">
        <x:v>1.000</x:v>
      </x:c>
      <x:c r="R484" s="48" t="str">
        <x:v>N TOO SMALL</x:v>
      </x:c>
      <x:c r="S484" s="48" t="str"/>
      <x:c r="T484" s="48" t="str">
        <x:v>IC_FINAL_OR_DE_FACTO:N=24,p=1.000</x:v>
      </x:c>
      <x:c r="U484" s="48" t="str">
        <x:v>Fewer than two driver groups have at least 5 observable manager families.</x:v>
      </x:c>
      <x:c r="V484" s="48" t="str">
        <x:v>At least 5 observable manager families in at least 2 driver groups</x:v>
      </x:c>
      <x:c r="W484" s="48" t="str">
        <x:v>&gt;=0.35 separates; &lt;=0.15 does not separate; intermediate is inconclusive/confounded; direct driver-definition tests are CIRCULAR</x:v>
      </x:c>
      <x:c r="X484" s="48" t="str">
        <x:v>MANAGER_SELF_DESCRIPTION; NOT BEHAVIOURAL FREQUENCY</x:v>
      </x:c>
    </x:row>
    <x:row r="485">
      <x:c r="A485" s="48" t="str">
        <x:v>B_GOVERNANCE_SEGMENTATION</x:v>
      </x:c>
      <x:c r="B485" s="48" t="str">
        <x:v>Tier B v1.1 - N=29 rerun</x:v>
      </x:c>
      <x:c r="C485" s="48" t="str">
        <x:v>2026-07-16</x:v>
      </x:c>
      <x:c r="D485" s="48" t="str">
        <x:v>U01</x:v>
      </x:c>
      <x:c r="E485" s="48" t="str">
        <x:v>UNDERWRITING_DOCUMENTS</x:v>
      </x:c>
      <x:c r="F485" s="48" t="str">
        <x:v>Preliminary model before full diligence</x:v>
      </x:c>
      <x:c r="G485" s="48" t="str">
        <x:v>governance_architecture</x:v>
      </x:c>
      <x:c r="H485" s="48" t="str">
        <x:v>IC_RECOMMENDS_SEPARATE_FINAL_AUTHORITY</x:v>
      </x:c>
      <x:c r="I485" s="48" t="str">
        <x:v>3</x:v>
      </x:c>
      <x:c r="J485" s="48" t="str">
        <x:v>3</x:v>
      </x:c>
      <x:c r="K485" s="48" t="str">
        <x:v>0</x:v>
      </x:c>
      <x:c r="L485" s="48" t="str">
        <x:v>0</x:v>
      </x:c>
      <x:c r="M485" s="48" t="str">
        <x:v>3</x:v>
      </x:c>
      <x:c r="N485" s="48" t="str">
        <x:v>0</x:v>
      </x:c>
      <x:c r="O485" s="48" t="str">
        <x:v>0</x:v>
      </x:c>
      <x:c r="P485" s="48" t="str">
        <x:v>0</x:v>
      </x:c>
      <x:c r="Q485" s="48" t="str">
        <x:v>1.000</x:v>
      </x:c>
      <x:c r="R485" s="48" t="str">
        <x:v>N TOO SMALL</x:v>
      </x:c>
      <x:c r="S485" s="48" t="str"/>
      <x:c r="T485" s="48" t="str">
        <x:v>IC_FINAL_OR_DE_FACTO:N=24,p=1.000</x:v>
      </x:c>
      <x:c r="U485" s="48" t="str">
        <x:v>Fewer than two driver groups have at least 5 observable manager families.</x:v>
      </x:c>
      <x:c r="V485" s="48" t="str">
        <x:v>At least 5 observable manager families in at least 2 driver groups</x:v>
      </x:c>
      <x:c r="W485" s="48" t="str">
        <x:v>&gt;=0.35 separates; &lt;=0.15 does not separate; intermediate is inconclusive/confounded; direct driver-definition tests are CIRCULAR</x:v>
      </x:c>
      <x:c r="X485" s="48" t="str">
        <x:v>MANAGER_SELF_DESCRIPTION; NOT BEHAVIOURAL FREQUENCY</x:v>
      </x:c>
    </x:row>
    <x:row r="486">
      <x:c r="A486" s="48" t="str">
        <x:v>B_GOVERNANCE_SEGMENTATION</x:v>
      </x:c>
      <x:c r="B486" s="48" t="str">
        <x:v>Tier B v1.1 - N=29 rerun</x:v>
      </x:c>
      <x:c r="C486" s="48" t="str">
        <x:v>2026-07-16</x:v>
      </x:c>
      <x:c r="D486" s="48" t="str">
        <x:v>U01</x:v>
      </x:c>
      <x:c r="E486" s="48" t="str">
        <x:v>UNDERWRITING_DOCUMENTS</x:v>
      </x:c>
      <x:c r="F486" s="48" t="str">
        <x:v>Preliminary model before full diligence</x:v>
      </x:c>
      <x:c r="G486" s="48" t="str">
        <x:v>dedicated_operating_team</x:v>
      </x:c>
      <x:c r="H486" s="48" t="str">
        <x:v>NO_OR_LIMITED</x:v>
      </x:c>
      <x:c r="I486" s="48" t="str">
        <x:v>6</x:v>
      </x:c>
      <x:c r="J486" s="48" t="str">
        <x:v>4</x:v>
      </x:c>
      <x:c r="K486" s="48" t="str">
        <x:v>0</x:v>
      </x:c>
      <x:c r="L486" s="48" t="str">
        <x:v>0</x:v>
      </x:c>
      <x:c r="M486" s="48" t="str">
        <x:v>4</x:v>
      </x:c>
      <x:c r="N486" s="48" t="str">
        <x:v>2</x:v>
      </x:c>
      <x:c r="O486" s="48" t="str">
        <x:v>0</x:v>
      </x:c>
      <x:c r="P486" s="48" t="str">
        <x:v>0</x:v>
      </x:c>
      <x:c r="Q486" s="48" t="str">
        <x:v>1.000</x:v>
      </x:c>
      <x:c r="R486" s="48" t="str">
        <x:v>N TOO SMALL</x:v>
      </x:c>
      <x:c r="S486" s="48" t="str"/>
      <x:c r="T486" s="48" t="str">
        <x:v>YES_DEDICATED:N=23,p=1.000</x:v>
      </x:c>
      <x:c r="U486" s="48" t="str">
        <x:v>Fewer than two driver groups have at least 5 observable manager families.</x:v>
      </x:c>
      <x:c r="V486" s="48" t="str">
        <x:v>At least 5 observable manager families in at least 2 driver groups</x:v>
      </x:c>
      <x:c r="W486" s="48" t="str">
        <x:v>&gt;=0.35 separates; &lt;=0.15 does not separate; intermediate is inconclusive/confounded; direct driver-definition tests are CIRCULAR</x:v>
      </x:c>
      <x:c r="X486" s="48" t="str">
        <x:v>MANAGER_SELF_DESCRIPTION; NOT BEHAVIOURAL FREQUENCY</x:v>
      </x:c>
    </x:row>
    <x:row r="487">
      <x:c r="A487" s="48" t="str">
        <x:v>B_GOVERNANCE_SEGMENTATION</x:v>
      </x:c>
      <x:c r="B487" s="48" t="str">
        <x:v>Tier B v1.1 - N=29 rerun</x:v>
      </x:c>
      <x:c r="C487" s="48" t="str">
        <x:v>2026-07-16</x:v>
      </x:c>
      <x:c r="D487" s="48" t="str">
        <x:v>U01</x:v>
      </x:c>
      <x:c r="E487" s="48" t="str">
        <x:v>UNDERWRITING_DOCUMENTS</x:v>
      </x:c>
      <x:c r="F487" s="48" t="str">
        <x:v>Preliminary model before full diligence</x:v>
      </x:c>
      <x:c r="G487" s="48" t="str">
        <x:v>dedicated_operating_team</x:v>
      </x:c>
      <x:c r="H487" s="48" t="str">
        <x:v>YES_DEDICATED</x:v>
      </x:c>
      <x:c r="I487" s="48" t="str">
        <x:v>23</x:v>
      </x:c>
      <x:c r="J487" s="48" t="str">
        <x:v>23</x:v>
      </x:c>
      <x:c r="K487" s="48" t="str">
        <x:v>1</x:v>
      </x:c>
      <x:c r="L487" s="48" t="str">
        <x:v>0</x:v>
      </x:c>
      <x:c r="M487" s="48" t="str">
        <x:v>23</x:v>
      </x:c>
      <x:c r="N487" s="48" t="str">
        <x:v>0</x:v>
      </x:c>
      <x:c r="O487" s="48" t="str">
        <x:v>0</x:v>
      </x:c>
      <x:c r="P487" s="48" t="str">
        <x:v>0</x:v>
      </x:c>
      <x:c r="Q487" s="48" t="str">
        <x:v>1.000</x:v>
      </x:c>
      <x:c r="R487" s="48" t="str">
        <x:v>N TOO SMALL</x:v>
      </x:c>
      <x:c r="S487" s="48" t="str"/>
      <x:c r="T487" s="48" t="str">
        <x:v>YES_DEDICATED:N=23,p=1.000</x:v>
      </x:c>
      <x:c r="U487" s="48" t="str">
        <x:v>Fewer than two driver groups have at least 5 observable manager families.</x:v>
      </x:c>
      <x:c r="V487" s="48" t="str">
        <x:v>At least 5 observable manager families in at least 2 driver groups</x:v>
      </x:c>
      <x:c r="W487" s="48" t="str">
        <x:v>&gt;=0.35 separates; &lt;=0.15 does not separate; intermediate is inconclusive/confounded; direct driver-definition tests are CIRCULAR</x:v>
      </x:c>
      <x:c r="X487" s="48" t="str">
        <x:v>MANAGER_SELF_DESCRIPTION; NOT BEHAVIOURAL FREQUENCY</x:v>
      </x:c>
    </x:row>
    <x:row r="488">
      <x:c r="A488" s="48" t="str">
        <x:v>B_GOVERNANCE_SEGMENTATION</x:v>
      </x:c>
      <x:c r="B488" s="48" t="str">
        <x:v>Tier B v1.1 - N=29 rerun</x:v>
      </x:c>
      <x:c r="C488" s="48" t="str">
        <x:v>2026-07-16</x:v>
      </x:c>
      <x:c r="D488" s="48" t="str">
        <x:v>U02</x:v>
      </x:c>
      <x:c r="E488" s="48" t="str">
        <x:v>UNDERWRITING_DOCUMENTS</x:v>
      </x:c>
      <x:c r="F488" s="48" t="str">
        <x:v>Explicit scenario, sensitivity or downside testing</x:v>
      </x:c>
      <x:c r="G488" s="48" t="str">
        <x:v>fund_size_archetype</x:v>
      </x:c>
      <x:c r="H488" s="48" t="str">
        <x:v>LARGE_2_TO_LT_5B</x:v>
      </x:c>
      <x:c r="I488" s="48" t="str">
        <x:v>9</x:v>
      </x:c>
      <x:c r="J488" s="48" t="str">
        <x:v>9</x:v>
      </x:c>
      <x:c r="K488" s="48" t="str">
        <x:v>0</x:v>
      </x:c>
      <x:c r="L488" s="48" t="str">
        <x:v>0</x:v>
      </x:c>
      <x:c r="M488" s="48" t="str">
        <x:v>9</x:v>
      </x:c>
      <x:c r="N488" s="48" t="str">
        <x:v>0</x:v>
      </x:c>
      <x:c r="O488" s="48" t="str">
        <x:v>0</x:v>
      </x:c>
      <x:c r="P488" s="48" t="str">
        <x:v>0</x:v>
      </x:c>
      <x:c r="Q488" s="48" t="str">
        <x:v>1.000</x:v>
      </x:c>
      <x:c r="R488" s="48" t="str">
        <x:v>DRIVER DOES NOT SEPARATE</x:v>
      </x:c>
      <x:c r="S488" s="48" t="str">
        <x:v>0.000</x:v>
      </x:c>
      <x:c r="T488" s="48" t="str">
        <x:v>LARGE_2_TO_LT_5B:N=9,p=1.000; LOWER_MID_LT_2B:N=7,p=1.000; MEGA_GE_5B:N=11,p=1.000</x:v>
      </x:c>
      <x:c r="U488" s="48" t="str">
        <x:v>Maximum-minus-minimum prevalence among adequately observed groups is no more than 0.15.</x:v>
      </x:c>
      <x:c r="V488" s="48" t="str">
        <x:v>At least 5 observable manager families in at least 2 driver groups</x:v>
      </x:c>
      <x:c r="W488" s="48" t="str">
        <x:v>&gt;=0.35 separates; &lt;=0.15 does not separate; intermediate is inconclusive/confounded; direct driver-definition tests are CIRCULAR</x:v>
      </x:c>
      <x:c r="X488" s="48" t="str">
        <x:v>MANAGER_SELF_DESCRIPTION; NOT BEHAVIOURAL FREQUENCY</x:v>
      </x:c>
    </x:row>
    <x:row r="489">
      <x:c r="A489" s="48" t="str">
        <x:v>B_GOVERNANCE_SEGMENTATION</x:v>
      </x:c>
      <x:c r="B489" s="48" t="str">
        <x:v>Tier B v1.1 - N=29 rerun</x:v>
      </x:c>
      <x:c r="C489" s="48" t="str">
        <x:v>2026-07-16</x:v>
      </x:c>
      <x:c r="D489" s="48" t="str">
        <x:v>U02</x:v>
      </x:c>
      <x:c r="E489" s="48" t="str">
        <x:v>UNDERWRITING_DOCUMENTS</x:v>
      </x:c>
      <x:c r="F489" s="48" t="str">
        <x:v>Explicit scenario, sensitivity or downside testing</x:v>
      </x:c>
      <x:c r="G489" s="48" t="str">
        <x:v>fund_size_archetype</x:v>
      </x:c>
      <x:c r="H489" s="48" t="str">
        <x:v>LOWER_MID_LT_2B</x:v>
      </x:c>
      <x:c r="I489" s="48" t="str">
        <x:v>8</x:v>
      </x:c>
      <x:c r="J489" s="48" t="str">
        <x:v>7</x:v>
      </x:c>
      <x:c r="K489" s="48" t="str">
        <x:v>2</x:v>
      </x:c>
      <x:c r="L489" s="48" t="str">
        <x:v>0</x:v>
      </x:c>
      <x:c r="M489" s="48" t="str">
        <x:v>7</x:v>
      </x:c>
      <x:c r="N489" s="48" t="str">
        <x:v>1</x:v>
      </x:c>
      <x:c r="O489" s="48" t="str">
        <x:v>0</x:v>
      </x:c>
      <x:c r="P489" s="48" t="str">
        <x:v>0</x:v>
      </x:c>
      <x:c r="Q489" s="48" t="str">
        <x:v>1.000</x:v>
      </x:c>
      <x:c r="R489" s="48" t="str">
        <x:v>DRIVER DOES NOT SEPARATE</x:v>
      </x:c>
      <x:c r="S489" s="48" t="str">
        <x:v>0.000</x:v>
      </x:c>
      <x:c r="T489" s="48" t="str">
        <x:v>LARGE_2_TO_LT_5B:N=9,p=1.000; LOWER_MID_LT_2B:N=7,p=1.000; MEGA_GE_5B:N=11,p=1.000</x:v>
      </x:c>
      <x:c r="U489" s="48" t="str">
        <x:v>Maximum-minus-minimum prevalence among adequately observed groups is no more than 0.15.</x:v>
      </x:c>
      <x:c r="V489" s="48" t="str">
        <x:v>At least 5 observable manager families in at least 2 driver groups</x:v>
      </x:c>
      <x:c r="W489" s="48" t="str">
        <x:v>&gt;=0.35 separates; &lt;=0.15 does not separate; intermediate is inconclusive/confounded; direct driver-definition tests are CIRCULAR</x:v>
      </x:c>
      <x:c r="X489" s="48" t="str">
        <x:v>MANAGER_SELF_DESCRIPTION; NOT BEHAVIOURAL FREQUENCY</x:v>
      </x:c>
    </x:row>
    <x:row r="490">
      <x:c r="A490" s="48" t="str">
        <x:v>B_GOVERNANCE_SEGMENTATION</x:v>
      </x:c>
      <x:c r="B490" s="48" t="str">
        <x:v>Tier B v1.1 - N=29 rerun</x:v>
      </x:c>
      <x:c r="C490" s="48" t="str">
        <x:v>2026-07-16</x:v>
      </x:c>
      <x:c r="D490" s="48" t="str">
        <x:v>U02</x:v>
      </x:c>
      <x:c r="E490" s="48" t="str">
        <x:v>UNDERWRITING_DOCUMENTS</x:v>
      </x:c>
      <x:c r="F490" s="48" t="str">
        <x:v>Explicit scenario, sensitivity or downside testing</x:v>
      </x:c>
      <x:c r="G490" s="48" t="str">
        <x:v>fund_size_archetype</x:v>
      </x:c>
      <x:c r="H490" s="48" t="str">
        <x:v>MEGA_GE_5B</x:v>
      </x:c>
      <x:c r="I490" s="48" t="str">
        <x:v>11</x:v>
      </x:c>
      <x:c r="J490" s="48" t="str">
        <x:v>11</x:v>
      </x:c>
      <x:c r="K490" s="48" t="str">
        <x:v>0</x:v>
      </x:c>
      <x:c r="L490" s="48" t="str">
        <x:v>0</x:v>
      </x:c>
      <x:c r="M490" s="48" t="str">
        <x:v>11</x:v>
      </x:c>
      <x:c r="N490" s="48" t="str">
        <x:v>0</x:v>
      </x:c>
      <x:c r="O490" s="48" t="str">
        <x:v>0</x:v>
      </x:c>
      <x:c r="P490" s="48" t="str">
        <x:v>0</x:v>
      </x:c>
      <x:c r="Q490" s="48" t="str">
        <x:v>1.000</x:v>
      </x:c>
      <x:c r="R490" s="48" t="str">
        <x:v>DRIVER DOES NOT SEPARATE</x:v>
      </x:c>
      <x:c r="S490" s="48" t="str">
        <x:v>0.000</x:v>
      </x:c>
      <x:c r="T490" s="48" t="str">
        <x:v>LARGE_2_TO_LT_5B:N=9,p=1.000; LOWER_MID_LT_2B:N=7,p=1.000; MEGA_GE_5B:N=11,p=1.000</x:v>
      </x:c>
      <x:c r="U490" s="48" t="str">
        <x:v>Maximum-minus-minimum prevalence among adequately observed groups is no more than 0.15.</x:v>
      </x:c>
      <x:c r="V490" s="48" t="str">
        <x:v>At least 5 observable manager families in at least 2 driver groups</x:v>
      </x:c>
      <x:c r="W490" s="48" t="str">
        <x:v>&gt;=0.35 separates; &lt;=0.15 does not separate; intermediate is inconclusive/confounded; direct driver-definition tests are CIRCULAR</x:v>
      </x:c>
      <x:c r="X490" s="48" t="str">
        <x:v>MANAGER_SELF_DESCRIPTION; NOT BEHAVIOURAL FREQUENCY</x:v>
      </x:c>
    </x:row>
    <x:row r="491">
      <x:c r="A491" s="48" t="str">
        <x:v>B_GOVERNANCE_SEGMENTATION</x:v>
      </x:c>
      <x:c r="B491" s="48" t="str">
        <x:v>Tier B v1.1 - N=29 rerun</x:v>
      </x:c>
      <x:c r="C491" s="48" t="str">
        <x:v>2026-07-16</x:v>
      </x:c>
      <x:c r="D491" s="48" t="str">
        <x:v>U02</x:v>
      </x:c>
      <x:c r="E491" s="48" t="str">
        <x:v>UNDERWRITING_DOCUMENTS</x:v>
      </x:c>
      <x:c r="F491" s="48" t="str">
        <x:v>Explicit scenario, sensitivity or downside testing</x:v>
      </x:c>
      <x:c r="G491" s="48" t="str">
        <x:v>fund_size_archetype</x:v>
      </x:c>
      <x:c r="H491" s="48" t="str">
        <x:v>NOT_APPLICABLE</x:v>
      </x:c>
      <x:c r="I491" s="48" t="str">
        <x:v>1</x:v>
      </x:c>
      <x:c r="J491" s="48" t="str">
        <x:v>1</x:v>
      </x:c>
      <x:c r="K491" s="48" t="str">
        <x:v>1</x:v>
      </x:c>
      <x:c r="L491" s="48" t="str">
        <x:v>0</x:v>
      </x:c>
      <x:c r="M491" s="48" t="str">
        <x:v>1</x:v>
      </x:c>
      <x:c r="N491" s="48" t="str">
        <x:v>0</x:v>
      </x:c>
      <x:c r="O491" s="48" t="str">
        <x:v>0</x:v>
      </x:c>
      <x:c r="P491" s="48" t="str">
        <x:v>0</x:v>
      </x:c>
      <x:c r="Q491" s="48" t="str">
        <x:v>1.000</x:v>
      </x:c>
      <x:c r="R491" s="48" t="str">
        <x:v>DRIVER DOES NOT SEPARATE</x:v>
      </x:c>
      <x:c r="S491" s="48" t="str">
        <x:v>0.000</x:v>
      </x:c>
      <x:c r="T491" s="48" t="str">
        <x:v>LARGE_2_TO_LT_5B:N=9,p=1.000; LOWER_MID_LT_2B:N=7,p=1.000; MEGA_GE_5B:N=11,p=1.000</x:v>
      </x:c>
      <x:c r="U491" s="48" t="str">
        <x:v>Maximum-minus-minimum prevalence among adequately observed groups is no more than 0.15.</x:v>
      </x:c>
      <x:c r="V491" s="48" t="str">
        <x:v>At least 5 observable manager families in at least 2 driver groups</x:v>
      </x:c>
      <x:c r="W491" s="48" t="str">
        <x:v>&gt;=0.35 separates; &lt;=0.15 does not separate; intermediate is inconclusive/confounded; direct driver-definition tests are CIRCULAR</x:v>
      </x:c>
      <x:c r="X491" s="48" t="str">
        <x:v>MANAGER_SELF_DESCRIPTION; NOT BEHAVIOURAL FREQUENCY</x:v>
      </x:c>
    </x:row>
    <x:row r="492">
      <x:c r="A492" s="48" t="str">
        <x:v>B_GOVERNANCE_SEGMENTATION</x:v>
      </x:c>
      <x:c r="B492" s="48" t="str">
        <x:v>Tier B v1.1 - N=29 rerun</x:v>
      </x:c>
      <x:c r="C492" s="48" t="str">
        <x:v>2026-07-16</x:v>
      </x:c>
      <x:c r="D492" s="48" t="str">
        <x:v>U02</x:v>
      </x:c>
      <x:c r="E492" s="48" t="str">
        <x:v>UNDERWRITING_DOCUMENTS</x:v>
      </x:c>
      <x:c r="F492" s="48" t="str">
        <x:v>Explicit scenario, sensitivity or downside testing</x:v>
      </x:c>
      <x:c r="G492" s="48" t="str">
        <x:v>strategy</x:v>
      </x:c>
      <x:c r="H492" s="48" t="str">
        <x:v>CONTROL_BUYOUT</x:v>
      </x:c>
      <x:c r="I492" s="48" t="str">
        <x:v>22</x:v>
      </x:c>
      <x:c r="J492" s="48" t="str">
        <x:v>21</x:v>
      </x:c>
      <x:c r="K492" s="48" t="str">
        <x:v>1</x:v>
      </x:c>
      <x:c r="L492" s="48" t="str">
        <x:v>0</x:v>
      </x:c>
      <x:c r="M492" s="48" t="str">
        <x:v>21</x:v>
      </x:c>
      <x:c r="N492" s="48" t="str">
        <x:v>1</x:v>
      </x:c>
      <x:c r="O492" s="48" t="str">
        <x:v>0</x:v>
      </x:c>
      <x:c r="P492" s="48" t="str">
        <x:v>0</x:v>
      </x:c>
      <x:c r="Q492" s="48" t="str">
        <x:v>1.000</x:v>
      </x:c>
      <x:c r="R492" s="48" t="str">
        <x:v>DRIVER DOES NOT SEPARATE</x:v>
      </x:c>
      <x:c r="S492" s="48" t="str">
        <x:v>0.000</x:v>
      </x:c>
      <x:c r="T492" s="48" t="str">
        <x:v>CONTROL_BUYOUT:N=21,p=1.000; GROWTH_CONTROL_HYBRID:N=6,p=1.000</x:v>
      </x:c>
      <x:c r="U492" s="48" t="str">
        <x:v>Maximum-minus-minimum prevalence among adequately observed groups is no more than 0.15.</x:v>
      </x:c>
      <x:c r="V492" s="48" t="str">
        <x:v>At least 5 observable manager families in at least 2 driver groups</x:v>
      </x:c>
      <x:c r="W492" s="48" t="str">
        <x:v>&gt;=0.35 separates; &lt;=0.15 does not separate; intermediate is inconclusive/confounded; direct driver-definition tests are CIRCULAR</x:v>
      </x:c>
      <x:c r="X492" s="48" t="str">
        <x:v>MANAGER_SELF_DESCRIPTION; NOT BEHAVIOURAL FREQUENCY</x:v>
      </x:c>
    </x:row>
    <x:row r="493">
      <x:c r="A493" s="48" t="str">
        <x:v>B_GOVERNANCE_SEGMENTATION</x:v>
      </x:c>
      <x:c r="B493" s="48" t="str">
        <x:v>Tier B v1.1 - N=29 rerun</x:v>
      </x:c>
      <x:c r="C493" s="48" t="str">
        <x:v>2026-07-16</x:v>
      </x:c>
      <x:c r="D493" s="48" t="str">
        <x:v>U02</x:v>
      </x:c>
      <x:c r="E493" s="48" t="str">
        <x:v>UNDERWRITING_DOCUMENTS</x:v>
      </x:c>
      <x:c r="F493" s="48" t="str">
        <x:v>Explicit scenario, sensitivity or downside testing</x:v>
      </x:c>
      <x:c r="G493" s="48" t="str">
        <x:v>strategy</x:v>
      </x:c>
      <x:c r="H493" s="48" t="str">
        <x:v>GROWTH_CONTROL_HYBRID</x:v>
      </x:c>
      <x:c r="I493" s="48" t="str">
        <x:v>6</x:v>
      </x:c>
      <x:c r="J493" s="48" t="str">
        <x:v>6</x:v>
      </x:c>
      <x:c r="K493" s="48" t="str">
        <x:v>2</x:v>
      </x:c>
      <x:c r="L493" s="48" t="str">
        <x:v>0</x:v>
      </x:c>
      <x:c r="M493" s="48" t="str">
        <x:v>6</x:v>
      </x:c>
      <x:c r="N493" s="48" t="str">
        <x:v>0</x:v>
      </x:c>
      <x:c r="O493" s="48" t="str">
        <x:v>0</x:v>
      </x:c>
      <x:c r="P493" s="48" t="str">
        <x:v>0</x:v>
      </x:c>
      <x:c r="Q493" s="48" t="str">
        <x:v>1.000</x:v>
      </x:c>
      <x:c r="R493" s="48" t="str">
        <x:v>DRIVER DOES NOT SEPARATE</x:v>
      </x:c>
      <x:c r="S493" s="48" t="str">
        <x:v>0.000</x:v>
      </x:c>
      <x:c r="T493" s="48" t="str">
        <x:v>CONTROL_BUYOUT:N=21,p=1.000; GROWTH_CONTROL_HYBRID:N=6,p=1.000</x:v>
      </x:c>
      <x:c r="U493" s="48" t="str">
        <x:v>Maximum-minus-minimum prevalence among adequately observed groups is no more than 0.15.</x:v>
      </x:c>
      <x:c r="V493" s="48" t="str">
        <x:v>At least 5 observable manager families in at least 2 driver groups</x:v>
      </x:c>
      <x:c r="W493" s="48" t="str">
        <x:v>&gt;=0.35 separates; &lt;=0.15 does not separate; intermediate is inconclusive/confounded; direct driver-definition tests are CIRCULAR</x:v>
      </x:c>
      <x:c r="X493" s="48" t="str">
        <x:v>MANAGER_SELF_DESCRIPTION; NOT BEHAVIOURAL FREQUENCY</x:v>
      </x:c>
    </x:row>
    <x:row r="494">
      <x:c r="A494" s="48" t="str">
        <x:v>B_GOVERNANCE_SEGMENTATION</x:v>
      </x:c>
      <x:c r="B494" s="48" t="str">
        <x:v>Tier B v1.1 - N=29 rerun</x:v>
      </x:c>
      <x:c r="C494" s="48" t="str">
        <x:v>2026-07-16</x:v>
      </x:c>
      <x:c r="D494" s="48" t="str">
        <x:v>U02</x:v>
      </x:c>
      <x:c r="E494" s="48" t="str">
        <x:v>UNDERWRITING_DOCUMENTS</x:v>
      </x:c>
      <x:c r="F494" s="48" t="str">
        <x:v>Explicit scenario, sensitivity or downside testing</x:v>
      </x:c>
      <x:c r="G494" s="48" t="str">
        <x:v>strategy</x:v>
      </x:c>
      <x:c r="H494" s="48" t="str">
        <x:v>OPPORTUNISTIC_CONTROL</x:v>
      </x:c>
      <x:c r="I494" s="48" t="str">
        <x:v>1</x:v>
      </x:c>
      <x:c r="J494" s="48" t="str">
        <x:v>1</x:v>
      </x:c>
      <x:c r="K494" s="48" t="str">
        <x:v>0</x:v>
      </x:c>
      <x:c r="L494" s="48" t="str">
        <x:v>0</x:v>
      </x:c>
      <x:c r="M494" s="48" t="str">
        <x:v>1</x:v>
      </x:c>
      <x:c r="N494" s="48" t="str">
        <x:v>0</x:v>
      </x:c>
      <x:c r="O494" s="48" t="str">
        <x:v>0</x:v>
      </x:c>
      <x:c r="P494" s="48" t="str">
        <x:v>0</x:v>
      </x:c>
      <x:c r="Q494" s="48" t="str">
        <x:v>1.000</x:v>
      </x:c>
      <x:c r="R494" s="48" t="str">
        <x:v>DRIVER DOES NOT SEPARATE</x:v>
      </x:c>
      <x:c r="S494" s="48" t="str">
        <x:v>0.000</x:v>
      </x:c>
      <x:c r="T494" s="48" t="str">
        <x:v>CONTROL_BUYOUT:N=21,p=1.000; GROWTH_CONTROL_HYBRID:N=6,p=1.000</x:v>
      </x:c>
      <x:c r="U494" s="48" t="str">
        <x:v>Maximum-minus-minimum prevalence among adequately observed groups is no more than 0.15.</x:v>
      </x:c>
      <x:c r="V494" s="48" t="str">
        <x:v>At least 5 observable manager families in at least 2 driver groups</x:v>
      </x:c>
      <x:c r="W494" s="48" t="str">
        <x:v>&gt;=0.35 separates; &lt;=0.15 does not separate; intermediate is inconclusive/confounded; direct driver-definition tests are CIRCULAR</x:v>
      </x:c>
      <x:c r="X494" s="48" t="str">
        <x:v>MANAGER_SELF_DESCRIPTION; NOT BEHAVIOURAL FREQUENCY</x:v>
      </x:c>
    </x:row>
    <x:row r="495">
      <x:c r="A495" s="48" t="str">
        <x:v>B_GOVERNANCE_SEGMENTATION</x:v>
      </x:c>
      <x:c r="B495" s="48" t="str">
        <x:v>Tier B v1.1 - N=29 rerun</x:v>
      </x:c>
      <x:c r="C495" s="48" t="str">
        <x:v>2026-07-16</x:v>
      </x:c>
      <x:c r="D495" s="48" t="str">
        <x:v>U02</x:v>
      </x:c>
      <x:c r="E495" s="48" t="str">
        <x:v>UNDERWRITING_DOCUMENTS</x:v>
      </x:c>
      <x:c r="F495" s="48" t="str">
        <x:v>Explicit scenario, sensitivity or downside testing</x:v>
      </x:c>
      <x:c r="G495" s="48" t="str">
        <x:v>geography</x:v>
      </x:c>
      <x:c r="H495" s="48" t="str">
        <x:v>ASIA_PACIFIC</x:v>
      </x:c>
      <x:c r="I495" s="48" t="str">
        <x:v>4</x:v>
      </x:c>
      <x:c r="J495" s="48" t="str">
        <x:v>4</x:v>
      </x:c>
      <x:c r="K495" s="48" t="str">
        <x:v>0</x:v>
      </x:c>
      <x:c r="L495" s="48" t="str">
        <x:v>0</x:v>
      </x:c>
      <x:c r="M495" s="48" t="str">
        <x:v>4</x:v>
      </x:c>
      <x:c r="N495" s="48" t="str">
        <x:v>0</x:v>
      </x:c>
      <x:c r="O495" s="48" t="str">
        <x:v>0</x:v>
      </x:c>
      <x:c r="P495" s="48" t="str">
        <x:v>0</x:v>
      </x:c>
      <x:c r="Q495" s="48" t="str">
        <x:v>1.000</x:v>
      </x:c>
      <x:c r="R495" s="48" t="str">
        <x:v>DRIVER DOES NOT SEPARATE</x:v>
      </x:c>
      <x:c r="S495" s="48" t="str">
        <x:v>0.000</x:v>
      </x:c>
      <x:c r="T495" s="48" t="str">
        <x:v>GLOBAL_TRANSATLANTIC:N=10,p=1.000; NORTH_AMERICA:N=13,p=1.000</x:v>
      </x:c>
      <x:c r="U495" s="48" t="str">
        <x:v>Maximum-minus-minimum prevalence among adequately observed groups is no more than 0.15.</x:v>
      </x:c>
      <x:c r="V495" s="48" t="str">
        <x:v>At least 5 observable manager families in at least 2 driver groups</x:v>
      </x:c>
      <x:c r="W495" s="48" t="str">
        <x:v>&gt;=0.35 separates; &lt;=0.15 does not separate; intermediate is inconclusive/confounded; direct driver-definition tests are CIRCULAR</x:v>
      </x:c>
      <x:c r="X495" s="48" t="str">
        <x:v>MANAGER_SELF_DESCRIPTION; NOT BEHAVIOURAL FREQUENCY</x:v>
      </x:c>
    </x:row>
    <x:row r="496">
      <x:c r="A496" s="48" t="str">
        <x:v>B_GOVERNANCE_SEGMENTATION</x:v>
      </x:c>
      <x:c r="B496" s="48" t="str">
        <x:v>Tier B v1.1 - N=29 rerun</x:v>
      </x:c>
      <x:c r="C496" s="48" t="str">
        <x:v>2026-07-16</x:v>
      </x:c>
      <x:c r="D496" s="48" t="str">
        <x:v>U02</x:v>
      </x:c>
      <x:c r="E496" s="48" t="str">
        <x:v>UNDERWRITING_DOCUMENTS</x:v>
      </x:c>
      <x:c r="F496" s="48" t="str">
        <x:v>Explicit scenario, sensitivity or downside testing</x:v>
      </x:c>
      <x:c r="G496" s="48" t="str">
        <x:v>geography</x:v>
      </x:c>
      <x:c r="H496" s="48" t="str">
        <x:v>EUROPE</x:v>
      </x:c>
      <x:c r="I496" s="48" t="str">
        <x:v>2</x:v>
      </x:c>
      <x:c r="J496" s="48" t="str">
        <x:v>1</x:v>
      </x:c>
      <x:c r="K496" s="48" t="str">
        <x:v>1</x:v>
      </x:c>
      <x:c r="L496" s="48" t="str">
        <x:v>0</x:v>
      </x:c>
      <x:c r="M496" s="48" t="str">
        <x:v>1</x:v>
      </x:c>
      <x:c r="N496" s="48" t="str">
        <x:v>1</x:v>
      </x:c>
      <x:c r="O496" s="48" t="str">
        <x:v>0</x:v>
      </x:c>
      <x:c r="P496" s="48" t="str">
        <x:v>0</x:v>
      </x:c>
      <x:c r="Q496" s="48" t="str">
        <x:v>1.000</x:v>
      </x:c>
      <x:c r="R496" s="48" t="str">
        <x:v>DRIVER DOES NOT SEPARATE</x:v>
      </x:c>
      <x:c r="S496" s="48" t="str">
        <x:v>0.000</x:v>
      </x:c>
      <x:c r="T496" s="48" t="str">
        <x:v>GLOBAL_TRANSATLANTIC:N=10,p=1.000; NORTH_AMERICA:N=13,p=1.000</x:v>
      </x:c>
      <x:c r="U496" s="48" t="str">
        <x:v>Maximum-minus-minimum prevalence among adequately observed groups is no more than 0.15.</x:v>
      </x:c>
      <x:c r="V496" s="48" t="str">
        <x:v>At least 5 observable manager families in at least 2 driver groups</x:v>
      </x:c>
      <x:c r="W496" s="48" t="str">
        <x:v>&gt;=0.35 separates; &lt;=0.15 does not separate; intermediate is inconclusive/confounded; direct driver-definition tests are CIRCULAR</x:v>
      </x:c>
      <x:c r="X496" s="48" t="str">
        <x:v>MANAGER_SELF_DESCRIPTION; NOT BEHAVIOURAL FREQUENCY</x:v>
      </x:c>
    </x:row>
    <x:row r="497">
      <x:c r="A497" s="48" t="str">
        <x:v>B_GOVERNANCE_SEGMENTATION</x:v>
      </x:c>
      <x:c r="B497" s="48" t="str">
        <x:v>Tier B v1.1 - N=29 rerun</x:v>
      </x:c>
      <x:c r="C497" s="48" t="str">
        <x:v>2026-07-16</x:v>
      </x:c>
      <x:c r="D497" s="48" t="str">
        <x:v>U02</x:v>
      </x:c>
      <x:c r="E497" s="48" t="str">
        <x:v>UNDERWRITING_DOCUMENTS</x:v>
      </x:c>
      <x:c r="F497" s="48" t="str">
        <x:v>Explicit scenario, sensitivity or downside testing</x:v>
      </x:c>
      <x:c r="G497" s="48" t="str">
        <x:v>geography</x:v>
      </x:c>
      <x:c r="H497" s="48" t="str">
        <x:v>GLOBAL_TRANSATLANTIC</x:v>
      </x:c>
      <x:c r="I497" s="48" t="str">
        <x:v>10</x:v>
      </x:c>
      <x:c r="J497" s="48" t="str">
        <x:v>10</x:v>
      </x:c>
      <x:c r="K497" s="48" t="str">
        <x:v>0</x:v>
      </x:c>
      <x:c r="L497" s="48" t="str">
        <x:v>0</x:v>
      </x:c>
      <x:c r="M497" s="48" t="str">
        <x:v>10</x:v>
      </x:c>
      <x:c r="N497" s="48" t="str">
        <x:v>0</x:v>
      </x:c>
      <x:c r="O497" s="48" t="str">
        <x:v>0</x:v>
      </x:c>
      <x:c r="P497" s="48" t="str">
        <x:v>0</x:v>
      </x:c>
      <x:c r="Q497" s="48" t="str">
        <x:v>1.000</x:v>
      </x:c>
      <x:c r="R497" s="48" t="str">
        <x:v>DRIVER DOES NOT SEPARATE</x:v>
      </x:c>
      <x:c r="S497" s="48" t="str">
        <x:v>0.000</x:v>
      </x:c>
      <x:c r="T497" s="48" t="str">
        <x:v>GLOBAL_TRANSATLANTIC:N=10,p=1.000; NORTH_AMERICA:N=13,p=1.000</x:v>
      </x:c>
      <x:c r="U497" s="48" t="str">
        <x:v>Maximum-minus-minimum prevalence among adequately observed groups is no more than 0.15.</x:v>
      </x:c>
      <x:c r="V497" s="48" t="str">
        <x:v>At least 5 observable manager families in at least 2 driver groups</x:v>
      </x:c>
      <x:c r="W497" s="48" t="str">
        <x:v>&gt;=0.35 separates; &lt;=0.15 does not separate; intermediate is inconclusive/confounded; direct driver-definition tests are CIRCULAR</x:v>
      </x:c>
      <x:c r="X497" s="48" t="str">
        <x:v>MANAGER_SELF_DESCRIPTION; NOT BEHAVIOURAL FREQUENCY</x:v>
      </x:c>
    </x:row>
    <x:row r="498">
      <x:c r="A498" s="48" t="str">
        <x:v>B_GOVERNANCE_SEGMENTATION</x:v>
      </x:c>
      <x:c r="B498" s="48" t="str">
        <x:v>Tier B v1.1 - N=29 rerun</x:v>
      </x:c>
      <x:c r="C498" s="48" t="str">
        <x:v>2026-07-16</x:v>
      </x:c>
      <x:c r="D498" s="48" t="str">
        <x:v>U02</x:v>
      </x:c>
      <x:c r="E498" s="48" t="str">
        <x:v>UNDERWRITING_DOCUMENTS</x:v>
      </x:c>
      <x:c r="F498" s="48" t="str">
        <x:v>Explicit scenario, sensitivity or downside testing</x:v>
      </x:c>
      <x:c r="G498" s="48" t="str">
        <x:v>geography</x:v>
      </x:c>
      <x:c r="H498" s="48" t="str">
        <x:v>NORTH_AMERICA</x:v>
      </x:c>
      <x:c r="I498" s="48" t="str">
        <x:v>13</x:v>
      </x:c>
      <x:c r="J498" s="48" t="str">
        <x:v>13</x:v>
      </x:c>
      <x:c r="K498" s="48" t="str">
        <x:v>2</x:v>
      </x:c>
      <x:c r="L498" s="48" t="str">
        <x:v>0</x:v>
      </x:c>
      <x:c r="M498" s="48" t="str">
        <x:v>13</x:v>
      </x:c>
      <x:c r="N498" s="48" t="str">
        <x:v>0</x:v>
      </x:c>
      <x:c r="O498" s="48" t="str">
        <x:v>0</x:v>
      </x:c>
      <x:c r="P498" s="48" t="str">
        <x:v>0</x:v>
      </x:c>
      <x:c r="Q498" s="48" t="str">
        <x:v>1.000</x:v>
      </x:c>
      <x:c r="R498" s="48" t="str">
        <x:v>DRIVER DOES NOT SEPARATE</x:v>
      </x:c>
      <x:c r="S498" s="48" t="str">
        <x:v>0.000</x:v>
      </x:c>
      <x:c r="T498" s="48" t="str">
        <x:v>GLOBAL_TRANSATLANTIC:N=10,p=1.000; NORTH_AMERICA:N=13,p=1.000</x:v>
      </x:c>
      <x:c r="U498" s="48" t="str">
        <x:v>Maximum-minus-minimum prevalence among adequately observed groups is no more than 0.15.</x:v>
      </x:c>
      <x:c r="V498" s="48" t="str">
        <x:v>At least 5 observable manager families in at least 2 driver groups</x:v>
      </x:c>
      <x:c r="W498" s="48" t="str">
        <x:v>&gt;=0.35 separates; &lt;=0.15 does not separate; intermediate is inconclusive/confounded; direct driver-definition tests are CIRCULAR</x:v>
      </x:c>
      <x:c r="X498" s="48" t="str">
        <x:v>MANAGER_SELF_DESCRIPTION; NOT BEHAVIOURAL FREQUENCY</x:v>
      </x:c>
    </x:row>
    <x:row r="499">
      <x:c r="A499" s="48" t="str">
        <x:v>B_GOVERNANCE_SEGMENTATION</x:v>
      </x:c>
      <x:c r="B499" s="48" t="str">
        <x:v>Tier B v1.1 - N=29 rerun</x:v>
      </x:c>
      <x:c r="C499" s="48" t="str">
        <x:v>2026-07-16</x:v>
      </x:c>
      <x:c r="D499" s="48" t="str">
        <x:v>U02</x:v>
      </x:c>
      <x:c r="E499" s="48" t="str">
        <x:v>UNDERWRITING_DOCUMENTS</x:v>
      </x:c>
      <x:c r="F499" s="48" t="str">
        <x:v>Explicit scenario, sensitivity or downside testing</x:v>
      </x:c>
      <x:c r="G499" s="48" t="str">
        <x:v>source_vintage_bin</x:v>
      </x:c>
      <x:c r="H499" s="48" t="str">
        <x:v>2018_2020</x:v>
      </x:c>
      <x:c r="I499" s="48" t="str">
        <x:v>6</x:v>
      </x:c>
      <x:c r="J499" s="48" t="str">
        <x:v>6</x:v>
      </x:c>
      <x:c r="K499" s="48" t="str">
        <x:v>1</x:v>
      </x:c>
      <x:c r="L499" s="48" t="str">
        <x:v>0</x:v>
      </x:c>
      <x:c r="M499" s="48" t="str">
        <x:v>6</x:v>
      </x:c>
      <x:c r="N499" s="48" t="str">
        <x:v>0</x:v>
      </x:c>
      <x:c r="O499" s="48" t="str">
        <x:v>0</x:v>
      </x:c>
      <x:c r="P499" s="48" t="str">
        <x:v>0</x:v>
      </x:c>
      <x:c r="Q499" s="48" t="str">
        <x:v>1.000</x:v>
      </x:c>
      <x:c r="R499" s="48" t="str">
        <x:v>DRIVER DOES NOT SEPARATE</x:v>
      </x:c>
      <x:c r="S499" s="48" t="str">
        <x:v>0.000</x:v>
      </x:c>
      <x:c r="T499" s="48" t="str">
        <x:v>2018_2020:N=6,p=1.000; 2021_2023:N=10,p=1.000; 2024_2026:N=12,p=1.000</x:v>
      </x:c>
      <x:c r="U499" s="48" t="str">
        <x:v>Maximum-minus-minimum prevalence among adequately observed groups is no more than 0.15.</x:v>
      </x:c>
      <x:c r="V499" s="48" t="str">
        <x:v>At least 5 observable manager families in at least 2 driver groups</x:v>
      </x:c>
      <x:c r="W499" s="48" t="str">
        <x:v>&gt;=0.35 separates; &lt;=0.15 does not separate; intermediate is inconclusive/confounded; direct driver-definition tests are CIRCULAR</x:v>
      </x:c>
      <x:c r="X499" s="48" t="str">
        <x:v>MANAGER_SELF_DESCRIPTION; NOT BEHAVIOURAL FREQUENCY</x:v>
      </x:c>
    </x:row>
    <x:row r="500">
      <x:c r="A500" s="48" t="str">
        <x:v>B_GOVERNANCE_SEGMENTATION</x:v>
      </x:c>
      <x:c r="B500" s="48" t="str">
        <x:v>Tier B v1.1 - N=29 rerun</x:v>
      </x:c>
      <x:c r="C500" s="48" t="str">
        <x:v>2026-07-16</x:v>
      </x:c>
      <x:c r="D500" s="48" t="str">
        <x:v>U02</x:v>
      </x:c>
      <x:c r="E500" s="48" t="str">
        <x:v>UNDERWRITING_DOCUMENTS</x:v>
      </x:c>
      <x:c r="F500" s="48" t="str">
        <x:v>Explicit scenario, sensitivity or downside testing</x:v>
      </x:c>
      <x:c r="G500" s="48" t="str">
        <x:v>source_vintage_bin</x:v>
      </x:c>
      <x:c r="H500" s="48" t="str">
        <x:v>2021_2023</x:v>
      </x:c>
      <x:c r="I500" s="48" t="str">
        <x:v>11</x:v>
      </x:c>
      <x:c r="J500" s="48" t="str">
        <x:v>10</x:v>
      </x:c>
      <x:c r="K500" s="48" t="str">
        <x:v>1</x:v>
      </x:c>
      <x:c r="L500" s="48" t="str">
        <x:v>0</x:v>
      </x:c>
      <x:c r="M500" s="48" t="str">
        <x:v>10</x:v>
      </x:c>
      <x:c r="N500" s="48" t="str">
        <x:v>1</x:v>
      </x:c>
      <x:c r="O500" s="48" t="str">
        <x:v>0</x:v>
      </x:c>
      <x:c r="P500" s="48" t="str">
        <x:v>0</x:v>
      </x:c>
      <x:c r="Q500" s="48" t="str">
        <x:v>1.000</x:v>
      </x:c>
      <x:c r="R500" s="48" t="str">
        <x:v>DRIVER DOES NOT SEPARATE</x:v>
      </x:c>
      <x:c r="S500" s="48" t="str">
        <x:v>0.000</x:v>
      </x:c>
      <x:c r="T500" s="48" t="str">
        <x:v>2018_2020:N=6,p=1.000; 2021_2023:N=10,p=1.000; 2024_2026:N=12,p=1.000</x:v>
      </x:c>
      <x:c r="U500" s="48" t="str">
        <x:v>Maximum-minus-minimum prevalence among adequately observed groups is no more than 0.15.</x:v>
      </x:c>
      <x:c r="V500" s="48" t="str">
        <x:v>At least 5 observable manager families in at least 2 driver groups</x:v>
      </x:c>
      <x:c r="W500" s="48" t="str">
        <x:v>&gt;=0.35 separates; &lt;=0.15 does not separate; intermediate is inconclusive/confounded; direct driver-definition tests are CIRCULAR</x:v>
      </x:c>
      <x:c r="X500" s="48" t="str">
        <x:v>MANAGER_SELF_DESCRIPTION; NOT BEHAVIOURAL FREQUENCY</x:v>
      </x:c>
    </x:row>
    <x:row r="501">
      <x:c r="A501" s="48" t="str">
        <x:v>B_GOVERNANCE_SEGMENTATION</x:v>
      </x:c>
      <x:c r="B501" s="48" t="str">
        <x:v>Tier B v1.1 - N=29 rerun</x:v>
      </x:c>
      <x:c r="C501" s="48" t="str">
        <x:v>2026-07-16</x:v>
      </x:c>
      <x:c r="D501" s="48" t="str">
        <x:v>U02</x:v>
      </x:c>
      <x:c r="E501" s="48" t="str">
        <x:v>UNDERWRITING_DOCUMENTS</x:v>
      </x:c>
      <x:c r="F501" s="48" t="str">
        <x:v>Explicit scenario, sensitivity or downside testing</x:v>
      </x:c>
      <x:c r="G501" s="48" t="str">
        <x:v>source_vintage_bin</x:v>
      </x:c>
      <x:c r="H501" s="48" t="str">
        <x:v>2024_2026</x:v>
      </x:c>
      <x:c r="I501" s="48" t="str">
        <x:v>12</x:v>
      </x:c>
      <x:c r="J501" s="48" t="str">
        <x:v>12</x:v>
      </x:c>
      <x:c r="K501" s="48" t="str">
        <x:v>1</x:v>
      </x:c>
      <x:c r="L501" s="48" t="str">
        <x:v>0</x:v>
      </x:c>
      <x:c r="M501" s="48" t="str">
        <x:v>12</x:v>
      </x:c>
      <x:c r="N501" s="48" t="str">
        <x:v>0</x:v>
      </x:c>
      <x:c r="O501" s="48" t="str">
        <x:v>0</x:v>
      </x:c>
      <x:c r="P501" s="48" t="str">
        <x:v>0</x:v>
      </x:c>
      <x:c r="Q501" s="48" t="str">
        <x:v>1.000</x:v>
      </x:c>
      <x:c r="R501" s="48" t="str">
        <x:v>DRIVER DOES NOT SEPARATE</x:v>
      </x:c>
      <x:c r="S501" s="48" t="str">
        <x:v>0.000</x:v>
      </x:c>
      <x:c r="T501" s="48" t="str">
        <x:v>2018_2020:N=6,p=1.000; 2021_2023:N=10,p=1.000; 2024_2026:N=12,p=1.000</x:v>
      </x:c>
      <x:c r="U501" s="48" t="str">
        <x:v>Maximum-minus-minimum prevalence among adequately observed groups is no more than 0.15.</x:v>
      </x:c>
      <x:c r="V501" s="48" t="str">
        <x:v>At least 5 observable manager families in at least 2 driver groups</x:v>
      </x:c>
      <x:c r="W501" s="48" t="str">
        <x:v>&gt;=0.35 separates; &lt;=0.15 does not separate; intermediate is inconclusive/confounded; direct driver-definition tests are CIRCULAR</x:v>
      </x:c>
      <x:c r="X501" s="48" t="str">
        <x:v>MANAGER_SELF_DESCRIPTION; NOT BEHAVIOURAL FREQUENCY</x:v>
      </x:c>
    </x:row>
    <x:row r="502">
      <x:c r="A502" s="48" t="str">
        <x:v>B_GOVERNANCE_SEGMENTATION</x:v>
      </x:c>
      <x:c r="B502" s="48" t="str">
        <x:v>Tier B v1.1 - N=29 rerun</x:v>
      </x:c>
      <x:c r="C502" s="48" t="str">
        <x:v>2026-07-16</x:v>
      </x:c>
      <x:c r="D502" s="48" t="str">
        <x:v>U02</x:v>
      </x:c>
      <x:c r="E502" s="48" t="str">
        <x:v>UNDERWRITING_DOCUMENTS</x:v>
      </x:c>
      <x:c r="F502" s="48" t="str">
        <x:v>Explicit scenario, sensitivity or downside testing</x:v>
      </x:c>
      <x:c r="G502" s="48" t="str">
        <x:v>governance_architecture</x:v>
      </x:c>
      <x:c r="H502" s="48" t="str">
        <x:v>IC_FINAL_OR_DE_FACTO</x:v>
      </x:c>
      <x:c r="I502" s="48" t="str">
        <x:v>26</x:v>
      </x:c>
      <x:c r="J502" s="48" t="str">
        <x:v>25</x:v>
      </x:c>
      <x:c r="K502" s="48" t="str">
        <x:v>2</x:v>
      </x:c>
      <x:c r="L502" s="48" t="str">
        <x:v>0</x:v>
      </x:c>
      <x:c r="M502" s="48" t="str">
        <x:v>25</x:v>
      </x:c>
      <x:c r="N502" s="48" t="str">
        <x:v>1</x:v>
      </x:c>
      <x:c r="O502" s="48" t="str">
        <x:v>0</x:v>
      </x:c>
      <x:c r="P502" s="48" t="str">
        <x:v>0</x:v>
      </x:c>
      <x:c r="Q502" s="48" t="str">
        <x:v>1.000</x:v>
      </x:c>
      <x:c r="R502" s="48" t="str">
        <x:v>N TOO SMALL</x:v>
      </x:c>
      <x:c r="S502" s="48" t="str"/>
      <x:c r="T502" s="48" t="str">
        <x:v>IC_FINAL_OR_DE_FACTO:N=25,p=1.000</x:v>
      </x:c>
      <x:c r="U502" s="48" t="str">
        <x:v>Fewer than two driver groups have at least 5 observable manager families.</x:v>
      </x:c>
      <x:c r="V502" s="48" t="str">
        <x:v>At least 5 observable manager families in at least 2 driver groups</x:v>
      </x:c>
      <x:c r="W502" s="48" t="str">
        <x:v>&gt;=0.35 separates; &lt;=0.15 does not separate; intermediate is inconclusive/confounded; direct driver-definition tests are CIRCULAR</x:v>
      </x:c>
      <x:c r="X502" s="48" t="str">
        <x:v>MANAGER_SELF_DESCRIPTION; NOT BEHAVIOURAL FREQUENCY</x:v>
      </x:c>
    </x:row>
    <x:row r="503">
      <x:c r="A503" s="48" t="str">
        <x:v>B_GOVERNANCE_SEGMENTATION</x:v>
      </x:c>
      <x:c r="B503" s="48" t="str">
        <x:v>Tier B v1.1 - N=29 rerun</x:v>
      </x:c>
      <x:c r="C503" s="48" t="str">
        <x:v>2026-07-16</x:v>
      </x:c>
      <x:c r="D503" s="48" t="str">
        <x:v>U02</x:v>
      </x:c>
      <x:c r="E503" s="48" t="str">
        <x:v>UNDERWRITING_DOCUMENTS</x:v>
      </x:c>
      <x:c r="F503" s="48" t="str">
        <x:v>Explicit scenario, sensitivity or downside testing</x:v>
      </x:c>
      <x:c r="G503" s="48" t="str">
        <x:v>governance_architecture</x:v>
      </x:c>
      <x:c r="H503" s="48" t="str">
        <x:v>IC_RECOMMENDS_SEPARATE_FINAL_AUTHORITY</x:v>
      </x:c>
      <x:c r="I503" s="48" t="str">
        <x:v>3</x:v>
      </x:c>
      <x:c r="J503" s="48" t="str">
        <x:v>3</x:v>
      </x:c>
      <x:c r="K503" s="48" t="str">
        <x:v>1</x:v>
      </x:c>
      <x:c r="L503" s="48" t="str">
        <x:v>0</x:v>
      </x:c>
      <x:c r="M503" s="48" t="str">
        <x:v>3</x:v>
      </x:c>
      <x:c r="N503" s="48" t="str">
        <x:v>0</x:v>
      </x:c>
      <x:c r="O503" s="48" t="str">
        <x:v>0</x:v>
      </x:c>
      <x:c r="P503" s="48" t="str">
        <x:v>0</x:v>
      </x:c>
      <x:c r="Q503" s="48" t="str">
        <x:v>1.000</x:v>
      </x:c>
      <x:c r="R503" s="48" t="str">
        <x:v>N TOO SMALL</x:v>
      </x:c>
      <x:c r="S503" s="48" t="str"/>
      <x:c r="T503" s="48" t="str">
        <x:v>IC_FINAL_OR_DE_FACTO:N=25,p=1.000</x:v>
      </x:c>
      <x:c r="U503" s="48" t="str">
        <x:v>Fewer than two driver groups have at least 5 observable manager families.</x:v>
      </x:c>
      <x:c r="V503" s="48" t="str">
        <x:v>At least 5 observable manager families in at least 2 driver groups</x:v>
      </x:c>
      <x:c r="W503" s="48" t="str">
        <x:v>&gt;=0.35 separates; &lt;=0.15 does not separate; intermediate is inconclusive/confounded; direct driver-definition tests are CIRCULAR</x:v>
      </x:c>
      <x:c r="X503" s="48" t="str">
        <x:v>MANAGER_SELF_DESCRIPTION; NOT BEHAVIOURAL FREQUENCY</x:v>
      </x:c>
    </x:row>
    <x:row r="504">
      <x:c r="A504" s="48" t="str">
        <x:v>B_GOVERNANCE_SEGMENTATION</x:v>
      </x:c>
      <x:c r="B504" s="48" t="str">
        <x:v>Tier B v1.1 - N=29 rerun</x:v>
      </x:c>
      <x:c r="C504" s="48" t="str">
        <x:v>2026-07-16</x:v>
      </x:c>
      <x:c r="D504" s="48" t="str">
        <x:v>U02</x:v>
      </x:c>
      <x:c r="E504" s="48" t="str">
        <x:v>UNDERWRITING_DOCUMENTS</x:v>
      </x:c>
      <x:c r="F504" s="48" t="str">
        <x:v>Explicit scenario, sensitivity or downside testing</x:v>
      </x:c>
      <x:c r="G504" s="48" t="str">
        <x:v>dedicated_operating_team</x:v>
      </x:c>
      <x:c r="H504" s="48" t="str">
        <x:v>NO_OR_LIMITED</x:v>
      </x:c>
      <x:c r="I504" s="48" t="str">
        <x:v>6</x:v>
      </x:c>
      <x:c r="J504" s="48" t="str">
        <x:v>5</x:v>
      </x:c>
      <x:c r="K504" s="48" t="str">
        <x:v>2</x:v>
      </x:c>
      <x:c r="L504" s="48" t="str">
        <x:v>0</x:v>
      </x:c>
      <x:c r="M504" s="48" t="str">
        <x:v>5</x:v>
      </x:c>
      <x:c r="N504" s="48" t="str">
        <x:v>1</x:v>
      </x:c>
      <x:c r="O504" s="48" t="str">
        <x:v>0</x:v>
      </x:c>
      <x:c r="P504" s="48" t="str">
        <x:v>0</x:v>
      </x:c>
      <x:c r="Q504" s="48" t="str">
        <x:v>1.000</x:v>
      </x:c>
      <x:c r="R504" s="48" t="str">
        <x:v>DRIVER DOES NOT SEPARATE</x:v>
      </x:c>
      <x:c r="S504" s="48" t="str">
        <x:v>0.000</x:v>
      </x:c>
      <x:c r="T504" s="48" t="str">
        <x:v>NO_OR_LIMITED:N=5,p=1.000; YES_DEDICATED:N=23,p=1.000</x:v>
      </x:c>
      <x:c r="U504" s="48" t="str">
        <x:v>Maximum-minus-minimum prevalence among adequately observed groups is no more than 0.15.</x:v>
      </x:c>
      <x:c r="V504" s="48" t="str">
        <x:v>At least 5 observable manager families in at least 2 driver groups</x:v>
      </x:c>
      <x:c r="W504" s="48" t="str">
        <x:v>&gt;=0.35 separates; &lt;=0.15 does not separate; intermediate is inconclusive/confounded; direct driver-definition tests are CIRCULAR</x:v>
      </x:c>
      <x:c r="X504" s="48" t="str">
        <x:v>MANAGER_SELF_DESCRIPTION; NOT BEHAVIOURAL FREQUENCY</x:v>
      </x:c>
    </x:row>
    <x:row r="505">
      <x:c r="A505" s="48" t="str">
        <x:v>B_GOVERNANCE_SEGMENTATION</x:v>
      </x:c>
      <x:c r="B505" s="48" t="str">
        <x:v>Tier B v1.1 - N=29 rerun</x:v>
      </x:c>
      <x:c r="C505" s="48" t="str">
        <x:v>2026-07-16</x:v>
      </x:c>
      <x:c r="D505" s="48" t="str">
        <x:v>U02</x:v>
      </x:c>
      <x:c r="E505" s="48" t="str">
        <x:v>UNDERWRITING_DOCUMENTS</x:v>
      </x:c>
      <x:c r="F505" s="48" t="str">
        <x:v>Explicit scenario, sensitivity or downside testing</x:v>
      </x:c>
      <x:c r="G505" s="48" t="str">
        <x:v>dedicated_operating_team</x:v>
      </x:c>
      <x:c r="H505" s="48" t="str">
        <x:v>YES_DEDICATED</x:v>
      </x:c>
      <x:c r="I505" s="48" t="str">
        <x:v>23</x:v>
      </x:c>
      <x:c r="J505" s="48" t="str">
        <x:v>23</x:v>
      </x:c>
      <x:c r="K505" s="48" t="str">
        <x:v>1</x:v>
      </x:c>
      <x:c r="L505" s="48" t="str">
        <x:v>0</x:v>
      </x:c>
      <x:c r="M505" s="48" t="str">
        <x:v>23</x:v>
      </x:c>
      <x:c r="N505" s="48" t="str">
        <x:v>0</x:v>
      </x:c>
      <x:c r="O505" s="48" t="str">
        <x:v>0</x:v>
      </x:c>
      <x:c r="P505" s="48" t="str">
        <x:v>0</x:v>
      </x:c>
      <x:c r="Q505" s="48" t="str">
        <x:v>1.000</x:v>
      </x:c>
      <x:c r="R505" s="48" t="str">
        <x:v>DRIVER DOES NOT SEPARATE</x:v>
      </x:c>
      <x:c r="S505" s="48" t="str">
        <x:v>0.000</x:v>
      </x:c>
      <x:c r="T505" s="48" t="str">
        <x:v>NO_OR_LIMITED:N=5,p=1.000; YES_DEDICATED:N=23,p=1.000</x:v>
      </x:c>
      <x:c r="U505" s="48" t="str">
        <x:v>Maximum-minus-minimum prevalence among adequately observed groups is no more than 0.15.</x:v>
      </x:c>
      <x:c r="V505" s="48" t="str">
        <x:v>At least 5 observable manager families in at least 2 driver groups</x:v>
      </x:c>
      <x:c r="W505" s="48" t="str">
        <x:v>&gt;=0.35 separates; &lt;=0.15 does not separate; intermediate is inconclusive/confounded; direct driver-definition tests are CIRCULAR</x:v>
      </x:c>
      <x:c r="X505" s="48" t="str">
        <x:v>MANAGER_SELF_DESCRIPTION; NOT BEHAVIOURAL FREQUENCY</x:v>
      </x:c>
    </x:row>
    <x:row r="506">
      <x:c r="A506" s="48" t="str">
        <x:v>B_GOVERNANCE_SEGMENTATION</x:v>
      </x:c>
      <x:c r="B506" s="48" t="str">
        <x:v>Tier B v1.1 - N=29 rerun</x:v>
      </x:c>
      <x:c r="C506" s="48" t="str">
        <x:v>2026-07-16</x:v>
      </x:c>
      <x:c r="D506" s="48" t="str">
        <x:v>U03</x:v>
      </x:c>
      <x:c r="E506" s="48" t="str">
        <x:v>UNDERWRITING_DOCUMENTS</x:v>
      </x:c>
      <x:c r="F506" s="48" t="str">
        <x:v>Management case distinguished from sponsor case</x:v>
      </x:c>
      <x:c r="G506" s="48" t="str">
        <x:v>fund_size_archetype</x:v>
      </x:c>
      <x:c r="H506" s="48" t="str">
        <x:v>LARGE_2_TO_LT_5B</x:v>
      </x:c>
      <x:c r="I506" s="48" t="str">
        <x:v>9</x:v>
      </x:c>
      <x:c r="J506" s="48" t="str">
        <x:v>1</x:v>
      </x:c>
      <x:c r="K506" s="48" t="str">
        <x:v>0</x:v>
      </x:c>
      <x:c r="L506" s="48" t="str">
        <x:v>0</x:v>
      </x:c>
      <x:c r="M506" s="48" t="str">
        <x:v>1</x:v>
      </x:c>
      <x:c r="N506" s="48" t="str">
        <x:v>8</x:v>
      </x:c>
      <x:c r="O506" s="48" t="str">
        <x:v>0</x:v>
      </x:c>
      <x:c r="P506" s="48" t="str">
        <x:v>0</x:v>
      </x:c>
      <x:c r="Q506" s="48" t="str">
        <x:v>1.000</x:v>
      </x:c>
      <x:c r="R506" s="48" t="str">
        <x:v>N TOO SMALL</x:v>
      </x:c>
      <x:c r="S506" s="48" t="str"/>
      <x:c r="T506" s="48" t="str"/>
      <x:c r="U506" s="48" t="str">
        <x:v>Fewer than two driver groups have at least 5 observable manager families.</x:v>
      </x:c>
      <x:c r="V506" s="48" t="str">
        <x:v>At least 5 observable manager families in at least 2 driver groups</x:v>
      </x:c>
      <x:c r="W506" s="48" t="str">
        <x:v>&gt;=0.35 separates; &lt;=0.15 does not separate; intermediate is inconclusive/confounded; direct driver-definition tests are CIRCULAR</x:v>
      </x:c>
      <x:c r="X506" s="48" t="str">
        <x:v>MANAGER_SELF_DESCRIPTION; NOT BEHAVIOURAL FREQUENCY</x:v>
      </x:c>
    </x:row>
    <x:row r="507">
      <x:c r="A507" s="48" t="str">
        <x:v>B_GOVERNANCE_SEGMENTATION</x:v>
      </x:c>
      <x:c r="B507" s="48" t="str">
        <x:v>Tier B v1.1 - N=29 rerun</x:v>
      </x:c>
      <x:c r="C507" s="48" t="str">
        <x:v>2026-07-16</x:v>
      </x:c>
      <x:c r="D507" s="48" t="str">
        <x:v>U03</x:v>
      </x:c>
      <x:c r="E507" s="48" t="str">
        <x:v>UNDERWRITING_DOCUMENTS</x:v>
      </x:c>
      <x:c r="F507" s="48" t="str">
        <x:v>Management case distinguished from sponsor case</x:v>
      </x:c>
      <x:c r="G507" s="48" t="str">
        <x:v>fund_size_archetype</x:v>
      </x:c>
      <x:c r="H507" s="48" t="str">
        <x:v>LOWER_MID_LT_2B</x:v>
      </x:c>
      <x:c r="I507" s="48" t="str">
        <x:v>8</x:v>
      </x:c>
      <x:c r="J507" s="48" t="str">
        <x:v>1</x:v>
      </x:c>
      <x:c r="K507" s="48" t="str">
        <x:v>0</x:v>
      </x:c>
      <x:c r="L507" s="48" t="str">
        <x:v>0</x:v>
      </x:c>
      <x:c r="M507" s="48" t="str">
        <x:v>1</x:v>
      </x:c>
      <x:c r="N507" s="48" t="str">
        <x:v>7</x:v>
      </x:c>
      <x:c r="O507" s="48" t="str">
        <x:v>0</x:v>
      </x:c>
      <x:c r="P507" s="48" t="str">
        <x:v>0</x:v>
      </x:c>
      <x:c r="Q507" s="48" t="str">
        <x:v>1.000</x:v>
      </x:c>
      <x:c r="R507" s="48" t="str">
        <x:v>N TOO SMALL</x:v>
      </x:c>
      <x:c r="S507" s="48" t="str"/>
      <x:c r="T507" s="48" t="str"/>
      <x:c r="U507" s="48" t="str">
        <x:v>Fewer than two driver groups have at least 5 observable manager families.</x:v>
      </x:c>
      <x:c r="V507" s="48" t="str">
        <x:v>At least 5 observable manager families in at least 2 driver groups</x:v>
      </x:c>
      <x:c r="W507" s="48" t="str">
        <x:v>&gt;=0.35 separates; &lt;=0.15 does not separate; intermediate is inconclusive/confounded; direct driver-definition tests are CIRCULAR</x:v>
      </x:c>
      <x:c r="X507" s="48" t="str">
        <x:v>MANAGER_SELF_DESCRIPTION; NOT BEHAVIOURAL FREQUENCY</x:v>
      </x:c>
    </x:row>
    <x:row r="508">
      <x:c r="A508" s="48" t="str">
        <x:v>B_GOVERNANCE_SEGMENTATION</x:v>
      </x:c>
      <x:c r="B508" s="48" t="str">
        <x:v>Tier B v1.1 - N=29 rerun</x:v>
      </x:c>
      <x:c r="C508" s="48" t="str">
        <x:v>2026-07-16</x:v>
      </x:c>
      <x:c r="D508" s="48" t="str">
        <x:v>U03</x:v>
      </x:c>
      <x:c r="E508" s="48" t="str">
        <x:v>UNDERWRITING_DOCUMENTS</x:v>
      </x:c>
      <x:c r="F508" s="48" t="str">
        <x:v>Management case distinguished from sponsor case</x:v>
      </x:c>
      <x:c r="G508" s="48" t="str">
        <x:v>fund_size_archetype</x:v>
      </x:c>
      <x:c r="H508" s="48" t="str">
        <x:v>MEGA_GE_5B</x:v>
      </x:c>
      <x:c r="I508" s="48" t="str">
        <x:v>11</x:v>
      </x:c>
      <x:c r="J508" s="48" t="str">
        <x:v>3</x:v>
      </x:c>
      <x:c r="K508" s="48" t="str">
        <x:v>0</x:v>
      </x:c>
      <x:c r="L508" s="48" t="str">
        <x:v>0</x:v>
      </x:c>
      <x:c r="M508" s="48" t="str">
        <x:v>3</x:v>
      </x:c>
      <x:c r="N508" s="48" t="str">
        <x:v>8</x:v>
      </x:c>
      <x:c r="O508" s="48" t="str">
        <x:v>0</x:v>
      </x:c>
      <x:c r="P508" s="48" t="str">
        <x:v>0</x:v>
      </x:c>
      <x:c r="Q508" s="48" t="str">
        <x:v>1.000</x:v>
      </x:c>
      <x:c r="R508" s="48" t="str">
        <x:v>N TOO SMALL</x:v>
      </x:c>
      <x:c r="S508" s="48" t="str"/>
      <x:c r="T508" s="48" t="str"/>
      <x:c r="U508" s="48" t="str">
        <x:v>Fewer than two driver groups have at least 5 observable manager families.</x:v>
      </x:c>
      <x:c r="V508" s="48" t="str">
        <x:v>At least 5 observable manager families in at least 2 driver groups</x:v>
      </x:c>
      <x:c r="W508" s="48" t="str">
        <x:v>&gt;=0.35 separates; &lt;=0.15 does not separate; intermediate is inconclusive/confounded; direct driver-definition tests are CIRCULAR</x:v>
      </x:c>
      <x:c r="X508" s="48" t="str">
        <x:v>MANAGER_SELF_DESCRIPTION; NOT BEHAVIOURAL FREQUENCY</x:v>
      </x:c>
    </x:row>
    <x:row r="509">
      <x:c r="A509" s="48" t="str">
        <x:v>B_GOVERNANCE_SEGMENTATION</x:v>
      </x:c>
      <x:c r="B509" s="48" t="str">
        <x:v>Tier B v1.1 - N=29 rerun</x:v>
      </x:c>
      <x:c r="C509" s="48" t="str">
        <x:v>2026-07-16</x:v>
      </x:c>
      <x:c r="D509" s="48" t="str">
        <x:v>U03</x:v>
      </x:c>
      <x:c r="E509" s="48" t="str">
        <x:v>UNDERWRITING_DOCUMENTS</x:v>
      </x:c>
      <x:c r="F509" s="48" t="str">
        <x:v>Management case distinguished from sponsor case</x:v>
      </x:c>
      <x:c r="G509" s="48" t="str">
        <x:v>fund_size_archetype</x:v>
      </x:c>
      <x:c r="H509" s="48" t="str">
        <x:v>NOT_APPLICABLE</x:v>
      </x:c>
      <x:c r="I509" s="48" t="str">
        <x:v>1</x:v>
      </x:c>
      <x:c r="J509" s="48" t="str">
        <x:v>0</x:v>
      </x:c>
      <x:c r="K509" s="48" t="str">
        <x:v>0</x:v>
      </x:c>
      <x:c r="L509" s="48" t="str">
        <x:v>0</x:v>
      </x:c>
      <x:c r="M509" s="48" t="str">
        <x:v>0</x:v>
      </x:c>
      <x:c r="N509" s="48" t="str">
        <x:v>1</x:v>
      </x:c>
      <x:c r="O509" s="48" t="str">
        <x:v>0</x:v>
      </x:c>
      <x:c r="P509" s="48" t="str">
        <x:v>0</x:v>
      </x:c>
      <x:c r="Q509" s="48" t="str"/>
      <x:c r="R509" s="48" t="str">
        <x:v>N TOO SMALL</x:v>
      </x:c>
      <x:c r="S509" s="48" t="str"/>
      <x:c r="T509" s="48" t="str"/>
      <x:c r="U509" s="48" t="str">
        <x:v>Fewer than two driver groups have at least 5 observable manager families.</x:v>
      </x:c>
      <x:c r="V509" s="48" t="str">
        <x:v>At least 5 observable manager families in at least 2 driver groups</x:v>
      </x:c>
      <x:c r="W509" s="48" t="str">
        <x:v>&gt;=0.35 separates; &lt;=0.15 does not separate; intermediate is inconclusive/confounded; direct driver-definition tests are CIRCULAR</x:v>
      </x:c>
      <x:c r="X509" s="48" t="str">
        <x:v>MANAGER_SELF_DESCRIPTION; NOT BEHAVIOURAL FREQUENCY</x:v>
      </x:c>
    </x:row>
    <x:row r="510">
      <x:c r="A510" s="48" t="str">
        <x:v>B_GOVERNANCE_SEGMENTATION</x:v>
      </x:c>
      <x:c r="B510" s="48" t="str">
        <x:v>Tier B v1.1 - N=29 rerun</x:v>
      </x:c>
      <x:c r="C510" s="48" t="str">
        <x:v>2026-07-16</x:v>
      </x:c>
      <x:c r="D510" s="48" t="str">
        <x:v>U03</x:v>
      </x:c>
      <x:c r="E510" s="48" t="str">
        <x:v>UNDERWRITING_DOCUMENTS</x:v>
      </x:c>
      <x:c r="F510" s="48" t="str">
        <x:v>Management case distinguished from sponsor case</x:v>
      </x:c>
      <x:c r="G510" s="48" t="str">
        <x:v>strategy</x:v>
      </x:c>
      <x:c r="H510" s="48" t="str">
        <x:v>CONTROL_BUYOUT</x:v>
      </x:c>
      <x:c r="I510" s="48" t="str">
        <x:v>22</x:v>
      </x:c>
      <x:c r="J510" s="48" t="str">
        <x:v>3</x:v>
      </x:c>
      <x:c r="K510" s="48" t="str">
        <x:v>0</x:v>
      </x:c>
      <x:c r="L510" s="48" t="str">
        <x:v>0</x:v>
      </x:c>
      <x:c r="M510" s="48" t="str">
        <x:v>3</x:v>
      </x:c>
      <x:c r="N510" s="48" t="str">
        <x:v>19</x:v>
      </x:c>
      <x:c r="O510" s="48" t="str">
        <x:v>0</x:v>
      </x:c>
      <x:c r="P510" s="48" t="str">
        <x:v>0</x:v>
      </x:c>
      <x:c r="Q510" s="48" t="str">
        <x:v>1.000</x:v>
      </x:c>
      <x:c r="R510" s="48" t="str">
        <x:v>N TOO SMALL</x:v>
      </x:c>
      <x:c r="S510" s="48" t="str"/>
      <x:c r="T510" s="48" t="str"/>
      <x:c r="U510" s="48" t="str">
        <x:v>Fewer than two driver groups have at least 5 observable manager families.</x:v>
      </x:c>
      <x:c r="V510" s="48" t="str">
        <x:v>At least 5 observable manager families in at least 2 driver groups</x:v>
      </x:c>
      <x:c r="W510" s="48" t="str">
        <x:v>&gt;=0.35 separates; &lt;=0.15 does not separate; intermediate is inconclusive/confounded; direct driver-definition tests are CIRCULAR</x:v>
      </x:c>
      <x:c r="X510" s="48" t="str">
        <x:v>MANAGER_SELF_DESCRIPTION; NOT BEHAVIOURAL FREQUENCY</x:v>
      </x:c>
    </x:row>
    <x:row r="511">
      <x:c r="A511" s="48" t="str">
        <x:v>B_GOVERNANCE_SEGMENTATION</x:v>
      </x:c>
      <x:c r="B511" s="48" t="str">
        <x:v>Tier B v1.1 - N=29 rerun</x:v>
      </x:c>
      <x:c r="C511" s="48" t="str">
        <x:v>2026-07-16</x:v>
      </x:c>
      <x:c r="D511" s="48" t="str">
        <x:v>U03</x:v>
      </x:c>
      <x:c r="E511" s="48" t="str">
        <x:v>UNDERWRITING_DOCUMENTS</x:v>
      </x:c>
      <x:c r="F511" s="48" t="str">
        <x:v>Management case distinguished from sponsor case</x:v>
      </x:c>
      <x:c r="G511" s="48" t="str">
        <x:v>strategy</x:v>
      </x:c>
      <x:c r="H511" s="48" t="str">
        <x:v>GROWTH_CONTROL_HYBRID</x:v>
      </x:c>
      <x:c r="I511" s="48" t="str">
        <x:v>6</x:v>
      </x:c>
      <x:c r="J511" s="48" t="str">
        <x:v>2</x:v>
      </x:c>
      <x:c r="K511" s="48" t="str">
        <x:v>0</x:v>
      </x:c>
      <x:c r="L511" s="48" t="str">
        <x:v>0</x:v>
      </x:c>
      <x:c r="M511" s="48" t="str">
        <x:v>2</x:v>
      </x:c>
      <x:c r="N511" s="48" t="str">
        <x:v>4</x:v>
      </x:c>
      <x:c r="O511" s="48" t="str">
        <x:v>0</x:v>
      </x:c>
      <x:c r="P511" s="48" t="str">
        <x:v>0</x:v>
      </x:c>
      <x:c r="Q511" s="48" t="str">
        <x:v>1.000</x:v>
      </x:c>
      <x:c r="R511" s="48" t="str">
        <x:v>N TOO SMALL</x:v>
      </x:c>
      <x:c r="S511" s="48" t="str"/>
      <x:c r="T511" s="48" t="str"/>
      <x:c r="U511" s="48" t="str">
        <x:v>Fewer than two driver groups have at least 5 observable manager families.</x:v>
      </x:c>
      <x:c r="V511" s="48" t="str">
        <x:v>At least 5 observable manager families in at least 2 driver groups</x:v>
      </x:c>
      <x:c r="W511" s="48" t="str">
        <x:v>&gt;=0.35 separates; &lt;=0.15 does not separate; intermediate is inconclusive/confounded; direct driver-definition tests are CIRCULAR</x:v>
      </x:c>
      <x:c r="X511" s="48" t="str">
        <x:v>MANAGER_SELF_DESCRIPTION; NOT BEHAVIOURAL FREQUENCY</x:v>
      </x:c>
    </x:row>
    <x:row r="512">
      <x:c r="A512" s="48" t="str">
        <x:v>B_GOVERNANCE_SEGMENTATION</x:v>
      </x:c>
      <x:c r="B512" s="48" t="str">
        <x:v>Tier B v1.1 - N=29 rerun</x:v>
      </x:c>
      <x:c r="C512" s="48" t="str">
        <x:v>2026-07-16</x:v>
      </x:c>
      <x:c r="D512" s="48" t="str">
        <x:v>U03</x:v>
      </x:c>
      <x:c r="E512" s="48" t="str">
        <x:v>UNDERWRITING_DOCUMENTS</x:v>
      </x:c>
      <x:c r="F512" s="48" t="str">
        <x:v>Management case distinguished from sponsor case</x:v>
      </x:c>
      <x:c r="G512" s="48" t="str">
        <x:v>strategy</x:v>
      </x:c>
      <x:c r="H512" s="48" t="str">
        <x:v>OPPORTUNISTIC_CONTROL</x:v>
      </x:c>
      <x:c r="I512" s="48" t="str">
        <x:v>1</x:v>
      </x:c>
      <x:c r="J512" s="48" t="str">
        <x:v>0</x:v>
      </x:c>
      <x:c r="K512" s="48" t="str">
        <x:v>0</x:v>
      </x:c>
      <x:c r="L512" s="48" t="str">
        <x:v>0</x:v>
      </x:c>
      <x:c r="M512" s="48" t="str">
        <x:v>0</x:v>
      </x:c>
      <x:c r="N512" s="48" t="str">
        <x:v>1</x:v>
      </x:c>
      <x:c r="O512" s="48" t="str">
        <x:v>0</x:v>
      </x:c>
      <x:c r="P512" s="48" t="str">
        <x:v>0</x:v>
      </x:c>
      <x:c r="Q512" s="48" t="str"/>
      <x:c r="R512" s="48" t="str">
        <x:v>N TOO SMALL</x:v>
      </x:c>
      <x:c r="S512" s="48" t="str"/>
      <x:c r="T512" s="48" t="str"/>
      <x:c r="U512" s="48" t="str">
        <x:v>Fewer than two driver groups have at least 5 observable manager families.</x:v>
      </x:c>
      <x:c r="V512" s="48" t="str">
        <x:v>At least 5 observable manager families in at least 2 driver groups</x:v>
      </x:c>
      <x:c r="W512" s="48" t="str">
        <x:v>&gt;=0.35 separates; &lt;=0.15 does not separate; intermediate is inconclusive/confounded; direct driver-definition tests are CIRCULAR</x:v>
      </x:c>
      <x:c r="X512" s="48" t="str">
        <x:v>MANAGER_SELF_DESCRIPTION; NOT BEHAVIOURAL FREQUENCY</x:v>
      </x:c>
    </x:row>
    <x:row r="513">
      <x:c r="A513" s="48" t="str">
        <x:v>B_GOVERNANCE_SEGMENTATION</x:v>
      </x:c>
      <x:c r="B513" s="48" t="str">
        <x:v>Tier B v1.1 - N=29 rerun</x:v>
      </x:c>
      <x:c r="C513" s="48" t="str">
        <x:v>2026-07-16</x:v>
      </x:c>
      <x:c r="D513" s="48" t="str">
        <x:v>U03</x:v>
      </x:c>
      <x:c r="E513" s="48" t="str">
        <x:v>UNDERWRITING_DOCUMENTS</x:v>
      </x:c>
      <x:c r="F513" s="48" t="str">
        <x:v>Management case distinguished from sponsor case</x:v>
      </x:c>
      <x:c r="G513" s="48" t="str">
        <x:v>geography</x:v>
      </x:c>
      <x:c r="H513" s="48" t="str">
        <x:v>ASIA_PACIFIC</x:v>
      </x:c>
      <x:c r="I513" s="48" t="str">
        <x:v>4</x:v>
      </x:c>
      <x:c r="J513" s="48" t="str">
        <x:v>1</x:v>
      </x:c>
      <x:c r="K513" s="48" t="str">
        <x:v>0</x:v>
      </x:c>
      <x:c r="L513" s="48" t="str">
        <x:v>0</x:v>
      </x:c>
      <x:c r="M513" s="48" t="str">
        <x:v>1</x:v>
      </x:c>
      <x:c r="N513" s="48" t="str">
        <x:v>3</x:v>
      </x:c>
      <x:c r="O513" s="48" t="str">
        <x:v>0</x:v>
      </x:c>
      <x:c r="P513" s="48" t="str">
        <x:v>0</x:v>
      </x:c>
      <x:c r="Q513" s="48" t="str">
        <x:v>1.000</x:v>
      </x:c>
      <x:c r="R513" s="48" t="str">
        <x:v>N TOO SMALL</x:v>
      </x:c>
      <x:c r="S513" s="48" t="str"/>
      <x:c r="T513" s="48" t="str"/>
      <x:c r="U513" s="48" t="str">
        <x:v>Fewer than two driver groups have at least 5 observable manager families.</x:v>
      </x:c>
      <x:c r="V513" s="48" t="str">
        <x:v>At least 5 observable manager families in at least 2 driver groups</x:v>
      </x:c>
      <x:c r="W513" s="48" t="str">
        <x:v>&gt;=0.35 separates; &lt;=0.15 does not separate; intermediate is inconclusive/confounded; direct driver-definition tests are CIRCULAR</x:v>
      </x:c>
      <x:c r="X513" s="48" t="str">
        <x:v>MANAGER_SELF_DESCRIPTION; NOT BEHAVIOURAL FREQUENCY</x:v>
      </x:c>
    </x:row>
    <x:row r="514">
      <x:c r="A514" s="48" t="str">
        <x:v>B_GOVERNANCE_SEGMENTATION</x:v>
      </x:c>
      <x:c r="B514" s="48" t="str">
        <x:v>Tier B v1.1 - N=29 rerun</x:v>
      </x:c>
      <x:c r="C514" s="48" t="str">
        <x:v>2026-07-16</x:v>
      </x:c>
      <x:c r="D514" s="48" t="str">
        <x:v>U03</x:v>
      </x:c>
      <x:c r="E514" s="48" t="str">
        <x:v>UNDERWRITING_DOCUMENTS</x:v>
      </x:c>
      <x:c r="F514" s="48" t="str">
        <x:v>Management case distinguished from sponsor case</x:v>
      </x:c>
      <x:c r="G514" s="48" t="str">
        <x:v>geography</x:v>
      </x:c>
      <x:c r="H514" s="48" t="str">
        <x:v>EUROPE</x:v>
      </x:c>
      <x:c r="I514" s="48" t="str">
        <x:v>2</x:v>
      </x:c>
      <x:c r="J514" s="48" t="str">
        <x:v>0</x:v>
      </x:c>
      <x:c r="K514" s="48" t="str">
        <x:v>0</x:v>
      </x:c>
      <x:c r="L514" s="48" t="str">
        <x:v>0</x:v>
      </x:c>
      <x:c r="M514" s="48" t="str">
        <x:v>0</x:v>
      </x:c>
      <x:c r="N514" s="48" t="str">
        <x:v>2</x:v>
      </x:c>
      <x:c r="O514" s="48" t="str">
        <x:v>0</x:v>
      </x:c>
      <x:c r="P514" s="48" t="str">
        <x:v>0</x:v>
      </x:c>
      <x:c r="Q514" s="48" t="str"/>
      <x:c r="R514" s="48" t="str">
        <x:v>N TOO SMALL</x:v>
      </x:c>
      <x:c r="S514" s="48" t="str"/>
      <x:c r="T514" s="48" t="str"/>
      <x:c r="U514" s="48" t="str">
        <x:v>Fewer than two driver groups have at least 5 observable manager families.</x:v>
      </x:c>
      <x:c r="V514" s="48" t="str">
        <x:v>At least 5 observable manager families in at least 2 driver groups</x:v>
      </x:c>
      <x:c r="W514" s="48" t="str">
        <x:v>&gt;=0.35 separates; &lt;=0.15 does not separate; intermediate is inconclusive/confounded; direct driver-definition tests are CIRCULAR</x:v>
      </x:c>
      <x:c r="X514" s="48" t="str">
        <x:v>MANAGER_SELF_DESCRIPTION; NOT BEHAVIOURAL FREQUENCY</x:v>
      </x:c>
    </x:row>
    <x:row r="515">
      <x:c r="A515" s="48" t="str">
        <x:v>B_GOVERNANCE_SEGMENTATION</x:v>
      </x:c>
      <x:c r="B515" s="48" t="str">
        <x:v>Tier B v1.1 - N=29 rerun</x:v>
      </x:c>
      <x:c r="C515" s="48" t="str">
        <x:v>2026-07-16</x:v>
      </x:c>
      <x:c r="D515" s="48" t="str">
        <x:v>U03</x:v>
      </x:c>
      <x:c r="E515" s="48" t="str">
        <x:v>UNDERWRITING_DOCUMENTS</x:v>
      </x:c>
      <x:c r="F515" s="48" t="str">
        <x:v>Management case distinguished from sponsor case</x:v>
      </x:c>
      <x:c r="G515" s="48" t="str">
        <x:v>geography</x:v>
      </x:c>
      <x:c r="H515" s="48" t="str">
        <x:v>GLOBAL_TRANSATLANTIC</x:v>
      </x:c>
      <x:c r="I515" s="48" t="str">
        <x:v>10</x:v>
      </x:c>
      <x:c r="J515" s="48" t="str">
        <x:v>2</x:v>
      </x:c>
      <x:c r="K515" s="48" t="str">
        <x:v>0</x:v>
      </x:c>
      <x:c r="L515" s="48" t="str">
        <x:v>0</x:v>
      </x:c>
      <x:c r="M515" s="48" t="str">
        <x:v>2</x:v>
      </x:c>
      <x:c r="N515" s="48" t="str">
        <x:v>8</x:v>
      </x:c>
      <x:c r="O515" s="48" t="str">
        <x:v>0</x:v>
      </x:c>
      <x:c r="P515" s="48" t="str">
        <x:v>0</x:v>
      </x:c>
      <x:c r="Q515" s="48" t="str">
        <x:v>1.000</x:v>
      </x:c>
      <x:c r="R515" s="48" t="str">
        <x:v>N TOO SMALL</x:v>
      </x:c>
      <x:c r="S515" s="48" t="str"/>
      <x:c r="T515" s="48" t="str"/>
      <x:c r="U515" s="48" t="str">
        <x:v>Fewer than two driver groups have at least 5 observable manager families.</x:v>
      </x:c>
      <x:c r="V515" s="48" t="str">
        <x:v>At least 5 observable manager families in at least 2 driver groups</x:v>
      </x:c>
      <x:c r="W515" s="48" t="str">
        <x:v>&gt;=0.35 separates; &lt;=0.15 does not separate; intermediate is inconclusive/confounded; direct driver-definition tests are CIRCULAR</x:v>
      </x:c>
      <x:c r="X515" s="48" t="str">
        <x:v>MANAGER_SELF_DESCRIPTION; NOT BEHAVIOURAL FREQUENCY</x:v>
      </x:c>
    </x:row>
    <x:row r="516">
      <x:c r="A516" s="48" t="str">
        <x:v>B_GOVERNANCE_SEGMENTATION</x:v>
      </x:c>
      <x:c r="B516" s="48" t="str">
        <x:v>Tier B v1.1 - N=29 rerun</x:v>
      </x:c>
      <x:c r="C516" s="48" t="str">
        <x:v>2026-07-16</x:v>
      </x:c>
      <x:c r="D516" s="48" t="str">
        <x:v>U03</x:v>
      </x:c>
      <x:c r="E516" s="48" t="str">
        <x:v>UNDERWRITING_DOCUMENTS</x:v>
      </x:c>
      <x:c r="F516" s="48" t="str">
        <x:v>Management case distinguished from sponsor case</x:v>
      </x:c>
      <x:c r="G516" s="48" t="str">
        <x:v>geography</x:v>
      </x:c>
      <x:c r="H516" s="48" t="str">
        <x:v>NORTH_AMERICA</x:v>
      </x:c>
      <x:c r="I516" s="48" t="str">
        <x:v>13</x:v>
      </x:c>
      <x:c r="J516" s="48" t="str">
        <x:v>2</x:v>
      </x:c>
      <x:c r="K516" s="48" t="str">
        <x:v>0</x:v>
      </x:c>
      <x:c r="L516" s="48" t="str">
        <x:v>0</x:v>
      </x:c>
      <x:c r="M516" s="48" t="str">
        <x:v>2</x:v>
      </x:c>
      <x:c r="N516" s="48" t="str">
        <x:v>11</x:v>
      </x:c>
      <x:c r="O516" s="48" t="str">
        <x:v>0</x:v>
      </x:c>
      <x:c r="P516" s="48" t="str">
        <x:v>0</x:v>
      </x:c>
      <x:c r="Q516" s="48" t="str">
        <x:v>1.000</x:v>
      </x:c>
      <x:c r="R516" s="48" t="str">
        <x:v>N TOO SMALL</x:v>
      </x:c>
      <x:c r="S516" s="48" t="str"/>
      <x:c r="T516" s="48" t="str"/>
      <x:c r="U516" s="48" t="str">
        <x:v>Fewer than two driver groups have at least 5 observable manager families.</x:v>
      </x:c>
      <x:c r="V516" s="48" t="str">
        <x:v>At least 5 observable manager families in at least 2 driver groups</x:v>
      </x:c>
      <x:c r="W516" s="48" t="str">
        <x:v>&gt;=0.35 separates; &lt;=0.15 does not separate; intermediate is inconclusive/confounded; direct driver-definition tests are CIRCULAR</x:v>
      </x:c>
      <x:c r="X516" s="48" t="str">
        <x:v>MANAGER_SELF_DESCRIPTION; NOT BEHAVIOURAL FREQUENCY</x:v>
      </x:c>
    </x:row>
    <x:row r="517">
      <x:c r="A517" s="48" t="str">
        <x:v>B_GOVERNANCE_SEGMENTATION</x:v>
      </x:c>
      <x:c r="B517" s="48" t="str">
        <x:v>Tier B v1.1 - N=29 rerun</x:v>
      </x:c>
      <x:c r="C517" s="48" t="str">
        <x:v>2026-07-16</x:v>
      </x:c>
      <x:c r="D517" s="48" t="str">
        <x:v>U03</x:v>
      </x:c>
      <x:c r="E517" s="48" t="str">
        <x:v>UNDERWRITING_DOCUMENTS</x:v>
      </x:c>
      <x:c r="F517" s="48" t="str">
        <x:v>Management case distinguished from sponsor case</x:v>
      </x:c>
      <x:c r="G517" s="48" t="str">
        <x:v>source_vintage_bin</x:v>
      </x:c>
      <x:c r="H517" s="48" t="str">
        <x:v>2018_2020</x:v>
      </x:c>
      <x:c r="I517" s="48" t="str">
        <x:v>6</x:v>
      </x:c>
      <x:c r="J517" s="48" t="str">
        <x:v>0</x:v>
      </x:c>
      <x:c r="K517" s="48" t="str">
        <x:v>0</x:v>
      </x:c>
      <x:c r="L517" s="48" t="str">
        <x:v>0</x:v>
      </x:c>
      <x:c r="M517" s="48" t="str">
        <x:v>0</x:v>
      </x:c>
      <x:c r="N517" s="48" t="str">
        <x:v>6</x:v>
      </x:c>
      <x:c r="O517" s="48" t="str">
        <x:v>0</x:v>
      </x:c>
      <x:c r="P517" s="48" t="str">
        <x:v>0</x:v>
      </x:c>
      <x:c r="Q517" s="48" t="str"/>
      <x:c r="R517" s="48" t="str">
        <x:v>N TOO SMALL</x:v>
      </x:c>
      <x:c r="S517" s="48" t="str"/>
      <x:c r="T517" s="48" t="str"/>
      <x:c r="U517" s="48" t="str">
        <x:v>Fewer than two driver groups have at least 5 observable manager families.</x:v>
      </x:c>
      <x:c r="V517" s="48" t="str">
        <x:v>At least 5 observable manager families in at least 2 driver groups</x:v>
      </x:c>
      <x:c r="W517" s="48" t="str">
        <x:v>&gt;=0.35 separates; &lt;=0.15 does not separate; intermediate is inconclusive/confounded; direct driver-definition tests are CIRCULAR</x:v>
      </x:c>
      <x:c r="X517" s="48" t="str">
        <x:v>MANAGER_SELF_DESCRIPTION; NOT BEHAVIOURAL FREQUENCY</x:v>
      </x:c>
    </x:row>
    <x:row r="518">
      <x:c r="A518" s="48" t="str">
        <x:v>B_GOVERNANCE_SEGMENTATION</x:v>
      </x:c>
      <x:c r="B518" s="48" t="str">
        <x:v>Tier B v1.1 - N=29 rerun</x:v>
      </x:c>
      <x:c r="C518" s="48" t="str">
        <x:v>2026-07-16</x:v>
      </x:c>
      <x:c r="D518" s="48" t="str">
        <x:v>U03</x:v>
      </x:c>
      <x:c r="E518" s="48" t="str">
        <x:v>UNDERWRITING_DOCUMENTS</x:v>
      </x:c>
      <x:c r="F518" s="48" t="str">
        <x:v>Management case distinguished from sponsor case</x:v>
      </x:c>
      <x:c r="G518" s="48" t="str">
        <x:v>source_vintage_bin</x:v>
      </x:c>
      <x:c r="H518" s="48" t="str">
        <x:v>2021_2023</x:v>
      </x:c>
      <x:c r="I518" s="48" t="str">
        <x:v>11</x:v>
      </x:c>
      <x:c r="J518" s="48" t="str">
        <x:v>3</x:v>
      </x:c>
      <x:c r="K518" s="48" t="str">
        <x:v>0</x:v>
      </x:c>
      <x:c r="L518" s="48" t="str">
        <x:v>0</x:v>
      </x:c>
      <x:c r="M518" s="48" t="str">
        <x:v>3</x:v>
      </x:c>
      <x:c r="N518" s="48" t="str">
        <x:v>8</x:v>
      </x:c>
      <x:c r="O518" s="48" t="str">
        <x:v>0</x:v>
      </x:c>
      <x:c r="P518" s="48" t="str">
        <x:v>0</x:v>
      </x:c>
      <x:c r="Q518" s="48" t="str">
        <x:v>1.000</x:v>
      </x:c>
      <x:c r="R518" s="48" t="str">
        <x:v>N TOO SMALL</x:v>
      </x:c>
      <x:c r="S518" s="48" t="str"/>
      <x:c r="T518" s="48" t="str"/>
      <x:c r="U518" s="48" t="str">
        <x:v>Fewer than two driver groups have at least 5 observable manager families.</x:v>
      </x:c>
      <x:c r="V518" s="48" t="str">
        <x:v>At least 5 observable manager families in at least 2 driver groups</x:v>
      </x:c>
      <x:c r="W518" s="48" t="str">
        <x:v>&gt;=0.35 separates; &lt;=0.15 does not separate; intermediate is inconclusive/confounded; direct driver-definition tests are CIRCULAR</x:v>
      </x:c>
      <x:c r="X518" s="48" t="str">
        <x:v>MANAGER_SELF_DESCRIPTION; NOT BEHAVIOURAL FREQUENCY</x:v>
      </x:c>
    </x:row>
    <x:row r="519">
      <x:c r="A519" s="48" t="str">
        <x:v>B_GOVERNANCE_SEGMENTATION</x:v>
      </x:c>
      <x:c r="B519" s="48" t="str">
        <x:v>Tier B v1.1 - N=29 rerun</x:v>
      </x:c>
      <x:c r="C519" s="48" t="str">
        <x:v>2026-07-16</x:v>
      </x:c>
      <x:c r="D519" s="48" t="str">
        <x:v>U03</x:v>
      </x:c>
      <x:c r="E519" s="48" t="str">
        <x:v>UNDERWRITING_DOCUMENTS</x:v>
      </x:c>
      <x:c r="F519" s="48" t="str">
        <x:v>Management case distinguished from sponsor case</x:v>
      </x:c>
      <x:c r="G519" s="48" t="str">
        <x:v>source_vintage_bin</x:v>
      </x:c>
      <x:c r="H519" s="48" t="str">
        <x:v>2024_2026</x:v>
      </x:c>
      <x:c r="I519" s="48" t="str">
        <x:v>12</x:v>
      </x:c>
      <x:c r="J519" s="48" t="str">
        <x:v>2</x:v>
      </x:c>
      <x:c r="K519" s="48" t="str">
        <x:v>0</x:v>
      </x:c>
      <x:c r="L519" s="48" t="str">
        <x:v>0</x:v>
      </x:c>
      <x:c r="M519" s="48" t="str">
        <x:v>2</x:v>
      </x:c>
      <x:c r="N519" s="48" t="str">
        <x:v>10</x:v>
      </x:c>
      <x:c r="O519" s="48" t="str">
        <x:v>0</x:v>
      </x:c>
      <x:c r="P519" s="48" t="str">
        <x:v>0</x:v>
      </x:c>
      <x:c r="Q519" s="48" t="str">
        <x:v>1.000</x:v>
      </x:c>
      <x:c r="R519" s="48" t="str">
        <x:v>N TOO SMALL</x:v>
      </x:c>
      <x:c r="S519" s="48" t="str"/>
      <x:c r="T519" s="48" t="str"/>
      <x:c r="U519" s="48" t="str">
        <x:v>Fewer than two driver groups have at least 5 observable manager families.</x:v>
      </x:c>
      <x:c r="V519" s="48" t="str">
        <x:v>At least 5 observable manager families in at least 2 driver groups</x:v>
      </x:c>
      <x:c r="W519" s="48" t="str">
        <x:v>&gt;=0.35 separates; &lt;=0.15 does not separate; intermediate is inconclusive/confounded; direct driver-definition tests are CIRCULAR</x:v>
      </x:c>
      <x:c r="X519" s="48" t="str">
        <x:v>MANAGER_SELF_DESCRIPTION; NOT BEHAVIOURAL FREQUENCY</x:v>
      </x:c>
    </x:row>
    <x:row r="520">
      <x:c r="A520" s="48" t="str">
        <x:v>B_GOVERNANCE_SEGMENTATION</x:v>
      </x:c>
      <x:c r="B520" s="48" t="str">
        <x:v>Tier B v1.1 - N=29 rerun</x:v>
      </x:c>
      <x:c r="C520" s="48" t="str">
        <x:v>2026-07-16</x:v>
      </x:c>
      <x:c r="D520" s="48" t="str">
        <x:v>U03</x:v>
      </x:c>
      <x:c r="E520" s="48" t="str">
        <x:v>UNDERWRITING_DOCUMENTS</x:v>
      </x:c>
      <x:c r="F520" s="48" t="str">
        <x:v>Management case distinguished from sponsor case</x:v>
      </x:c>
      <x:c r="G520" s="48" t="str">
        <x:v>governance_architecture</x:v>
      </x:c>
      <x:c r="H520" s="48" t="str">
        <x:v>IC_FINAL_OR_DE_FACTO</x:v>
      </x:c>
      <x:c r="I520" s="48" t="str">
        <x:v>26</x:v>
      </x:c>
      <x:c r="J520" s="48" t="str">
        <x:v>5</x:v>
      </x:c>
      <x:c r="K520" s="48" t="str">
        <x:v>0</x:v>
      </x:c>
      <x:c r="L520" s="48" t="str">
        <x:v>0</x:v>
      </x:c>
      <x:c r="M520" s="48" t="str">
        <x:v>5</x:v>
      </x:c>
      <x:c r="N520" s="48" t="str">
        <x:v>21</x:v>
      </x:c>
      <x:c r="O520" s="48" t="str">
        <x:v>0</x:v>
      </x:c>
      <x:c r="P520" s="48" t="str">
        <x:v>0</x:v>
      </x:c>
      <x:c r="Q520" s="48" t="str">
        <x:v>1.000</x:v>
      </x:c>
      <x:c r="R520" s="48" t="str">
        <x:v>N TOO SMALL</x:v>
      </x:c>
      <x:c r="S520" s="48" t="str"/>
      <x:c r="T520" s="48" t="str">
        <x:v>IC_FINAL_OR_DE_FACTO:N=5,p=1.000</x:v>
      </x:c>
      <x:c r="U520" s="48" t="str">
        <x:v>Fewer than two driver groups have at least 5 observable manager families.</x:v>
      </x:c>
      <x:c r="V520" s="48" t="str">
        <x:v>At least 5 observable manager families in at least 2 driver groups</x:v>
      </x:c>
      <x:c r="W520" s="48" t="str">
        <x:v>&gt;=0.35 separates; &lt;=0.15 does not separate; intermediate is inconclusive/confounded; direct driver-definition tests are CIRCULAR</x:v>
      </x:c>
      <x:c r="X520" s="48" t="str">
        <x:v>MANAGER_SELF_DESCRIPTION; NOT BEHAVIOURAL FREQUENCY</x:v>
      </x:c>
    </x:row>
    <x:row r="521">
      <x:c r="A521" s="48" t="str">
        <x:v>B_GOVERNANCE_SEGMENTATION</x:v>
      </x:c>
      <x:c r="B521" s="48" t="str">
        <x:v>Tier B v1.1 - N=29 rerun</x:v>
      </x:c>
      <x:c r="C521" s="48" t="str">
        <x:v>2026-07-16</x:v>
      </x:c>
      <x:c r="D521" s="48" t="str">
        <x:v>U03</x:v>
      </x:c>
      <x:c r="E521" s="48" t="str">
        <x:v>UNDERWRITING_DOCUMENTS</x:v>
      </x:c>
      <x:c r="F521" s="48" t="str">
        <x:v>Management case distinguished from sponsor case</x:v>
      </x:c>
      <x:c r="G521" s="48" t="str">
        <x:v>governance_architecture</x:v>
      </x:c>
      <x:c r="H521" s="48" t="str">
        <x:v>IC_RECOMMENDS_SEPARATE_FINAL_AUTHORITY</x:v>
      </x:c>
      <x:c r="I521" s="48" t="str">
        <x:v>3</x:v>
      </x:c>
      <x:c r="J521" s="48" t="str">
        <x:v>0</x:v>
      </x:c>
      <x:c r="K521" s="48" t="str">
        <x:v>0</x:v>
      </x:c>
      <x:c r="L521" s="48" t="str">
        <x:v>0</x:v>
      </x:c>
      <x:c r="M521" s="48" t="str">
        <x:v>0</x:v>
      </x:c>
      <x:c r="N521" s="48" t="str">
        <x:v>3</x:v>
      </x:c>
      <x:c r="O521" s="48" t="str">
        <x:v>0</x:v>
      </x:c>
      <x:c r="P521" s="48" t="str">
        <x:v>0</x:v>
      </x:c>
      <x:c r="Q521" s="48" t="str"/>
      <x:c r="R521" s="48" t="str">
        <x:v>N TOO SMALL</x:v>
      </x:c>
      <x:c r="S521" s="48" t="str"/>
      <x:c r="T521" s="48" t="str">
        <x:v>IC_FINAL_OR_DE_FACTO:N=5,p=1.000</x:v>
      </x:c>
      <x:c r="U521" s="48" t="str">
        <x:v>Fewer than two driver groups have at least 5 observable manager families.</x:v>
      </x:c>
      <x:c r="V521" s="48" t="str">
        <x:v>At least 5 observable manager families in at least 2 driver groups</x:v>
      </x:c>
      <x:c r="W521" s="48" t="str">
        <x:v>&gt;=0.35 separates; &lt;=0.15 does not separate; intermediate is inconclusive/confounded; direct driver-definition tests are CIRCULAR</x:v>
      </x:c>
      <x:c r="X521" s="48" t="str">
        <x:v>MANAGER_SELF_DESCRIPTION; NOT BEHAVIOURAL FREQUENCY</x:v>
      </x:c>
    </x:row>
    <x:row r="522">
      <x:c r="A522" s="48" t="str">
        <x:v>B_GOVERNANCE_SEGMENTATION</x:v>
      </x:c>
      <x:c r="B522" s="48" t="str">
        <x:v>Tier B v1.1 - N=29 rerun</x:v>
      </x:c>
      <x:c r="C522" s="48" t="str">
        <x:v>2026-07-16</x:v>
      </x:c>
      <x:c r="D522" s="48" t="str">
        <x:v>U03</x:v>
      </x:c>
      <x:c r="E522" s="48" t="str">
        <x:v>UNDERWRITING_DOCUMENTS</x:v>
      </x:c>
      <x:c r="F522" s="48" t="str">
        <x:v>Management case distinguished from sponsor case</x:v>
      </x:c>
      <x:c r="G522" s="48" t="str">
        <x:v>dedicated_operating_team</x:v>
      </x:c>
      <x:c r="H522" s="48" t="str">
        <x:v>NO_OR_LIMITED</x:v>
      </x:c>
      <x:c r="I522" s="48" t="str">
        <x:v>6</x:v>
      </x:c>
      <x:c r="J522" s="48" t="str">
        <x:v>1</x:v>
      </x:c>
      <x:c r="K522" s="48" t="str">
        <x:v>0</x:v>
      </x:c>
      <x:c r="L522" s="48" t="str">
        <x:v>0</x:v>
      </x:c>
      <x:c r="M522" s="48" t="str">
        <x:v>1</x:v>
      </x:c>
      <x:c r="N522" s="48" t="str">
        <x:v>5</x:v>
      </x:c>
      <x:c r="O522" s="48" t="str">
        <x:v>0</x:v>
      </x:c>
      <x:c r="P522" s="48" t="str">
        <x:v>0</x:v>
      </x:c>
      <x:c r="Q522" s="48" t="str">
        <x:v>1.000</x:v>
      </x:c>
      <x:c r="R522" s="48" t="str">
        <x:v>N TOO SMALL</x:v>
      </x:c>
      <x:c r="S522" s="48" t="str"/>
      <x:c r="T522" s="48" t="str"/>
      <x:c r="U522" s="48" t="str">
        <x:v>Fewer than two driver groups have at least 5 observable manager families.</x:v>
      </x:c>
      <x:c r="V522" s="48" t="str">
        <x:v>At least 5 observable manager families in at least 2 driver groups</x:v>
      </x:c>
      <x:c r="W522" s="48" t="str">
        <x:v>&gt;=0.35 separates; &lt;=0.15 does not separate; intermediate is inconclusive/confounded; direct driver-definition tests are CIRCULAR</x:v>
      </x:c>
      <x:c r="X522" s="48" t="str">
        <x:v>MANAGER_SELF_DESCRIPTION; NOT BEHAVIOURAL FREQUENCY</x:v>
      </x:c>
    </x:row>
    <x:row r="523">
      <x:c r="A523" s="48" t="str">
        <x:v>B_GOVERNANCE_SEGMENTATION</x:v>
      </x:c>
      <x:c r="B523" s="48" t="str">
        <x:v>Tier B v1.1 - N=29 rerun</x:v>
      </x:c>
      <x:c r="C523" s="48" t="str">
        <x:v>2026-07-16</x:v>
      </x:c>
      <x:c r="D523" s="48" t="str">
        <x:v>U03</x:v>
      </x:c>
      <x:c r="E523" s="48" t="str">
        <x:v>UNDERWRITING_DOCUMENTS</x:v>
      </x:c>
      <x:c r="F523" s="48" t="str">
        <x:v>Management case distinguished from sponsor case</x:v>
      </x:c>
      <x:c r="G523" s="48" t="str">
        <x:v>dedicated_operating_team</x:v>
      </x:c>
      <x:c r="H523" s="48" t="str">
        <x:v>YES_DEDICATED</x:v>
      </x:c>
      <x:c r="I523" s="48" t="str">
        <x:v>23</x:v>
      </x:c>
      <x:c r="J523" s="48" t="str">
        <x:v>4</x:v>
      </x:c>
      <x:c r="K523" s="48" t="str">
        <x:v>0</x:v>
      </x:c>
      <x:c r="L523" s="48" t="str">
        <x:v>0</x:v>
      </x:c>
      <x:c r="M523" s="48" t="str">
        <x:v>4</x:v>
      </x:c>
      <x:c r="N523" s="48" t="str">
        <x:v>19</x:v>
      </x:c>
      <x:c r="O523" s="48" t="str">
        <x:v>0</x:v>
      </x:c>
      <x:c r="P523" s="48" t="str">
        <x:v>0</x:v>
      </x:c>
      <x:c r="Q523" s="48" t="str">
        <x:v>1.000</x:v>
      </x:c>
      <x:c r="R523" s="48" t="str">
        <x:v>N TOO SMALL</x:v>
      </x:c>
      <x:c r="S523" s="48" t="str"/>
      <x:c r="T523" s="48" t="str"/>
      <x:c r="U523" s="48" t="str">
        <x:v>Fewer than two driver groups have at least 5 observable manager families.</x:v>
      </x:c>
      <x:c r="V523" s="48" t="str">
        <x:v>At least 5 observable manager families in at least 2 driver groups</x:v>
      </x:c>
      <x:c r="W523" s="48" t="str">
        <x:v>&gt;=0.35 separates; &lt;=0.15 does not separate; intermediate is inconclusive/confounded; direct driver-definition tests are CIRCULAR</x:v>
      </x:c>
      <x:c r="X523" s="48" t="str">
        <x:v>MANAGER_SELF_DESCRIPTION; NOT BEHAVIOURAL FREQUENCY</x:v>
      </x:c>
    </x:row>
    <x:row r="524">
      <x:c r="A524" s="48" t="str">
        <x:v>B_GOVERNANCE_SEGMENTATION</x:v>
      </x:c>
      <x:c r="B524" s="48" t="str">
        <x:v>Tier B v1.1 - N=29 rerun</x:v>
      </x:c>
      <x:c r="C524" s="48" t="str">
        <x:v>2026-07-16</x:v>
      </x:c>
      <x:c r="D524" s="48" t="str">
        <x:v>U04</x:v>
      </x:c>
      <x:c r="E524" s="48" t="str">
        <x:v>UNDERWRITING_DOCUMENTS</x:v>
      </x:c>
      <x:c r="F524" s="48" t="str">
        <x:v>Multiple model or memorandum iterations explicit</x:v>
      </x:c>
      <x:c r="G524" s="48" t="str">
        <x:v>fund_size_archetype</x:v>
      </x:c>
      <x:c r="H524" s="48" t="str">
        <x:v>LARGE_2_TO_LT_5B</x:v>
      </x:c>
      <x:c r="I524" s="48" t="str">
        <x:v>9</x:v>
      </x:c>
      <x:c r="J524" s="48" t="str">
        <x:v>9</x:v>
      </x:c>
      <x:c r="K524" s="48" t="str">
        <x:v>0</x:v>
      </x:c>
      <x:c r="L524" s="48" t="str">
        <x:v>0</x:v>
      </x:c>
      <x:c r="M524" s="48" t="str">
        <x:v>9</x:v>
      </x:c>
      <x:c r="N524" s="48" t="str">
        <x:v>0</x:v>
      </x:c>
      <x:c r="O524" s="48" t="str">
        <x:v>0</x:v>
      </x:c>
      <x:c r="P524" s="48" t="str">
        <x:v>0</x:v>
      </x:c>
      <x:c r="Q524" s="48" t="str">
        <x:v>1.000</x:v>
      </x:c>
      <x:c r="R524" s="48" t="str">
        <x:v>DRIVER DOES NOT SEPARATE</x:v>
      </x:c>
      <x:c r="S524" s="48" t="str">
        <x:v>0.000</x:v>
      </x:c>
      <x:c r="T524" s="48" t="str">
        <x:v>LARGE_2_TO_LT_5B:N=9,p=1.000; LOWER_MID_LT_2B:N=8,p=1.000; MEGA_GE_5B:N=11,p=1.000</x:v>
      </x:c>
      <x:c r="U524" s="48" t="str">
        <x:v>Maximum-minus-minimum prevalence among adequately observed groups is no more than 0.15.</x:v>
      </x:c>
      <x:c r="V524" s="48" t="str">
        <x:v>At least 5 observable manager families in at least 2 driver groups</x:v>
      </x:c>
      <x:c r="W524" s="48" t="str">
        <x:v>&gt;=0.35 separates; &lt;=0.15 does not separate; intermediate is inconclusive/confounded; direct driver-definition tests are CIRCULAR</x:v>
      </x:c>
      <x:c r="X524" s="48" t="str">
        <x:v>MANAGER_SELF_DESCRIPTION; NOT BEHAVIOURAL FREQUENCY</x:v>
      </x:c>
    </x:row>
    <x:row r="525">
      <x:c r="A525" s="48" t="str">
        <x:v>B_GOVERNANCE_SEGMENTATION</x:v>
      </x:c>
      <x:c r="B525" s="48" t="str">
        <x:v>Tier B v1.1 - N=29 rerun</x:v>
      </x:c>
      <x:c r="C525" s="48" t="str">
        <x:v>2026-07-16</x:v>
      </x:c>
      <x:c r="D525" s="48" t="str">
        <x:v>U04</x:v>
      </x:c>
      <x:c r="E525" s="48" t="str">
        <x:v>UNDERWRITING_DOCUMENTS</x:v>
      </x:c>
      <x:c r="F525" s="48" t="str">
        <x:v>Multiple model or memorandum iterations explicit</x:v>
      </x:c>
      <x:c r="G525" s="48" t="str">
        <x:v>fund_size_archetype</x:v>
      </x:c>
      <x:c r="H525" s="48" t="str">
        <x:v>LOWER_MID_LT_2B</x:v>
      </x:c>
      <x:c r="I525" s="48" t="str">
        <x:v>8</x:v>
      </x:c>
      <x:c r="J525" s="48" t="str">
        <x:v>8</x:v>
      </x:c>
      <x:c r="K525" s="48" t="str">
        <x:v>0</x:v>
      </x:c>
      <x:c r="L525" s="48" t="str">
        <x:v>0</x:v>
      </x:c>
      <x:c r="M525" s="48" t="str">
        <x:v>8</x:v>
      </x:c>
      <x:c r="N525" s="48" t="str">
        <x:v>0</x:v>
      </x:c>
      <x:c r="O525" s="48" t="str">
        <x:v>0</x:v>
      </x:c>
      <x:c r="P525" s="48" t="str">
        <x:v>0</x:v>
      </x:c>
      <x:c r="Q525" s="48" t="str">
        <x:v>1.000</x:v>
      </x:c>
      <x:c r="R525" s="48" t="str">
        <x:v>DRIVER DOES NOT SEPARATE</x:v>
      </x:c>
      <x:c r="S525" s="48" t="str">
        <x:v>0.000</x:v>
      </x:c>
      <x:c r="T525" s="48" t="str">
        <x:v>LARGE_2_TO_LT_5B:N=9,p=1.000; LOWER_MID_LT_2B:N=8,p=1.000; MEGA_GE_5B:N=11,p=1.000</x:v>
      </x:c>
      <x:c r="U525" s="48" t="str">
        <x:v>Maximum-minus-minimum prevalence among adequately observed groups is no more than 0.15.</x:v>
      </x:c>
      <x:c r="V525" s="48" t="str">
        <x:v>At least 5 observable manager families in at least 2 driver groups</x:v>
      </x:c>
      <x:c r="W525" s="48" t="str">
        <x:v>&gt;=0.35 separates; &lt;=0.15 does not separate; intermediate is inconclusive/confounded; direct driver-definition tests are CIRCULAR</x:v>
      </x:c>
      <x:c r="X525" s="48" t="str">
        <x:v>MANAGER_SELF_DESCRIPTION; NOT BEHAVIOURAL FREQUENCY</x:v>
      </x:c>
    </x:row>
    <x:row r="526">
      <x:c r="A526" s="48" t="str">
        <x:v>B_GOVERNANCE_SEGMENTATION</x:v>
      </x:c>
      <x:c r="B526" s="48" t="str">
        <x:v>Tier B v1.1 - N=29 rerun</x:v>
      </x:c>
      <x:c r="C526" s="48" t="str">
        <x:v>2026-07-16</x:v>
      </x:c>
      <x:c r="D526" s="48" t="str">
        <x:v>U04</x:v>
      </x:c>
      <x:c r="E526" s="48" t="str">
        <x:v>UNDERWRITING_DOCUMENTS</x:v>
      </x:c>
      <x:c r="F526" s="48" t="str">
        <x:v>Multiple model or memorandum iterations explicit</x:v>
      </x:c>
      <x:c r="G526" s="48" t="str">
        <x:v>fund_size_archetype</x:v>
      </x:c>
      <x:c r="H526" s="48" t="str">
        <x:v>MEGA_GE_5B</x:v>
      </x:c>
      <x:c r="I526" s="48" t="str">
        <x:v>11</x:v>
      </x:c>
      <x:c r="J526" s="48" t="str">
        <x:v>11</x:v>
      </x:c>
      <x:c r="K526" s="48" t="str">
        <x:v>0</x:v>
      </x:c>
      <x:c r="L526" s="48" t="str">
        <x:v>0</x:v>
      </x:c>
      <x:c r="M526" s="48" t="str">
        <x:v>11</x:v>
      </x:c>
      <x:c r="N526" s="48" t="str">
        <x:v>0</x:v>
      </x:c>
      <x:c r="O526" s="48" t="str">
        <x:v>0</x:v>
      </x:c>
      <x:c r="P526" s="48" t="str">
        <x:v>0</x:v>
      </x:c>
      <x:c r="Q526" s="48" t="str">
        <x:v>1.000</x:v>
      </x:c>
      <x:c r="R526" s="48" t="str">
        <x:v>DRIVER DOES NOT SEPARATE</x:v>
      </x:c>
      <x:c r="S526" s="48" t="str">
        <x:v>0.000</x:v>
      </x:c>
      <x:c r="T526" s="48" t="str">
        <x:v>LARGE_2_TO_LT_5B:N=9,p=1.000; LOWER_MID_LT_2B:N=8,p=1.000; MEGA_GE_5B:N=11,p=1.000</x:v>
      </x:c>
      <x:c r="U526" s="48" t="str">
        <x:v>Maximum-minus-minimum prevalence among adequately observed groups is no more than 0.15.</x:v>
      </x:c>
      <x:c r="V526" s="48" t="str">
        <x:v>At least 5 observable manager families in at least 2 driver groups</x:v>
      </x:c>
      <x:c r="W526" s="48" t="str">
        <x:v>&gt;=0.35 separates; &lt;=0.15 does not separate; intermediate is inconclusive/confounded; direct driver-definition tests are CIRCULAR</x:v>
      </x:c>
      <x:c r="X526" s="48" t="str">
        <x:v>MANAGER_SELF_DESCRIPTION; NOT BEHAVIOURAL FREQUENCY</x:v>
      </x:c>
    </x:row>
    <x:row r="527">
      <x:c r="A527" s="48" t="str">
        <x:v>B_GOVERNANCE_SEGMENTATION</x:v>
      </x:c>
      <x:c r="B527" s="48" t="str">
        <x:v>Tier B v1.1 - N=29 rerun</x:v>
      </x:c>
      <x:c r="C527" s="48" t="str">
        <x:v>2026-07-16</x:v>
      </x:c>
      <x:c r="D527" s="48" t="str">
        <x:v>U04</x:v>
      </x:c>
      <x:c r="E527" s="48" t="str">
        <x:v>UNDERWRITING_DOCUMENTS</x:v>
      </x:c>
      <x:c r="F527" s="48" t="str">
        <x:v>Multiple model or memorandum iterations explicit</x:v>
      </x:c>
      <x:c r="G527" s="48" t="str">
        <x:v>fund_size_archetype</x:v>
      </x:c>
      <x:c r="H527" s="48" t="str">
        <x:v>NOT_APPLICABLE</x:v>
      </x:c>
      <x:c r="I527" s="48" t="str">
        <x:v>1</x:v>
      </x:c>
      <x:c r="J527" s="48" t="str">
        <x:v>1</x:v>
      </x:c>
      <x:c r="K527" s="48" t="str">
        <x:v>0</x:v>
      </x:c>
      <x:c r="L527" s="48" t="str">
        <x:v>0</x:v>
      </x:c>
      <x:c r="M527" s="48" t="str">
        <x:v>1</x:v>
      </x:c>
      <x:c r="N527" s="48" t="str">
        <x:v>0</x:v>
      </x:c>
      <x:c r="O527" s="48" t="str">
        <x:v>0</x:v>
      </x:c>
      <x:c r="P527" s="48" t="str">
        <x:v>0</x:v>
      </x:c>
      <x:c r="Q527" s="48" t="str">
        <x:v>1.000</x:v>
      </x:c>
      <x:c r="R527" s="48" t="str">
        <x:v>DRIVER DOES NOT SEPARATE</x:v>
      </x:c>
      <x:c r="S527" s="48" t="str">
        <x:v>0.000</x:v>
      </x:c>
      <x:c r="T527" s="48" t="str">
        <x:v>LARGE_2_TO_LT_5B:N=9,p=1.000; LOWER_MID_LT_2B:N=8,p=1.000; MEGA_GE_5B:N=11,p=1.000</x:v>
      </x:c>
      <x:c r="U527" s="48" t="str">
        <x:v>Maximum-minus-minimum prevalence among adequately observed groups is no more than 0.15.</x:v>
      </x:c>
      <x:c r="V527" s="48" t="str">
        <x:v>At least 5 observable manager families in at least 2 driver groups</x:v>
      </x:c>
      <x:c r="W527" s="48" t="str">
        <x:v>&gt;=0.35 separates; &lt;=0.15 does not separate; intermediate is inconclusive/confounded; direct driver-definition tests are CIRCULAR</x:v>
      </x:c>
      <x:c r="X527" s="48" t="str">
        <x:v>MANAGER_SELF_DESCRIPTION; NOT BEHAVIOURAL FREQUENCY</x:v>
      </x:c>
    </x:row>
    <x:row r="528">
      <x:c r="A528" s="48" t="str">
        <x:v>B_GOVERNANCE_SEGMENTATION</x:v>
      </x:c>
      <x:c r="B528" s="48" t="str">
        <x:v>Tier B v1.1 - N=29 rerun</x:v>
      </x:c>
      <x:c r="C528" s="48" t="str">
        <x:v>2026-07-16</x:v>
      </x:c>
      <x:c r="D528" s="48" t="str">
        <x:v>U04</x:v>
      </x:c>
      <x:c r="E528" s="48" t="str">
        <x:v>UNDERWRITING_DOCUMENTS</x:v>
      </x:c>
      <x:c r="F528" s="48" t="str">
        <x:v>Multiple model or memorandum iterations explicit</x:v>
      </x:c>
      <x:c r="G528" s="48" t="str">
        <x:v>strategy</x:v>
      </x:c>
      <x:c r="H528" s="48" t="str">
        <x:v>CONTROL_BUYOUT</x:v>
      </x:c>
      <x:c r="I528" s="48" t="str">
        <x:v>22</x:v>
      </x:c>
      <x:c r="J528" s="48" t="str">
        <x:v>22</x:v>
      </x:c>
      <x:c r="K528" s="48" t="str">
        <x:v>0</x:v>
      </x:c>
      <x:c r="L528" s="48" t="str">
        <x:v>0</x:v>
      </x:c>
      <x:c r="M528" s="48" t="str">
        <x:v>22</x:v>
      </x:c>
      <x:c r="N528" s="48" t="str">
        <x:v>0</x:v>
      </x:c>
      <x:c r="O528" s="48" t="str">
        <x:v>0</x:v>
      </x:c>
      <x:c r="P528" s="48" t="str">
        <x:v>0</x:v>
      </x:c>
      <x:c r="Q528" s="48" t="str">
        <x:v>1.000</x:v>
      </x:c>
      <x:c r="R528" s="48" t="str">
        <x:v>DRIVER DOES NOT SEPARATE</x:v>
      </x:c>
      <x:c r="S528" s="48" t="str">
        <x:v>0.000</x:v>
      </x:c>
      <x:c r="T528" s="48" t="str">
        <x:v>CONTROL_BUYOUT:N=22,p=1.000; GROWTH_CONTROL_HYBRID:N=6,p=1.000</x:v>
      </x:c>
      <x:c r="U528" s="48" t="str">
        <x:v>Maximum-minus-minimum prevalence among adequately observed groups is no more than 0.15.</x:v>
      </x:c>
      <x:c r="V528" s="48" t="str">
        <x:v>At least 5 observable manager families in at least 2 driver groups</x:v>
      </x:c>
      <x:c r="W528" s="48" t="str">
        <x:v>&gt;=0.35 separates; &lt;=0.15 does not separate; intermediate is inconclusive/confounded; direct driver-definition tests are CIRCULAR</x:v>
      </x:c>
      <x:c r="X528" s="48" t="str">
        <x:v>MANAGER_SELF_DESCRIPTION; NOT BEHAVIOURAL FREQUENCY</x:v>
      </x:c>
    </x:row>
    <x:row r="529">
      <x:c r="A529" s="48" t="str">
        <x:v>B_GOVERNANCE_SEGMENTATION</x:v>
      </x:c>
      <x:c r="B529" s="48" t="str">
        <x:v>Tier B v1.1 - N=29 rerun</x:v>
      </x:c>
      <x:c r="C529" s="48" t="str">
        <x:v>2026-07-16</x:v>
      </x:c>
      <x:c r="D529" s="48" t="str">
        <x:v>U04</x:v>
      </x:c>
      <x:c r="E529" s="48" t="str">
        <x:v>UNDERWRITING_DOCUMENTS</x:v>
      </x:c>
      <x:c r="F529" s="48" t="str">
        <x:v>Multiple model or memorandum iterations explicit</x:v>
      </x:c>
      <x:c r="G529" s="48" t="str">
        <x:v>strategy</x:v>
      </x:c>
      <x:c r="H529" s="48" t="str">
        <x:v>GROWTH_CONTROL_HYBRID</x:v>
      </x:c>
      <x:c r="I529" s="48" t="str">
        <x:v>6</x:v>
      </x:c>
      <x:c r="J529" s="48" t="str">
        <x:v>6</x:v>
      </x:c>
      <x:c r="K529" s="48" t="str">
        <x:v>0</x:v>
      </x:c>
      <x:c r="L529" s="48" t="str">
        <x:v>0</x:v>
      </x:c>
      <x:c r="M529" s="48" t="str">
        <x:v>6</x:v>
      </x:c>
      <x:c r="N529" s="48" t="str">
        <x:v>0</x:v>
      </x:c>
      <x:c r="O529" s="48" t="str">
        <x:v>0</x:v>
      </x:c>
      <x:c r="P529" s="48" t="str">
        <x:v>0</x:v>
      </x:c>
      <x:c r="Q529" s="48" t="str">
        <x:v>1.000</x:v>
      </x:c>
      <x:c r="R529" s="48" t="str">
        <x:v>DRIVER DOES NOT SEPARATE</x:v>
      </x:c>
      <x:c r="S529" s="48" t="str">
        <x:v>0.000</x:v>
      </x:c>
      <x:c r="T529" s="48" t="str">
        <x:v>CONTROL_BUYOUT:N=22,p=1.000; GROWTH_CONTROL_HYBRID:N=6,p=1.000</x:v>
      </x:c>
      <x:c r="U529" s="48" t="str">
        <x:v>Maximum-minus-minimum prevalence among adequately observed groups is no more than 0.15.</x:v>
      </x:c>
      <x:c r="V529" s="48" t="str">
        <x:v>At least 5 observable manager families in at least 2 driver groups</x:v>
      </x:c>
      <x:c r="W529" s="48" t="str">
        <x:v>&gt;=0.35 separates; &lt;=0.15 does not separate; intermediate is inconclusive/confounded; direct driver-definition tests are CIRCULAR</x:v>
      </x:c>
      <x:c r="X529" s="48" t="str">
        <x:v>MANAGER_SELF_DESCRIPTION; NOT BEHAVIOURAL FREQUENCY</x:v>
      </x:c>
    </x:row>
    <x:row r="530">
      <x:c r="A530" s="48" t="str">
        <x:v>B_GOVERNANCE_SEGMENTATION</x:v>
      </x:c>
      <x:c r="B530" s="48" t="str">
        <x:v>Tier B v1.1 - N=29 rerun</x:v>
      </x:c>
      <x:c r="C530" s="48" t="str">
        <x:v>2026-07-16</x:v>
      </x:c>
      <x:c r="D530" s="48" t="str">
        <x:v>U04</x:v>
      </x:c>
      <x:c r="E530" s="48" t="str">
        <x:v>UNDERWRITING_DOCUMENTS</x:v>
      </x:c>
      <x:c r="F530" s="48" t="str">
        <x:v>Multiple model or memorandum iterations explicit</x:v>
      </x:c>
      <x:c r="G530" s="48" t="str">
        <x:v>strategy</x:v>
      </x:c>
      <x:c r="H530" s="48" t="str">
        <x:v>OPPORTUNISTIC_CONTROL</x:v>
      </x:c>
      <x:c r="I530" s="48" t="str">
        <x:v>1</x:v>
      </x:c>
      <x:c r="J530" s="48" t="str">
        <x:v>1</x:v>
      </x:c>
      <x:c r="K530" s="48" t="str">
        <x:v>0</x:v>
      </x:c>
      <x:c r="L530" s="48" t="str">
        <x:v>0</x:v>
      </x:c>
      <x:c r="M530" s="48" t="str">
        <x:v>1</x:v>
      </x:c>
      <x:c r="N530" s="48" t="str">
        <x:v>0</x:v>
      </x:c>
      <x:c r="O530" s="48" t="str">
        <x:v>0</x:v>
      </x:c>
      <x:c r="P530" s="48" t="str">
        <x:v>0</x:v>
      </x:c>
      <x:c r="Q530" s="48" t="str">
        <x:v>1.000</x:v>
      </x:c>
      <x:c r="R530" s="48" t="str">
        <x:v>DRIVER DOES NOT SEPARATE</x:v>
      </x:c>
      <x:c r="S530" s="48" t="str">
        <x:v>0.000</x:v>
      </x:c>
      <x:c r="T530" s="48" t="str">
        <x:v>CONTROL_BUYOUT:N=22,p=1.000; GROWTH_CONTROL_HYBRID:N=6,p=1.000</x:v>
      </x:c>
      <x:c r="U530" s="48" t="str">
        <x:v>Maximum-minus-minimum prevalence among adequately observed groups is no more than 0.15.</x:v>
      </x:c>
      <x:c r="V530" s="48" t="str">
        <x:v>At least 5 observable manager families in at least 2 driver groups</x:v>
      </x:c>
      <x:c r="W530" s="48" t="str">
        <x:v>&gt;=0.35 separates; &lt;=0.15 does not separate; intermediate is inconclusive/confounded; direct driver-definition tests are CIRCULAR</x:v>
      </x:c>
      <x:c r="X530" s="48" t="str">
        <x:v>MANAGER_SELF_DESCRIPTION; NOT BEHAVIOURAL FREQUENCY</x:v>
      </x:c>
    </x:row>
    <x:row r="531">
      <x:c r="A531" s="48" t="str">
        <x:v>B_GOVERNANCE_SEGMENTATION</x:v>
      </x:c>
      <x:c r="B531" s="48" t="str">
        <x:v>Tier B v1.1 - N=29 rerun</x:v>
      </x:c>
      <x:c r="C531" s="48" t="str">
        <x:v>2026-07-16</x:v>
      </x:c>
      <x:c r="D531" s="48" t="str">
        <x:v>U04</x:v>
      </x:c>
      <x:c r="E531" s="48" t="str">
        <x:v>UNDERWRITING_DOCUMENTS</x:v>
      </x:c>
      <x:c r="F531" s="48" t="str">
        <x:v>Multiple model or memorandum iterations explicit</x:v>
      </x:c>
      <x:c r="G531" s="48" t="str">
        <x:v>geography</x:v>
      </x:c>
      <x:c r="H531" s="48" t="str">
        <x:v>ASIA_PACIFIC</x:v>
      </x:c>
      <x:c r="I531" s="48" t="str">
        <x:v>4</x:v>
      </x:c>
      <x:c r="J531" s="48" t="str">
        <x:v>4</x:v>
      </x:c>
      <x:c r="K531" s="48" t="str">
        <x:v>0</x:v>
      </x:c>
      <x:c r="L531" s="48" t="str">
        <x:v>0</x:v>
      </x:c>
      <x:c r="M531" s="48" t="str">
        <x:v>4</x:v>
      </x:c>
      <x:c r="N531" s="48" t="str">
        <x:v>0</x:v>
      </x:c>
      <x:c r="O531" s="48" t="str">
        <x:v>0</x:v>
      </x:c>
      <x:c r="P531" s="48" t="str">
        <x:v>0</x:v>
      </x:c>
      <x:c r="Q531" s="48" t="str">
        <x:v>1.000</x:v>
      </x:c>
      <x:c r="R531" s="48" t="str">
        <x:v>DRIVER DOES NOT SEPARATE</x:v>
      </x:c>
      <x:c r="S531" s="48" t="str">
        <x:v>0.000</x:v>
      </x:c>
      <x:c r="T531" s="48" t="str">
        <x:v>GLOBAL_TRANSATLANTIC:N=10,p=1.000; NORTH_AMERICA:N=13,p=1.000</x:v>
      </x:c>
      <x:c r="U531" s="48" t="str">
        <x:v>Maximum-minus-minimum prevalence among adequately observed groups is no more than 0.15.</x:v>
      </x:c>
      <x:c r="V531" s="48" t="str">
        <x:v>At least 5 observable manager families in at least 2 driver groups</x:v>
      </x:c>
      <x:c r="W531" s="48" t="str">
        <x:v>&gt;=0.35 separates; &lt;=0.15 does not separate; intermediate is inconclusive/confounded; direct driver-definition tests are CIRCULAR</x:v>
      </x:c>
      <x:c r="X531" s="48" t="str">
        <x:v>MANAGER_SELF_DESCRIPTION; NOT BEHAVIOURAL FREQUENCY</x:v>
      </x:c>
    </x:row>
    <x:row r="532">
      <x:c r="A532" s="48" t="str">
        <x:v>B_GOVERNANCE_SEGMENTATION</x:v>
      </x:c>
      <x:c r="B532" s="48" t="str">
        <x:v>Tier B v1.1 - N=29 rerun</x:v>
      </x:c>
      <x:c r="C532" s="48" t="str">
        <x:v>2026-07-16</x:v>
      </x:c>
      <x:c r="D532" s="48" t="str">
        <x:v>U04</x:v>
      </x:c>
      <x:c r="E532" s="48" t="str">
        <x:v>UNDERWRITING_DOCUMENTS</x:v>
      </x:c>
      <x:c r="F532" s="48" t="str">
        <x:v>Multiple model or memorandum iterations explicit</x:v>
      </x:c>
      <x:c r="G532" s="48" t="str">
        <x:v>geography</x:v>
      </x:c>
      <x:c r="H532" s="48" t="str">
        <x:v>EUROPE</x:v>
      </x:c>
      <x:c r="I532" s="48" t="str">
        <x:v>2</x:v>
      </x:c>
      <x:c r="J532" s="48" t="str">
        <x:v>2</x:v>
      </x:c>
      <x:c r="K532" s="48" t="str">
        <x:v>0</x:v>
      </x:c>
      <x:c r="L532" s="48" t="str">
        <x:v>0</x:v>
      </x:c>
      <x:c r="M532" s="48" t="str">
        <x:v>2</x:v>
      </x:c>
      <x:c r="N532" s="48" t="str">
        <x:v>0</x:v>
      </x:c>
      <x:c r="O532" s="48" t="str">
        <x:v>0</x:v>
      </x:c>
      <x:c r="P532" s="48" t="str">
        <x:v>0</x:v>
      </x:c>
      <x:c r="Q532" s="48" t="str">
        <x:v>1.000</x:v>
      </x:c>
      <x:c r="R532" s="48" t="str">
        <x:v>DRIVER DOES NOT SEPARATE</x:v>
      </x:c>
      <x:c r="S532" s="48" t="str">
        <x:v>0.000</x:v>
      </x:c>
      <x:c r="T532" s="48" t="str">
        <x:v>GLOBAL_TRANSATLANTIC:N=10,p=1.000; NORTH_AMERICA:N=13,p=1.000</x:v>
      </x:c>
      <x:c r="U532" s="48" t="str">
        <x:v>Maximum-minus-minimum prevalence among adequately observed groups is no more than 0.15.</x:v>
      </x:c>
      <x:c r="V532" s="48" t="str">
        <x:v>At least 5 observable manager families in at least 2 driver groups</x:v>
      </x:c>
      <x:c r="W532" s="48" t="str">
        <x:v>&gt;=0.35 separates; &lt;=0.15 does not separate; intermediate is inconclusive/confounded; direct driver-definition tests are CIRCULAR</x:v>
      </x:c>
      <x:c r="X532" s="48" t="str">
        <x:v>MANAGER_SELF_DESCRIPTION; NOT BEHAVIOURAL FREQUENCY</x:v>
      </x:c>
    </x:row>
    <x:row r="533">
      <x:c r="A533" s="48" t="str">
        <x:v>B_GOVERNANCE_SEGMENTATION</x:v>
      </x:c>
      <x:c r="B533" s="48" t="str">
        <x:v>Tier B v1.1 - N=29 rerun</x:v>
      </x:c>
      <x:c r="C533" s="48" t="str">
        <x:v>2026-07-16</x:v>
      </x:c>
      <x:c r="D533" s="48" t="str">
        <x:v>U04</x:v>
      </x:c>
      <x:c r="E533" s="48" t="str">
        <x:v>UNDERWRITING_DOCUMENTS</x:v>
      </x:c>
      <x:c r="F533" s="48" t="str">
        <x:v>Multiple model or memorandum iterations explicit</x:v>
      </x:c>
      <x:c r="G533" s="48" t="str">
        <x:v>geography</x:v>
      </x:c>
      <x:c r="H533" s="48" t="str">
        <x:v>GLOBAL_TRANSATLANTIC</x:v>
      </x:c>
      <x:c r="I533" s="48" t="str">
        <x:v>10</x:v>
      </x:c>
      <x:c r="J533" s="48" t="str">
        <x:v>10</x:v>
      </x:c>
      <x:c r="K533" s="48" t="str">
        <x:v>0</x:v>
      </x:c>
      <x:c r="L533" s="48" t="str">
        <x:v>0</x:v>
      </x:c>
      <x:c r="M533" s="48" t="str">
        <x:v>10</x:v>
      </x:c>
      <x:c r="N533" s="48" t="str">
        <x:v>0</x:v>
      </x:c>
      <x:c r="O533" s="48" t="str">
        <x:v>0</x:v>
      </x:c>
      <x:c r="P533" s="48" t="str">
        <x:v>0</x:v>
      </x:c>
      <x:c r="Q533" s="48" t="str">
        <x:v>1.000</x:v>
      </x:c>
      <x:c r="R533" s="48" t="str">
        <x:v>DRIVER DOES NOT SEPARATE</x:v>
      </x:c>
      <x:c r="S533" s="48" t="str">
        <x:v>0.000</x:v>
      </x:c>
      <x:c r="T533" s="48" t="str">
        <x:v>GLOBAL_TRANSATLANTIC:N=10,p=1.000; NORTH_AMERICA:N=13,p=1.000</x:v>
      </x:c>
      <x:c r="U533" s="48" t="str">
        <x:v>Maximum-minus-minimum prevalence among adequately observed groups is no more than 0.15.</x:v>
      </x:c>
      <x:c r="V533" s="48" t="str">
        <x:v>At least 5 observable manager families in at least 2 driver groups</x:v>
      </x:c>
      <x:c r="W533" s="48" t="str">
        <x:v>&gt;=0.35 separates; &lt;=0.15 does not separate; intermediate is inconclusive/confounded; direct driver-definition tests are CIRCULAR</x:v>
      </x:c>
      <x:c r="X533" s="48" t="str">
        <x:v>MANAGER_SELF_DESCRIPTION; NOT BEHAVIOURAL FREQUENCY</x:v>
      </x:c>
    </x:row>
    <x:row r="534">
      <x:c r="A534" s="48" t="str">
        <x:v>B_GOVERNANCE_SEGMENTATION</x:v>
      </x:c>
      <x:c r="B534" s="48" t="str">
        <x:v>Tier B v1.1 - N=29 rerun</x:v>
      </x:c>
      <x:c r="C534" s="48" t="str">
        <x:v>2026-07-16</x:v>
      </x:c>
      <x:c r="D534" s="48" t="str">
        <x:v>U04</x:v>
      </x:c>
      <x:c r="E534" s="48" t="str">
        <x:v>UNDERWRITING_DOCUMENTS</x:v>
      </x:c>
      <x:c r="F534" s="48" t="str">
        <x:v>Multiple model or memorandum iterations explicit</x:v>
      </x:c>
      <x:c r="G534" s="48" t="str">
        <x:v>geography</x:v>
      </x:c>
      <x:c r="H534" s="48" t="str">
        <x:v>NORTH_AMERICA</x:v>
      </x:c>
      <x:c r="I534" s="48" t="str">
        <x:v>13</x:v>
      </x:c>
      <x:c r="J534" s="48" t="str">
        <x:v>13</x:v>
      </x:c>
      <x:c r="K534" s="48" t="str">
        <x:v>0</x:v>
      </x:c>
      <x:c r="L534" s="48" t="str">
        <x:v>0</x:v>
      </x:c>
      <x:c r="M534" s="48" t="str">
        <x:v>13</x:v>
      </x:c>
      <x:c r="N534" s="48" t="str">
        <x:v>0</x:v>
      </x:c>
      <x:c r="O534" s="48" t="str">
        <x:v>0</x:v>
      </x:c>
      <x:c r="P534" s="48" t="str">
        <x:v>0</x:v>
      </x:c>
      <x:c r="Q534" s="48" t="str">
        <x:v>1.000</x:v>
      </x:c>
      <x:c r="R534" s="48" t="str">
        <x:v>DRIVER DOES NOT SEPARATE</x:v>
      </x:c>
      <x:c r="S534" s="48" t="str">
        <x:v>0.000</x:v>
      </x:c>
      <x:c r="T534" s="48" t="str">
        <x:v>GLOBAL_TRANSATLANTIC:N=10,p=1.000; NORTH_AMERICA:N=13,p=1.000</x:v>
      </x:c>
      <x:c r="U534" s="48" t="str">
        <x:v>Maximum-minus-minimum prevalence among adequately observed groups is no more than 0.15.</x:v>
      </x:c>
      <x:c r="V534" s="48" t="str">
        <x:v>At least 5 observable manager families in at least 2 driver groups</x:v>
      </x:c>
      <x:c r="W534" s="48" t="str">
        <x:v>&gt;=0.35 separates; &lt;=0.15 does not separate; intermediate is inconclusive/confounded; direct driver-definition tests are CIRCULAR</x:v>
      </x:c>
      <x:c r="X534" s="48" t="str">
        <x:v>MANAGER_SELF_DESCRIPTION; NOT BEHAVIOURAL FREQUENCY</x:v>
      </x:c>
    </x:row>
    <x:row r="535">
      <x:c r="A535" s="48" t="str">
        <x:v>B_GOVERNANCE_SEGMENTATION</x:v>
      </x:c>
      <x:c r="B535" s="48" t="str">
        <x:v>Tier B v1.1 - N=29 rerun</x:v>
      </x:c>
      <x:c r="C535" s="48" t="str">
        <x:v>2026-07-16</x:v>
      </x:c>
      <x:c r="D535" s="48" t="str">
        <x:v>U04</x:v>
      </x:c>
      <x:c r="E535" s="48" t="str">
        <x:v>UNDERWRITING_DOCUMENTS</x:v>
      </x:c>
      <x:c r="F535" s="48" t="str">
        <x:v>Multiple model or memorandum iterations explicit</x:v>
      </x:c>
      <x:c r="G535" s="48" t="str">
        <x:v>source_vintage_bin</x:v>
      </x:c>
      <x:c r="H535" s="48" t="str">
        <x:v>2018_2020</x:v>
      </x:c>
      <x:c r="I535" s="48" t="str">
        <x:v>6</x:v>
      </x:c>
      <x:c r="J535" s="48" t="str">
        <x:v>6</x:v>
      </x:c>
      <x:c r="K535" s="48" t="str">
        <x:v>0</x:v>
      </x:c>
      <x:c r="L535" s="48" t="str">
        <x:v>0</x:v>
      </x:c>
      <x:c r="M535" s="48" t="str">
        <x:v>6</x:v>
      </x:c>
      <x:c r="N535" s="48" t="str">
        <x:v>0</x:v>
      </x:c>
      <x:c r="O535" s="48" t="str">
        <x:v>0</x:v>
      </x:c>
      <x:c r="P535" s="48" t="str">
        <x:v>0</x:v>
      </x:c>
      <x:c r="Q535" s="48" t="str">
        <x:v>1.000</x:v>
      </x:c>
      <x:c r="R535" s="48" t="str">
        <x:v>DRIVER DOES NOT SEPARATE</x:v>
      </x:c>
      <x:c r="S535" s="48" t="str">
        <x:v>0.000</x:v>
      </x:c>
      <x:c r="T535" s="48" t="str">
        <x:v>2018_2020:N=6,p=1.000; 2021_2023:N=11,p=1.000; 2024_2026:N=12,p=1.000</x:v>
      </x:c>
      <x:c r="U535" s="48" t="str">
        <x:v>Maximum-minus-minimum prevalence among adequately observed groups is no more than 0.15.</x:v>
      </x:c>
      <x:c r="V535" s="48" t="str">
        <x:v>At least 5 observable manager families in at least 2 driver groups</x:v>
      </x:c>
      <x:c r="W535" s="48" t="str">
        <x:v>&gt;=0.35 separates; &lt;=0.15 does not separate; intermediate is inconclusive/confounded; direct driver-definition tests are CIRCULAR</x:v>
      </x:c>
      <x:c r="X535" s="48" t="str">
        <x:v>MANAGER_SELF_DESCRIPTION; NOT BEHAVIOURAL FREQUENCY</x:v>
      </x:c>
    </x:row>
    <x:row r="536">
      <x:c r="A536" s="48" t="str">
        <x:v>B_GOVERNANCE_SEGMENTATION</x:v>
      </x:c>
      <x:c r="B536" s="48" t="str">
        <x:v>Tier B v1.1 - N=29 rerun</x:v>
      </x:c>
      <x:c r="C536" s="48" t="str">
        <x:v>2026-07-16</x:v>
      </x:c>
      <x:c r="D536" s="48" t="str">
        <x:v>U04</x:v>
      </x:c>
      <x:c r="E536" s="48" t="str">
        <x:v>UNDERWRITING_DOCUMENTS</x:v>
      </x:c>
      <x:c r="F536" s="48" t="str">
        <x:v>Multiple model or memorandum iterations explicit</x:v>
      </x:c>
      <x:c r="G536" s="48" t="str">
        <x:v>source_vintage_bin</x:v>
      </x:c>
      <x:c r="H536" s="48" t="str">
        <x:v>2021_2023</x:v>
      </x:c>
      <x:c r="I536" s="48" t="str">
        <x:v>11</x:v>
      </x:c>
      <x:c r="J536" s="48" t="str">
        <x:v>11</x:v>
      </x:c>
      <x:c r="K536" s="48" t="str">
        <x:v>0</x:v>
      </x:c>
      <x:c r="L536" s="48" t="str">
        <x:v>0</x:v>
      </x:c>
      <x:c r="M536" s="48" t="str">
        <x:v>11</x:v>
      </x:c>
      <x:c r="N536" s="48" t="str">
        <x:v>0</x:v>
      </x:c>
      <x:c r="O536" s="48" t="str">
        <x:v>0</x:v>
      </x:c>
      <x:c r="P536" s="48" t="str">
        <x:v>0</x:v>
      </x:c>
      <x:c r="Q536" s="48" t="str">
        <x:v>1.000</x:v>
      </x:c>
      <x:c r="R536" s="48" t="str">
        <x:v>DRIVER DOES NOT SEPARATE</x:v>
      </x:c>
      <x:c r="S536" s="48" t="str">
        <x:v>0.000</x:v>
      </x:c>
      <x:c r="T536" s="48" t="str">
        <x:v>2018_2020:N=6,p=1.000; 2021_2023:N=11,p=1.000; 2024_2026:N=12,p=1.000</x:v>
      </x:c>
      <x:c r="U536" s="48" t="str">
        <x:v>Maximum-minus-minimum prevalence among adequately observed groups is no more than 0.15.</x:v>
      </x:c>
      <x:c r="V536" s="48" t="str">
        <x:v>At least 5 observable manager families in at least 2 driver groups</x:v>
      </x:c>
      <x:c r="W536" s="48" t="str">
        <x:v>&gt;=0.35 separates; &lt;=0.15 does not separate; intermediate is inconclusive/confounded; direct driver-definition tests are CIRCULAR</x:v>
      </x:c>
      <x:c r="X536" s="48" t="str">
        <x:v>MANAGER_SELF_DESCRIPTION; NOT BEHAVIOURAL FREQUENCY</x:v>
      </x:c>
    </x:row>
    <x:row r="537">
      <x:c r="A537" s="48" t="str">
        <x:v>B_GOVERNANCE_SEGMENTATION</x:v>
      </x:c>
      <x:c r="B537" s="48" t="str">
        <x:v>Tier B v1.1 - N=29 rerun</x:v>
      </x:c>
      <x:c r="C537" s="48" t="str">
        <x:v>2026-07-16</x:v>
      </x:c>
      <x:c r="D537" s="48" t="str">
        <x:v>U04</x:v>
      </x:c>
      <x:c r="E537" s="48" t="str">
        <x:v>UNDERWRITING_DOCUMENTS</x:v>
      </x:c>
      <x:c r="F537" s="48" t="str">
        <x:v>Multiple model or memorandum iterations explicit</x:v>
      </x:c>
      <x:c r="G537" s="48" t="str">
        <x:v>source_vintage_bin</x:v>
      </x:c>
      <x:c r="H537" s="48" t="str">
        <x:v>2024_2026</x:v>
      </x:c>
      <x:c r="I537" s="48" t="str">
        <x:v>12</x:v>
      </x:c>
      <x:c r="J537" s="48" t="str">
        <x:v>12</x:v>
      </x:c>
      <x:c r="K537" s="48" t="str">
        <x:v>0</x:v>
      </x:c>
      <x:c r="L537" s="48" t="str">
        <x:v>0</x:v>
      </x:c>
      <x:c r="M537" s="48" t="str">
        <x:v>12</x:v>
      </x:c>
      <x:c r="N537" s="48" t="str">
        <x:v>0</x:v>
      </x:c>
      <x:c r="O537" s="48" t="str">
        <x:v>0</x:v>
      </x:c>
      <x:c r="P537" s="48" t="str">
        <x:v>0</x:v>
      </x:c>
      <x:c r="Q537" s="48" t="str">
        <x:v>1.000</x:v>
      </x:c>
      <x:c r="R537" s="48" t="str">
        <x:v>DRIVER DOES NOT SEPARATE</x:v>
      </x:c>
      <x:c r="S537" s="48" t="str">
        <x:v>0.000</x:v>
      </x:c>
      <x:c r="T537" s="48" t="str">
        <x:v>2018_2020:N=6,p=1.000; 2021_2023:N=11,p=1.000; 2024_2026:N=12,p=1.000</x:v>
      </x:c>
      <x:c r="U537" s="48" t="str">
        <x:v>Maximum-minus-minimum prevalence among adequately observed groups is no more than 0.15.</x:v>
      </x:c>
      <x:c r="V537" s="48" t="str">
        <x:v>At least 5 observable manager families in at least 2 driver groups</x:v>
      </x:c>
      <x:c r="W537" s="48" t="str">
        <x:v>&gt;=0.35 separates; &lt;=0.15 does not separate; intermediate is inconclusive/confounded; direct driver-definition tests are CIRCULAR</x:v>
      </x:c>
      <x:c r="X537" s="48" t="str">
        <x:v>MANAGER_SELF_DESCRIPTION; NOT BEHAVIOURAL FREQUENCY</x:v>
      </x:c>
    </x:row>
    <x:row r="538">
      <x:c r="A538" s="48" t="str">
        <x:v>B_GOVERNANCE_SEGMENTATION</x:v>
      </x:c>
      <x:c r="B538" s="48" t="str">
        <x:v>Tier B v1.1 - N=29 rerun</x:v>
      </x:c>
      <x:c r="C538" s="48" t="str">
        <x:v>2026-07-16</x:v>
      </x:c>
      <x:c r="D538" s="48" t="str">
        <x:v>U04</x:v>
      </x:c>
      <x:c r="E538" s="48" t="str">
        <x:v>UNDERWRITING_DOCUMENTS</x:v>
      </x:c>
      <x:c r="F538" s="48" t="str">
        <x:v>Multiple model or memorandum iterations explicit</x:v>
      </x:c>
      <x:c r="G538" s="48" t="str">
        <x:v>governance_architecture</x:v>
      </x:c>
      <x:c r="H538" s="48" t="str">
        <x:v>IC_FINAL_OR_DE_FACTO</x:v>
      </x:c>
      <x:c r="I538" s="48" t="str">
        <x:v>26</x:v>
      </x:c>
      <x:c r="J538" s="48" t="str">
        <x:v>26</x:v>
      </x:c>
      <x:c r="K538" s="48" t="str">
        <x:v>0</x:v>
      </x:c>
      <x:c r="L538" s="48" t="str">
        <x:v>0</x:v>
      </x:c>
      <x:c r="M538" s="48" t="str">
        <x:v>26</x:v>
      </x:c>
      <x:c r="N538" s="48" t="str">
        <x:v>0</x:v>
      </x:c>
      <x:c r="O538" s="48" t="str">
        <x:v>0</x:v>
      </x:c>
      <x:c r="P538" s="48" t="str">
        <x:v>0</x:v>
      </x:c>
      <x:c r="Q538" s="48" t="str">
        <x:v>1.000</x:v>
      </x:c>
      <x:c r="R538" s="48" t="str">
        <x:v>N TOO SMALL</x:v>
      </x:c>
      <x:c r="S538" s="48" t="str"/>
      <x:c r="T538" s="48" t="str">
        <x:v>IC_FINAL_OR_DE_FACTO:N=26,p=1.000</x:v>
      </x:c>
      <x:c r="U538" s="48" t="str">
        <x:v>Fewer than two driver groups have at least 5 observable manager families.</x:v>
      </x:c>
      <x:c r="V538" s="48" t="str">
        <x:v>At least 5 observable manager families in at least 2 driver groups</x:v>
      </x:c>
      <x:c r="W538" s="48" t="str">
        <x:v>&gt;=0.35 separates; &lt;=0.15 does not separate; intermediate is inconclusive/confounded; direct driver-definition tests are CIRCULAR</x:v>
      </x:c>
      <x:c r="X538" s="48" t="str">
        <x:v>MANAGER_SELF_DESCRIPTION; NOT BEHAVIOURAL FREQUENCY</x:v>
      </x:c>
    </x:row>
    <x:row r="539">
      <x:c r="A539" s="48" t="str">
        <x:v>B_GOVERNANCE_SEGMENTATION</x:v>
      </x:c>
      <x:c r="B539" s="48" t="str">
        <x:v>Tier B v1.1 - N=29 rerun</x:v>
      </x:c>
      <x:c r="C539" s="48" t="str">
        <x:v>2026-07-16</x:v>
      </x:c>
      <x:c r="D539" s="48" t="str">
        <x:v>U04</x:v>
      </x:c>
      <x:c r="E539" s="48" t="str">
        <x:v>UNDERWRITING_DOCUMENTS</x:v>
      </x:c>
      <x:c r="F539" s="48" t="str">
        <x:v>Multiple model or memorandum iterations explicit</x:v>
      </x:c>
      <x:c r="G539" s="48" t="str">
        <x:v>governance_architecture</x:v>
      </x:c>
      <x:c r="H539" s="48" t="str">
        <x:v>IC_RECOMMENDS_SEPARATE_FINAL_AUTHORITY</x:v>
      </x:c>
      <x:c r="I539" s="48" t="str">
        <x:v>3</x:v>
      </x:c>
      <x:c r="J539" s="48" t="str">
        <x:v>3</x:v>
      </x:c>
      <x:c r="K539" s="48" t="str">
        <x:v>0</x:v>
      </x:c>
      <x:c r="L539" s="48" t="str">
        <x:v>0</x:v>
      </x:c>
      <x:c r="M539" s="48" t="str">
        <x:v>3</x:v>
      </x:c>
      <x:c r="N539" s="48" t="str">
        <x:v>0</x:v>
      </x:c>
      <x:c r="O539" s="48" t="str">
        <x:v>0</x:v>
      </x:c>
      <x:c r="P539" s="48" t="str">
        <x:v>0</x:v>
      </x:c>
      <x:c r="Q539" s="48" t="str">
        <x:v>1.000</x:v>
      </x:c>
      <x:c r="R539" s="48" t="str">
        <x:v>N TOO SMALL</x:v>
      </x:c>
      <x:c r="S539" s="48" t="str"/>
      <x:c r="T539" s="48" t="str">
        <x:v>IC_FINAL_OR_DE_FACTO:N=26,p=1.000</x:v>
      </x:c>
      <x:c r="U539" s="48" t="str">
        <x:v>Fewer than two driver groups have at least 5 observable manager families.</x:v>
      </x:c>
      <x:c r="V539" s="48" t="str">
        <x:v>At least 5 observable manager families in at least 2 driver groups</x:v>
      </x:c>
      <x:c r="W539" s="48" t="str">
        <x:v>&gt;=0.35 separates; &lt;=0.15 does not separate; intermediate is inconclusive/confounded; direct driver-definition tests are CIRCULAR</x:v>
      </x:c>
      <x:c r="X539" s="48" t="str">
        <x:v>MANAGER_SELF_DESCRIPTION; NOT BEHAVIOURAL FREQUENCY</x:v>
      </x:c>
    </x:row>
    <x:row r="540">
      <x:c r="A540" s="48" t="str">
        <x:v>B_GOVERNANCE_SEGMENTATION</x:v>
      </x:c>
      <x:c r="B540" s="48" t="str">
        <x:v>Tier B v1.1 - N=29 rerun</x:v>
      </x:c>
      <x:c r="C540" s="48" t="str">
        <x:v>2026-07-16</x:v>
      </x:c>
      <x:c r="D540" s="48" t="str">
        <x:v>U04</x:v>
      </x:c>
      <x:c r="E540" s="48" t="str">
        <x:v>UNDERWRITING_DOCUMENTS</x:v>
      </x:c>
      <x:c r="F540" s="48" t="str">
        <x:v>Multiple model or memorandum iterations explicit</x:v>
      </x:c>
      <x:c r="G540" s="48" t="str">
        <x:v>dedicated_operating_team</x:v>
      </x:c>
      <x:c r="H540" s="48" t="str">
        <x:v>NO_OR_LIMITED</x:v>
      </x:c>
      <x:c r="I540" s="48" t="str">
        <x:v>6</x:v>
      </x:c>
      <x:c r="J540" s="48" t="str">
        <x:v>6</x:v>
      </x:c>
      <x:c r="K540" s="48" t="str">
        <x:v>0</x:v>
      </x:c>
      <x:c r="L540" s="48" t="str">
        <x:v>0</x:v>
      </x:c>
      <x:c r="M540" s="48" t="str">
        <x:v>6</x:v>
      </x:c>
      <x:c r="N540" s="48" t="str">
        <x:v>0</x:v>
      </x:c>
      <x:c r="O540" s="48" t="str">
        <x:v>0</x:v>
      </x:c>
      <x:c r="P540" s="48" t="str">
        <x:v>0</x:v>
      </x:c>
      <x:c r="Q540" s="48" t="str">
        <x:v>1.000</x:v>
      </x:c>
      <x:c r="R540" s="48" t="str">
        <x:v>DRIVER DOES NOT SEPARATE</x:v>
      </x:c>
      <x:c r="S540" s="48" t="str">
        <x:v>0.000</x:v>
      </x:c>
      <x:c r="T540" s="48" t="str">
        <x:v>NO_OR_LIMITED:N=6,p=1.000; YES_DEDICATED:N=23,p=1.000</x:v>
      </x:c>
      <x:c r="U540" s="48" t="str">
        <x:v>Maximum-minus-minimum prevalence among adequately observed groups is no more than 0.15.</x:v>
      </x:c>
      <x:c r="V540" s="48" t="str">
        <x:v>At least 5 observable manager families in at least 2 driver groups</x:v>
      </x:c>
      <x:c r="W540" s="48" t="str">
        <x:v>&gt;=0.35 separates; &lt;=0.15 does not separate; intermediate is inconclusive/confounded; direct driver-definition tests are CIRCULAR</x:v>
      </x:c>
      <x:c r="X540" s="48" t="str">
        <x:v>MANAGER_SELF_DESCRIPTION; NOT BEHAVIOURAL FREQUENCY</x:v>
      </x:c>
    </x:row>
    <x:row r="541">
      <x:c r="A541" s="48" t="str">
        <x:v>B_GOVERNANCE_SEGMENTATION</x:v>
      </x:c>
      <x:c r="B541" s="48" t="str">
        <x:v>Tier B v1.1 - N=29 rerun</x:v>
      </x:c>
      <x:c r="C541" s="48" t="str">
        <x:v>2026-07-16</x:v>
      </x:c>
      <x:c r="D541" s="48" t="str">
        <x:v>U04</x:v>
      </x:c>
      <x:c r="E541" s="48" t="str">
        <x:v>UNDERWRITING_DOCUMENTS</x:v>
      </x:c>
      <x:c r="F541" s="48" t="str">
        <x:v>Multiple model or memorandum iterations explicit</x:v>
      </x:c>
      <x:c r="G541" s="48" t="str">
        <x:v>dedicated_operating_team</x:v>
      </x:c>
      <x:c r="H541" s="48" t="str">
        <x:v>YES_DEDICATED</x:v>
      </x:c>
      <x:c r="I541" s="48" t="str">
        <x:v>23</x:v>
      </x:c>
      <x:c r="J541" s="48" t="str">
        <x:v>23</x:v>
      </x:c>
      <x:c r="K541" s="48" t="str">
        <x:v>0</x:v>
      </x:c>
      <x:c r="L541" s="48" t="str">
        <x:v>0</x:v>
      </x:c>
      <x:c r="M541" s="48" t="str">
        <x:v>23</x:v>
      </x:c>
      <x:c r="N541" s="48" t="str">
        <x:v>0</x:v>
      </x:c>
      <x:c r="O541" s="48" t="str">
        <x:v>0</x:v>
      </x:c>
      <x:c r="P541" s="48" t="str">
        <x:v>0</x:v>
      </x:c>
      <x:c r="Q541" s="48" t="str">
        <x:v>1.000</x:v>
      </x:c>
      <x:c r="R541" s="48" t="str">
        <x:v>DRIVER DOES NOT SEPARATE</x:v>
      </x:c>
      <x:c r="S541" s="48" t="str">
        <x:v>0.000</x:v>
      </x:c>
      <x:c r="T541" s="48" t="str">
        <x:v>NO_OR_LIMITED:N=6,p=1.000; YES_DEDICATED:N=23,p=1.000</x:v>
      </x:c>
      <x:c r="U541" s="48" t="str">
        <x:v>Maximum-minus-minimum prevalence among adequately observed groups is no more than 0.15.</x:v>
      </x:c>
      <x:c r="V541" s="48" t="str">
        <x:v>At least 5 observable manager families in at least 2 driver groups</x:v>
      </x:c>
      <x:c r="W541" s="48" t="str">
        <x:v>&gt;=0.35 separates; &lt;=0.15 does not separate; intermediate is inconclusive/confounded; direct driver-definition tests are CIRCULAR</x:v>
      </x:c>
      <x:c r="X541" s="48" t="str">
        <x:v>MANAGER_SELF_DESCRIPTION; NOT BEHAVIOURAL FREQUENCY</x:v>
      </x:c>
    </x:row>
    <x:row r="542">
      <x:c r="A542" s="48" t="str">
        <x:v>B_GOVERNANCE_SEGMENTATION</x:v>
      </x:c>
      <x:c r="B542" s="48" t="str">
        <x:v>Tier B v1.1 - N=29 rerun</x:v>
      </x:c>
      <x:c r="C542" s="48" t="str">
        <x:v>2026-07-16</x:v>
      </x:c>
      <x:c r="D542" s="48" t="str">
        <x:v>U05</x:v>
      </x:c>
      <x:c r="E542" s="48" t="str">
        <x:v>UNDERWRITING_DOCUMENTS</x:v>
      </x:c>
      <x:c r="F542" s="48" t="str">
        <x:v>Progressive memorandum family</x:v>
      </x:c>
      <x:c r="G542" s="48" t="str">
        <x:v>fund_size_archetype</x:v>
      </x:c>
      <x:c r="H542" s="48" t="str">
        <x:v>LARGE_2_TO_LT_5B</x:v>
      </x:c>
      <x:c r="I542" s="48" t="str">
        <x:v>9</x:v>
      </x:c>
      <x:c r="J542" s="48" t="str">
        <x:v>9</x:v>
      </x:c>
      <x:c r="K542" s="48" t="str">
        <x:v>0</x:v>
      </x:c>
      <x:c r="L542" s="48" t="str">
        <x:v>0</x:v>
      </x:c>
      <x:c r="M542" s="48" t="str">
        <x:v>9</x:v>
      </x:c>
      <x:c r="N542" s="48" t="str">
        <x:v>0</x:v>
      </x:c>
      <x:c r="O542" s="48" t="str">
        <x:v>0</x:v>
      </x:c>
      <x:c r="P542" s="48" t="str">
        <x:v>0</x:v>
      </x:c>
      <x:c r="Q542" s="48" t="str">
        <x:v>1.000</x:v>
      </x:c>
      <x:c r="R542" s="48" t="str">
        <x:v>DRIVER DOES NOT SEPARATE</x:v>
      </x:c>
      <x:c r="S542" s="48" t="str">
        <x:v>0.125</x:v>
      </x:c>
      <x:c r="T542" s="48" t="str">
        <x:v>LARGE_2_TO_LT_5B:N=9,p=1.000; LOWER_MID_LT_2B:N=8,p=0.875; MEGA_GE_5B:N=11,p=1.000</x:v>
      </x:c>
      <x:c r="U542" s="48" t="str">
        <x:v>Maximum-minus-minimum prevalence among adequately observed groups is no more than 0.15.</x:v>
      </x:c>
      <x:c r="V542" s="48" t="str">
        <x:v>At least 5 observable manager families in at least 2 driver groups</x:v>
      </x:c>
      <x:c r="W542" s="48" t="str">
        <x:v>&gt;=0.35 separates; &lt;=0.15 does not separate; intermediate is inconclusive/confounded; direct driver-definition tests are CIRCULAR</x:v>
      </x:c>
      <x:c r="X542" s="48" t="str">
        <x:v>MANAGER_SELF_DESCRIPTION; NOT BEHAVIOURAL FREQUENCY</x:v>
      </x:c>
    </x:row>
    <x:row r="543">
      <x:c r="A543" s="48" t="str">
        <x:v>B_GOVERNANCE_SEGMENTATION</x:v>
      </x:c>
      <x:c r="B543" s="48" t="str">
        <x:v>Tier B v1.1 - N=29 rerun</x:v>
      </x:c>
      <x:c r="C543" s="48" t="str">
        <x:v>2026-07-16</x:v>
      </x:c>
      <x:c r="D543" s="48" t="str">
        <x:v>U05</x:v>
      </x:c>
      <x:c r="E543" s="48" t="str">
        <x:v>UNDERWRITING_DOCUMENTS</x:v>
      </x:c>
      <x:c r="F543" s="48" t="str">
        <x:v>Progressive memorandum family</x:v>
      </x:c>
      <x:c r="G543" s="48" t="str">
        <x:v>fund_size_archetype</x:v>
      </x:c>
      <x:c r="H543" s="48" t="str">
        <x:v>LOWER_MID_LT_2B</x:v>
      </x:c>
      <x:c r="I543" s="48" t="str">
        <x:v>8</x:v>
      </x:c>
      <x:c r="J543" s="48" t="str">
        <x:v>7</x:v>
      </x:c>
      <x:c r="K543" s="48" t="str">
        <x:v>0</x:v>
      </x:c>
      <x:c r="L543" s="48" t="str">
        <x:v>1</x:v>
      </x:c>
      <x:c r="M543" s="48" t="str">
        <x:v>8</x:v>
      </x:c>
      <x:c r="N543" s="48" t="str">
        <x:v>0</x:v>
      </x:c>
      <x:c r="O543" s="48" t="str">
        <x:v>0</x:v>
      </x:c>
      <x:c r="P543" s="48" t="str">
        <x:v>0</x:v>
      </x:c>
      <x:c r="Q543" s="48" t="str">
        <x:v>0.875</x:v>
      </x:c>
      <x:c r="R543" s="48" t="str">
        <x:v>DRIVER DOES NOT SEPARATE</x:v>
      </x:c>
      <x:c r="S543" s="48" t="str">
        <x:v>0.125</x:v>
      </x:c>
      <x:c r="T543" s="48" t="str">
        <x:v>LARGE_2_TO_LT_5B:N=9,p=1.000; LOWER_MID_LT_2B:N=8,p=0.875; MEGA_GE_5B:N=11,p=1.000</x:v>
      </x:c>
      <x:c r="U543" s="48" t="str">
        <x:v>Maximum-minus-minimum prevalence among adequately observed groups is no more than 0.15.</x:v>
      </x:c>
      <x:c r="V543" s="48" t="str">
        <x:v>At least 5 observable manager families in at least 2 driver groups</x:v>
      </x:c>
      <x:c r="W543" s="48" t="str">
        <x:v>&gt;=0.35 separates; &lt;=0.15 does not separate; intermediate is inconclusive/confounded; direct driver-definition tests are CIRCULAR</x:v>
      </x:c>
      <x:c r="X543" s="48" t="str">
        <x:v>MANAGER_SELF_DESCRIPTION; NOT BEHAVIOURAL FREQUENCY</x:v>
      </x:c>
    </x:row>
    <x:row r="544">
      <x:c r="A544" s="48" t="str">
        <x:v>B_GOVERNANCE_SEGMENTATION</x:v>
      </x:c>
      <x:c r="B544" s="48" t="str">
        <x:v>Tier B v1.1 - N=29 rerun</x:v>
      </x:c>
      <x:c r="C544" s="48" t="str">
        <x:v>2026-07-16</x:v>
      </x:c>
      <x:c r="D544" s="48" t="str">
        <x:v>U05</x:v>
      </x:c>
      <x:c r="E544" s="48" t="str">
        <x:v>UNDERWRITING_DOCUMENTS</x:v>
      </x:c>
      <x:c r="F544" s="48" t="str">
        <x:v>Progressive memorandum family</x:v>
      </x:c>
      <x:c r="G544" s="48" t="str">
        <x:v>fund_size_archetype</x:v>
      </x:c>
      <x:c r="H544" s="48" t="str">
        <x:v>MEGA_GE_5B</x:v>
      </x:c>
      <x:c r="I544" s="48" t="str">
        <x:v>11</x:v>
      </x:c>
      <x:c r="J544" s="48" t="str">
        <x:v>11</x:v>
      </x:c>
      <x:c r="K544" s="48" t="str">
        <x:v>0</x:v>
      </x:c>
      <x:c r="L544" s="48" t="str">
        <x:v>0</x:v>
      </x:c>
      <x:c r="M544" s="48" t="str">
        <x:v>11</x:v>
      </x:c>
      <x:c r="N544" s="48" t="str">
        <x:v>0</x:v>
      </x:c>
      <x:c r="O544" s="48" t="str">
        <x:v>0</x:v>
      </x:c>
      <x:c r="P544" s="48" t="str">
        <x:v>0</x:v>
      </x:c>
      <x:c r="Q544" s="48" t="str">
        <x:v>1.000</x:v>
      </x:c>
      <x:c r="R544" s="48" t="str">
        <x:v>DRIVER DOES NOT SEPARATE</x:v>
      </x:c>
      <x:c r="S544" s="48" t="str">
        <x:v>0.125</x:v>
      </x:c>
      <x:c r="T544" s="48" t="str">
        <x:v>LARGE_2_TO_LT_5B:N=9,p=1.000; LOWER_MID_LT_2B:N=8,p=0.875; MEGA_GE_5B:N=11,p=1.000</x:v>
      </x:c>
      <x:c r="U544" s="48" t="str">
        <x:v>Maximum-minus-minimum prevalence among adequately observed groups is no more than 0.15.</x:v>
      </x:c>
      <x:c r="V544" s="48" t="str">
        <x:v>At least 5 observable manager families in at least 2 driver groups</x:v>
      </x:c>
      <x:c r="W544" s="48" t="str">
        <x:v>&gt;=0.35 separates; &lt;=0.15 does not separate; intermediate is inconclusive/confounded; direct driver-definition tests are CIRCULAR</x:v>
      </x:c>
      <x:c r="X544" s="48" t="str">
        <x:v>MANAGER_SELF_DESCRIPTION; NOT BEHAVIOURAL FREQUENCY</x:v>
      </x:c>
    </x:row>
    <x:row r="545">
      <x:c r="A545" s="48" t="str">
        <x:v>B_GOVERNANCE_SEGMENTATION</x:v>
      </x:c>
      <x:c r="B545" s="48" t="str">
        <x:v>Tier B v1.1 - N=29 rerun</x:v>
      </x:c>
      <x:c r="C545" s="48" t="str">
        <x:v>2026-07-16</x:v>
      </x:c>
      <x:c r="D545" s="48" t="str">
        <x:v>U05</x:v>
      </x:c>
      <x:c r="E545" s="48" t="str">
        <x:v>UNDERWRITING_DOCUMENTS</x:v>
      </x:c>
      <x:c r="F545" s="48" t="str">
        <x:v>Progressive memorandum family</x:v>
      </x:c>
      <x:c r="G545" s="48" t="str">
        <x:v>fund_size_archetype</x:v>
      </x:c>
      <x:c r="H545" s="48" t="str">
        <x:v>NOT_APPLICABLE</x:v>
      </x:c>
      <x:c r="I545" s="48" t="str">
        <x:v>1</x:v>
      </x:c>
      <x:c r="J545" s="48" t="str">
        <x:v>1</x:v>
      </x:c>
      <x:c r="K545" s="48" t="str">
        <x:v>0</x:v>
      </x:c>
      <x:c r="L545" s="48" t="str">
        <x:v>0</x:v>
      </x:c>
      <x:c r="M545" s="48" t="str">
        <x:v>1</x:v>
      </x:c>
      <x:c r="N545" s="48" t="str">
        <x:v>0</x:v>
      </x:c>
      <x:c r="O545" s="48" t="str">
        <x:v>0</x:v>
      </x:c>
      <x:c r="P545" s="48" t="str">
        <x:v>0</x:v>
      </x:c>
      <x:c r="Q545" s="48" t="str">
        <x:v>1.000</x:v>
      </x:c>
      <x:c r="R545" s="48" t="str">
        <x:v>DRIVER DOES NOT SEPARATE</x:v>
      </x:c>
      <x:c r="S545" s="48" t="str">
        <x:v>0.125</x:v>
      </x:c>
      <x:c r="T545" s="48" t="str">
        <x:v>LARGE_2_TO_LT_5B:N=9,p=1.000; LOWER_MID_LT_2B:N=8,p=0.875; MEGA_GE_5B:N=11,p=1.000</x:v>
      </x:c>
      <x:c r="U545" s="48" t="str">
        <x:v>Maximum-minus-minimum prevalence among adequately observed groups is no more than 0.15.</x:v>
      </x:c>
      <x:c r="V545" s="48" t="str">
        <x:v>At least 5 observable manager families in at least 2 driver groups</x:v>
      </x:c>
      <x:c r="W545" s="48" t="str">
        <x:v>&gt;=0.35 separates; &lt;=0.15 does not separate; intermediate is inconclusive/confounded; direct driver-definition tests are CIRCULAR</x:v>
      </x:c>
      <x:c r="X545" s="48" t="str">
        <x:v>MANAGER_SELF_DESCRIPTION; NOT BEHAVIOURAL FREQUENCY</x:v>
      </x:c>
    </x:row>
    <x:row r="546">
      <x:c r="A546" s="48" t="str">
        <x:v>B_GOVERNANCE_SEGMENTATION</x:v>
      </x:c>
      <x:c r="B546" s="48" t="str">
        <x:v>Tier B v1.1 - N=29 rerun</x:v>
      </x:c>
      <x:c r="C546" s="48" t="str">
        <x:v>2026-07-16</x:v>
      </x:c>
      <x:c r="D546" s="48" t="str">
        <x:v>U05</x:v>
      </x:c>
      <x:c r="E546" s="48" t="str">
        <x:v>UNDERWRITING_DOCUMENTS</x:v>
      </x:c>
      <x:c r="F546" s="48" t="str">
        <x:v>Progressive memorandum family</x:v>
      </x:c>
      <x:c r="G546" s="48" t="str">
        <x:v>strategy</x:v>
      </x:c>
      <x:c r="H546" s="48" t="str">
        <x:v>CONTROL_BUYOUT</x:v>
      </x:c>
      <x:c r="I546" s="48" t="str">
        <x:v>22</x:v>
      </x:c>
      <x:c r="J546" s="48" t="str">
        <x:v>22</x:v>
      </x:c>
      <x:c r="K546" s="48" t="str">
        <x:v>0</x:v>
      </x:c>
      <x:c r="L546" s="48" t="str">
        <x:v>0</x:v>
      </x:c>
      <x:c r="M546" s="48" t="str">
        <x:v>22</x:v>
      </x:c>
      <x:c r="N546" s="48" t="str">
        <x:v>0</x:v>
      </x:c>
      <x:c r="O546" s="48" t="str">
        <x:v>0</x:v>
      </x:c>
      <x:c r="P546" s="48" t="str">
        <x:v>0</x:v>
      </x:c>
      <x:c r="Q546" s="48" t="str">
        <x:v>1.000</x:v>
      </x:c>
      <x:c r="R546" s="48" t="str">
        <x:v>INCONCLUSIVE OR CONFOUNDED</x:v>
      </x:c>
      <x:c r="S546" s="48" t="str">
        <x:v>0.167</x:v>
      </x:c>
      <x:c r="T546" s="48" t="str">
        <x:v>CONTROL_BUYOUT:N=22,p=1.000; GROWTH_CONTROL_HYBRID:N=6,p=0.833</x:v>
      </x:c>
      <x:c r="U546" s="48" t="str">
        <x:v>Adequate groups differ, but the maximum-minus-minimum prevalence lies between 0.15 and 0.35.</x:v>
      </x:c>
      <x:c r="V546" s="48" t="str">
        <x:v>At least 5 observable manager families in at least 2 driver groups</x:v>
      </x:c>
      <x:c r="W546" s="48" t="str">
        <x:v>&gt;=0.35 separates; &lt;=0.15 does not separate; intermediate is inconclusive/confounded; direct driver-definition tests are CIRCULAR</x:v>
      </x:c>
      <x:c r="X546" s="48" t="str">
        <x:v>MANAGER_SELF_DESCRIPTION; NOT BEHAVIOURAL FREQUENCY</x:v>
      </x:c>
    </x:row>
    <x:row r="547">
      <x:c r="A547" s="48" t="str">
        <x:v>B_GOVERNANCE_SEGMENTATION</x:v>
      </x:c>
      <x:c r="B547" s="48" t="str">
        <x:v>Tier B v1.1 - N=29 rerun</x:v>
      </x:c>
      <x:c r="C547" s="48" t="str">
        <x:v>2026-07-16</x:v>
      </x:c>
      <x:c r="D547" s="48" t="str">
        <x:v>U05</x:v>
      </x:c>
      <x:c r="E547" s="48" t="str">
        <x:v>UNDERWRITING_DOCUMENTS</x:v>
      </x:c>
      <x:c r="F547" s="48" t="str">
        <x:v>Progressive memorandum family</x:v>
      </x:c>
      <x:c r="G547" s="48" t="str">
        <x:v>strategy</x:v>
      </x:c>
      <x:c r="H547" s="48" t="str">
        <x:v>GROWTH_CONTROL_HYBRID</x:v>
      </x:c>
      <x:c r="I547" s="48" t="str">
        <x:v>6</x:v>
      </x:c>
      <x:c r="J547" s="48" t="str">
        <x:v>5</x:v>
      </x:c>
      <x:c r="K547" s="48" t="str">
        <x:v>0</x:v>
      </x:c>
      <x:c r="L547" s="48" t="str">
        <x:v>1</x:v>
      </x:c>
      <x:c r="M547" s="48" t="str">
        <x:v>6</x:v>
      </x:c>
      <x:c r="N547" s="48" t="str">
        <x:v>0</x:v>
      </x:c>
      <x:c r="O547" s="48" t="str">
        <x:v>0</x:v>
      </x:c>
      <x:c r="P547" s="48" t="str">
        <x:v>0</x:v>
      </x:c>
      <x:c r="Q547" s="48" t="str">
        <x:v>0.833</x:v>
      </x:c>
      <x:c r="R547" s="48" t="str">
        <x:v>INCONCLUSIVE OR CONFOUNDED</x:v>
      </x:c>
      <x:c r="S547" s="48" t="str">
        <x:v>0.167</x:v>
      </x:c>
      <x:c r="T547" s="48" t="str">
        <x:v>CONTROL_BUYOUT:N=22,p=1.000; GROWTH_CONTROL_HYBRID:N=6,p=0.833</x:v>
      </x:c>
      <x:c r="U547" s="48" t="str">
        <x:v>Adequate groups differ, but the maximum-minus-minimum prevalence lies between 0.15 and 0.35.</x:v>
      </x:c>
      <x:c r="V547" s="48" t="str">
        <x:v>At least 5 observable manager families in at least 2 driver groups</x:v>
      </x:c>
      <x:c r="W547" s="48" t="str">
        <x:v>&gt;=0.35 separates; &lt;=0.15 does not separate; intermediate is inconclusive/confounded; direct driver-definition tests are CIRCULAR</x:v>
      </x:c>
      <x:c r="X547" s="48" t="str">
        <x:v>MANAGER_SELF_DESCRIPTION; NOT BEHAVIOURAL FREQUENCY</x:v>
      </x:c>
    </x:row>
    <x:row r="548">
      <x:c r="A548" s="48" t="str">
        <x:v>B_GOVERNANCE_SEGMENTATION</x:v>
      </x:c>
      <x:c r="B548" s="48" t="str">
        <x:v>Tier B v1.1 - N=29 rerun</x:v>
      </x:c>
      <x:c r="C548" s="48" t="str">
        <x:v>2026-07-16</x:v>
      </x:c>
      <x:c r="D548" s="48" t="str">
        <x:v>U05</x:v>
      </x:c>
      <x:c r="E548" s="48" t="str">
        <x:v>UNDERWRITING_DOCUMENTS</x:v>
      </x:c>
      <x:c r="F548" s="48" t="str">
        <x:v>Progressive memorandum family</x:v>
      </x:c>
      <x:c r="G548" s="48" t="str">
        <x:v>strategy</x:v>
      </x:c>
      <x:c r="H548" s="48" t="str">
        <x:v>OPPORTUNISTIC_CONTROL</x:v>
      </x:c>
      <x:c r="I548" s="48" t="str">
        <x:v>1</x:v>
      </x:c>
      <x:c r="J548" s="48" t="str">
        <x:v>1</x:v>
      </x:c>
      <x:c r="K548" s="48" t="str">
        <x:v>0</x:v>
      </x:c>
      <x:c r="L548" s="48" t="str">
        <x:v>0</x:v>
      </x:c>
      <x:c r="M548" s="48" t="str">
        <x:v>1</x:v>
      </x:c>
      <x:c r="N548" s="48" t="str">
        <x:v>0</x:v>
      </x:c>
      <x:c r="O548" s="48" t="str">
        <x:v>0</x:v>
      </x:c>
      <x:c r="P548" s="48" t="str">
        <x:v>0</x:v>
      </x:c>
      <x:c r="Q548" s="48" t="str">
        <x:v>1.000</x:v>
      </x:c>
      <x:c r="R548" s="48" t="str">
        <x:v>INCONCLUSIVE OR CONFOUNDED</x:v>
      </x:c>
      <x:c r="S548" s="48" t="str">
        <x:v>0.167</x:v>
      </x:c>
      <x:c r="T548" s="48" t="str">
        <x:v>CONTROL_BUYOUT:N=22,p=1.000; GROWTH_CONTROL_HYBRID:N=6,p=0.833</x:v>
      </x:c>
      <x:c r="U548" s="48" t="str">
        <x:v>Adequate groups differ, but the maximum-minus-minimum prevalence lies between 0.15 and 0.35.</x:v>
      </x:c>
      <x:c r="V548" s="48" t="str">
        <x:v>At least 5 observable manager families in at least 2 driver groups</x:v>
      </x:c>
      <x:c r="W548" s="48" t="str">
        <x:v>&gt;=0.35 separates; &lt;=0.15 does not separate; intermediate is inconclusive/confounded; direct driver-definition tests are CIRCULAR</x:v>
      </x:c>
      <x:c r="X548" s="48" t="str">
        <x:v>MANAGER_SELF_DESCRIPTION; NOT BEHAVIOURAL FREQUENCY</x:v>
      </x:c>
    </x:row>
    <x:row r="549">
      <x:c r="A549" s="48" t="str">
        <x:v>B_GOVERNANCE_SEGMENTATION</x:v>
      </x:c>
      <x:c r="B549" s="48" t="str">
        <x:v>Tier B v1.1 - N=29 rerun</x:v>
      </x:c>
      <x:c r="C549" s="48" t="str">
        <x:v>2026-07-16</x:v>
      </x:c>
      <x:c r="D549" s="48" t="str">
        <x:v>U05</x:v>
      </x:c>
      <x:c r="E549" s="48" t="str">
        <x:v>UNDERWRITING_DOCUMENTS</x:v>
      </x:c>
      <x:c r="F549" s="48" t="str">
        <x:v>Progressive memorandum family</x:v>
      </x:c>
      <x:c r="G549" s="48" t="str">
        <x:v>geography</x:v>
      </x:c>
      <x:c r="H549" s="48" t="str">
        <x:v>ASIA_PACIFIC</x:v>
      </x:c>
      <x:c r="I549" s="48" t="str">
        <x:v>4</x:v>
      </x:c>
      <x:c r="J549" s="48" t="str">
        <x:v>4</x:v>
      </x:c>
      <x:c r="K549" s="48" t="str">
        <x:v>0</x:v>
      </x:c>
      <x:c r="L549" s="48" t="str">
        <x:v>0</x:v>
      </x:c>
      <x:c r="M549" s="48" t="str">
        <x:v>4</x:v>
      </x:c>
      <x:c r="N549" s="48" t="str">
        <x:v>0</x:v>
      </x:c>
      <x:c r="O549" s="48" t="str">
        <x:v>0</x:v>
      </x:c>
      <x:c r="P549" s="48" t="str">
        <x:v>0</x:v>
      </x:c>
      <x:c r="Q549" s="48" t="str">
        <x:v>1.000</x:v>
      </x:c>
      <x:c r="R549" s="48" t="str">
        <x:v>DRIVER DOES NOT SEPARATE</x:v>
      </x:c>
      <x:c r="S549" s="48" t="str">
        <x:v>0.077</x:v>
      </x:c>
      <x:c r="T549" s="48" t="str">
        <x:v>GLOBAL_TRANSATLANTIC:N=10,p=1.000; NORTH_AMERICA:N=13,p=0.923</x:v>
      </x:c>
      <x:c r="U549" s="48" t="str">
        <x:v>Maximum-minus-minimum prevalence among adequately observed groups is no more than 0.15.</x:v>
      </x:c>
      <x:c r="V549" s="48" t="str">
        <x:v>At least 5 observable manager families in at least 2 driver groups</x:v>
      </x:c>
      <x:c r="W549" s="48" t="str">
        <x:v>&gt;=0.35 separates; &lt;=0.15 does not separate; intermediate is inconclusive/confounded; direct driver-definition tests are CIRCULAR</x:v>
      </x:c>
      <x:c r="X549" s="48" t="str">
        <x:v>MANAGER_SELF_DESCRIPTION; NOT BEHAVIOURAL FREQUENCY</x:v>
      </x:c>
    </x:row>
    <x:row r="550">
      <x:c r="A550" s="48" t="str">
        <x:v>B_GOVERNANCE_SEGMENTATION</x:v>
      </x:c>
      <x:c r="B550" s="48" t="str">
        <x:v>Tier B v1.1 - N=29 rerun</x:v>
      </x:c>
      <x:c r="C550" s="48" t="str">
        <x:v>2026-07-16</x:v>
      </x:c>
      <x:c r="D550" s="48" t="str">
        <x:v>U05</x:v>
      </x:c>
      <x:c r="E550" s="48" t="str">
        <x:v>UNDERWRITING_DOCUMENTS</x:v>
      </x:c>
      <x:c r="F550" s="48" t="str">
        <x:v>Progressive memorandum family</x:v>
      </x:c>
      <x:c r="G550" s="48" t="str">
        <x:v>geography</x:v>
      </x:c>
      <x:c r="H550" s="48" t="str">
        <x:v>EUROPE</x:v>
      </x:c>
      <x:c r="I550" s="48" t="str">
        <x:v>2</x:v>
      </x:c>
      <x:c r="J550" s="48" t="str">
        <x:v>2</x:v>
      </x:c>
      <x:c r="K550" s="48" t="str">
        <x:v>0</x:v>
      </x:c>
      <x:c r="L550" s="48" t="str">
        <x:v>0</x:v>
      </x:c>
      <x:c r="M550" s="48" t="str">
        <x:v>2</x:v>
      </x:c>
      <x:c r="N550" s="48" t="str">
        <x:v>0</x:v>
      </x:c>
      <x:c r="O550" s="48" t="str">
        <x:v>0</x:v>
      </x:c>
      <x:c r="P550" s="48" t="str">
        <x:v>0</x:v>
      </x:c>
      <x:c r="Q550" s="48" t="str">
        <x:v>1.000</x:v>
      </x:c>
      <x:c r="R550" s="48" t="str">
        <x:v>DRIVER DOES NOT SEPARATE</x:v>
      </x:c>
      <x:c r="S550" s="48" t="str">
        <x:v>0.077</x:v>
      </x:c>
      <x:c r="T550" s="48" t="str">
        <x:v>GLOBAL_TRANSATLANTIC:N=10,p=1.000; NORTH_AMERICA:N=13,p=0.923</x:v>
      </x:c>
      <x:c r="U550" s="48" t="str">
        <x:v>Maximum-minus-minimum prevalence among adequately observed groups is no more than 0.15.</x:v>
      </x:c>
      <x:c r="V550" s="48" t="str">
        <x:v>At least 5 observable manager families in at least 2 driver groups</x:v>
      </x:c>
      <x:c r="W550" s="48" t="str">
        <x:v>&gt;=0.35 separates; &lt;=0.15 does not separate; intermediate is inconclusive/confounded; direct driver-definition tests are CIRCULAR</x:v>
      </x:c>
      <x:c r="X550" s="48" t="str">
        <x:v>MANAGER_SELF_DESCRIPTION; NOT BEHAVIOURAL FREQUENCY</x:v>
      </x:c>
    </x:row>
    <x:row r="551">
      <x:c r="A551" s="48" t="str">
        <x:v>B_GOVERNANCE_SEGMENTATION</x:v>
      </x:c>
      <x:c r="B551" s="48" t="str">
        <x:v>Tier B v1.1 - N=29 rerun</x:v>
      </x:c>
      <x:c r="C551" s="48" t="str">
        <x:v>2026-07-16</x:v>
      </x:c>
      <x:c r="D551" s="48" t="str">
        <x:v>U05</x:v>
      </x:c>
      <x:c r="E551" s="48" t="str">
        <x:v>UNDERWRITING_DOCUMENTS</x:v>
      </x:c>
      <x:c r="F551" s="48" t="str">
        <x:v>Progressive memorandum family</x:v>
      </x:c>
      <x:c r="G551" s="48" t="str">
        <x:v>geography</x:v>
      </x:c>
      <x:c r="H551" s="48" t="str">
        <x:v>GLOBAL_TRANSATLANTIC</x:v>
      </x:c>
      <x:c r="I551" s="48" t="str">
        <x:v>10</x:v>
      </x:c>
      <x:c r="J551" s="48" t="str">
        <x:v>10</x:v>
      </x:c>
      <x:c r="K551" s="48" t="str">
        <x:v>0</x:v>
      </x:c>
      <x:c r="L551" s="48" t="str">
        <x:v>0</x:v>
      </x:c>
      <x:c r="M551" s="48" t="str">
        <x:v>10</x:v>
      </x:c>
      <x:c r="N551" s="48" t="str">
        <x:v>0</x:v>
      </x:c>
      <x:c r="O551" s="48" t="str">
        <x:v>0</x:v>
      </x:c>
      <x:c r="P551" s="48" t="str">
        <x:v>0</x:v>
      </x:c>
      <x:c r="Q551" s="48" t="str">
        <x:v>1.000</x:v>
      </x:c>
      <x:c r="R551" s="48" t="str">
        <x:v>DRIVER DOES NOT SEPARATE</x:v>
      </x:c>
      <x:c r="S551" s="48" t="str">
        <x:v>0.077</x:v>
      </x:c>
      <x:c r="T551" s="48" t="str">
        <x:v>GLOBAL_TRANSATLANTIC:N=10,p=1.000; NORTH_AMERICA:N=13,p=0.923</x:v>
      </x:c>
      <x:c r="U551" s="48" t="str">
        <x:v>Maximum-minus-minimum prevalence among adequately observed groups is no more than 0.15.</x:v>
      </x:c>
      <x:c r="V551" s="48" t="str">
        <x:v>At least 5 observable manager families in at least 2 driver groups</x:v>
      </x:c>
      <x:c r="W551" s="48" t="str">
        <x:v>&gt;=0.35 separates; &lt;=0.15 does not separate; intermediate is inconclusive/confounded; direct driver-definition tests are CIRCULAR</x:v>
      </x:c>
      <x:c r="X551" s="48" t="str">
        <x:v>MANAGER_SELF_DESCRIPTION; NOT BEHAVIOURAL FREQUENCY</x:v>
      </x:c>
    </x:row>
    <x:row r="552">
      <x:c r="A552" s="48" t="str">
        <x:v>B_GOVERNANCE_SEGMENTATION</x:v>
      </x:c>
      <x:c r="B552" s="48" t="str">
        <x:v>Tier B v1.1 - N=29 rerun</x:v>
      </x:c>
      <x:c r="C552" s="48" t="str">
        <x:v>2026-07-16</x:v>
      </x:c>
      <x:c r="D552" s="48" t="str">
        <x:v>U05</x:v>
      </x:c>
      <x:c r="E552" s="48" t="str">
        <x:v>UNDERWRITING_DOCUMENTS</x:v>
      </x:c>
      <x:c r="F552" s="48" t="str">
        <x:v>Progressive memorandum family</x:v>
      </x:c>
      <x:c r="G552" s="48" t="str">
        <x:v>geography</x:v>
      </x:c>
      <x:c r="H552" s="48" t="str">
        <x:v>NORTH_AMERICA</x:v>
      </x:c>
      <x:c r="I552" s="48" t="str">
        <x:v>13</x:v>
      </x:c>
      <x:c r="J552" s="48" t="str">
        <x:v>12</x:v>
      </x:c>
      <x:c r="K552" s="48" t="str">
        <x:v>0</x:v>
      </x:c>
      <x:c r="L552" s="48" t="str">
        <x:v>1</x:v>
      </x:c>
      <x:c r="M552" s="48" t="str">
        <x:v>13</x:v>
      </x:c>
      <x:c r="N552" s="48" t="str">
        <x:v>0</x:v>
      </x:c>
      <x:c r="O552" s="48" t="str">
        <x:v>0</x:v>
      </x:c>
      <x:c r="P552" s="48" t="str">
        <x:v>0</x:v>
      </x:c>
      <x:c r="Q552" s="48" t="str">
        <x:v>0.923</x:v>
      </x:c>
      <x:c r="R552" s="48" t="str">
        <x:v>DRIVER DOES NOT SEPARATE</x:v>
      </x:c>
      <x:c r="S552" s="48" t="str">
        <x:v>0.077</x:v>
      </x:c>
      <x:c r="T552" s="48" t="str">
        <x:v>GLOBAL_TRANSATLANTIC:N=10,p=1.000; NORTH_AMERICA:N=13,p=0.923</x:v>
      </x:c>
      <x:c r="U552" s="48" t="str">
        <x:v>Maximum-minus-minimum prevalence among adequately observed groups is no more than 0.15.</x:v>
      </x:c>
      <x:c r="V552" s="48" t="str">
        <x:v>At least 5 observable manager families in at least 2 driver groups</x:v>
      </x:c>
      <x:c r="W552" s="48" t="str">
        <x:v>&gt;=0.35 separates; &lt;=0.15 does not separate; intermediate is inconclusive/confounded; direct driver-definition tests are CIRCULAR</x:v>
      </x:c>
      <x:c r="X552" s="48" t="str">
        <x:v>MANAGER_SELF_DESCRIPTION; NOT BEHAVIOURAL FREQUENCY</x:v>
      </x:c>
    </x:row>
    <x:row r="553">
      <x:c r="A553" s="48" t="str">
        <x:v>B_GOVERNANCE_SEGMENTATION</x:v>
      </x:c>
      <x:c r="B553" s="48" t="str">
        <x:v>Tier B v1.1 - N=29 rerun</x:v>
      </x:c>
      <x:c r="C553" s="48" t="str">
        <x:v>2026-07-16</x:v>
      </x:c>
      <x:c r="D553" s="48" t="str">
        <x:v>U05</x:v>
      </x:c>
      <x:c r="E553" s="48" t="str">
        <x:v>UNDERWRITING_DOCUMENTS</x:v>
      </x:c>
      <x:c r="F553" s="48" t="str">
        <x:v>Progressive memorandum family</x:v>
      </x:c>
      <x:c r="G553" s="48" t="str">
        <x:v>source_vintage_bin</x:v>
      </x:c>
      <x:c r="H553" s="48" t="str">
        <x:v>2018_2020</x:v>
      </x:c>
      <x:c r="I553" s="48" t="str">
        <x:v>6</x:v>
      </x:c>
      <x:c r="J553" s="48" t="str">
        <x:v>6</x:v>
      </x:c>
      <x:c r="K553" s="48" t="str">
        <x:v>0</x:v>
      </x:c>
      <x:c r="L553" s="48" t="str">
        <x:v>0</x:v>
      </x:c>
      <x:c r="M553" s="48" t="str">
        <x:v>6</x:v>
      </x:c>
      <x:c r="N553" s="48" t="str">
        <x:v>0</x:v>
      </x:c>
      <x:c r="O553" s="48" t="str">
        <x:v>0</x:v>
      </x:c>
      <x:c r="P553" s="48" t="str">
        <x:v>0</x:v>
      </x:c>
      <x:c r="Q553" s="48" t="str">
        <x:v>1.000</x:v>
      </x:c>
      <x:c r="R553" s="48" t="str">
        <x:v>DRIVER DOES NOT SEPARATE</x:v>
      </x:c>
      <x:c r="S553" s="48" t="str">
        <x:v>0.083</x:v>
      </x:c>
      <x:c r="T553" s="48" t="str">
        <x:v>2018_2020:N=6,p=1.000; 2021_2023:N=11,p=1.000; 2024_2026:N=12,p=0.917</x:v>
      </x:c>
      <x:c r="U553" s="48" t="str">
        <x:v>Maximum-minus-minimum prevalence among adequately observed groups is no more than 0.15.</x:v>
      </x:c>
      <x:c r="V553" s="48" t="str">
        <x:v>At least 5 observable manager families in at least 2 driver groups</x:v>
      </x:c>
      <x:c r="W553" s="48" t="str">
        <x:v>&gt;=0.35 separates; &lt;=0.15 does not separate; intermediate is inconclusive/confounded; direct driver-definition tests are CIRCULAR</x:v>
      </x:c>
      <x:c r="X553" s="48" t="str">
        <x:v>MANAGER_SELF_DESCRIPTION; NOT BEHAVIOURAL FREQUENCY</x:v>
      </x:c>
    </x:row>
    <x:row r="554">
      <x:c r="A554" s="48" t="str">
        <x:v>B_GOVERNANCE_SEGMENTATION</x:v>
      </x:c>
      <x:c r="B554" s="48" t="str">
        <x:v>Tier B v1.1 - N=29 rerun</x:v>
      </x:c>
      <x:c r="C554" s="48" t="str">
        <x:v>2026-07-16</x:v>
      </x:c>
      <x:c r="D554" s="48" t="str">
        <x:v>U05</x:v>
      </x:c>
      <x:c r="E554" s="48" t="str">
        <x:v>UNDERWRITING_DOCUMENTS</x:v>
      </x:c>
      <x:c r="F554" s="48" t="str">
        <x:v>Progressive memorandum family</x:v>
      </x:c>
      <x:c r="G554" s="48" t="str">
        <x:v>source_vintage_bin</x:v>
      </x:c>
      <x:c r="H554" s="48" t="str">
        <x:v>2021_2023</x:v>
      </x:c>
      <x:c r="I554" s="48" t="str">
        <x:v>11</x:v>
      </x:c>
      <x:c r="J554" s="48" t="str">
        <x:v>11</x:v>
      </x:c>
      <x:c r="K554" s="48" t="str">
        <x:v>0</x:v>
      </x:c>
      <x:c r="L554" s="48" t="str">
        <x:v>0</x:v>
      </x:c>
      <x:c r="M554" s="48" t="str">
        <x:v>11</x:v>
      </x:c>
      <x:c r="N554" s="48" t="str">
        <x:v>0</x:v>
      </x:c>
      <x:c r="O554" s="48" t="str">
        <x:v>0</x:v>
      </x:c>
      <x:c r="P554" s="48" t="str">
        <x:v>0</x:v>
      </x:c>
      <x:c r="Q554" s="48" t="str">
        <x:v>1.000</x:v>
      </x:c>
      <x:c r="R554" s="48" t="str">
        <x:v>DRIVER DOES NOT SEPARATE</x:v>
      </x:c>
      <x:c r="S554" s="48" t="str">
        <x:v>0.083</x:v>
      </x:c>
      <x:c r="T554" s="48" t="str">
        <x:v>2018_2020:N=6,p=1.000; 2021_2023:N=11,p=1.000; 2024_2026:N=12,p=0.917</x:v>
      </x:c>
      <x:c r="U554" s="48" t="str">
        <x:v>Maximum-minus-minimum prevalence among adequately observed groups is no more than 0.15.</x:v>
      </x:c>
      <x:c r="V554" s="48" t="str">
        <x:v>At least 5 observable manager families in at least 2 driver groups</x:v>
      </x:c>
      <x:c r="W554" s="48" t="str">
        <x:v>&gt;=0.35 separates; &lt;=0.15 does not separate; intermediate is inconclusive/confounded; direct driver-definition tests are CIRCULAR</x:v>
      </x:c>
      <x:c r="X554" s="48" t="str">
        <x:v>MANAGER_SELF_DESCRIPTION; NOT BEHAVIOURAL FREQUENCY</x:v>
      </x:c>
    </x:row>
    <x:row r="555">
      <x:c r="A555" s="48" t="str">
        <x:v>B_GOVERNANCE_SEGMENTATION</x:v>
      </x:c>
      <x:c r="B555" s="48" t="str">
        <x:v>Tier B v1.1 - N=29 rerun</x:v>
      </x:c>
      <x:c r="C555" s="48" t="str">
        <x:v>2026-07-16</x:v>
      </x:c>
      <x:c r="D555" s="48" t="str">
        <x:v>U05</x:v>
      </x:c>
      <x:c r="E555" s="48" t="str">
        <x:v>UNDERWRITING_DOCUMENTS</x:v>
      </x:c>
      <x:c r="F555" s="48" t="str">
        <x:v>Progressive memorandum family</x:v>
      </x:c>
      <x:c r="G555" s="48" t="str">
        <x:v>source_vintage_bin</x:v>
      </x:c>
      <x:c r="H555" s="48" t="str">
        <x:v>2024_2026</x:v>
      </x:c>
      <x:c r="I555" s="48" t="str">
        <x:v>12</x:v>
      </x:c>
      <x:c r="J555" s="48" t="str">
        <x:v>11</x:v>
      </x:c>
      <x:c r="K555" s="48" t="str">
        <x:v>0</x:v>
      </x:c>
      <x:c r="L555" s="48" t="str">
        <x:v>1</x:v>
      </x:c>
      <x:c r="M555" s="48" t="str">
        <x:v>12</x:v>
      </x:c>
      <x:c r="N555" s="48" t="str">
        <x:v>0</x:v>
      </x:c>
      <x:c r="O555" s="48" t="str">
        <x:v>0</x:v>
      </x:c>
      <x:c r="P555" s="48" t="str">
        <x:v>0</x:v>
      </x:c>
      <x:c r="Q555" s="48" t="str">
        <x:v>0.917</x:v>
      </x:c>
      <x:c r="R555" s="48" t="str">
        <x:v>DRIVER DOES NOT SEPARATE</x:v>
      </x:c>
      <x:c r="S555" s="48" t="str">
        <x:v>0.083</x:v>
      </x:c>
      <x:c r="T555" s="48" t="str">
        <x:v>2018_2020:N=6,p=1.000; 2021_2023:N=11,p=1.000; 2024_2026:N=12,p=0.917</x:v>
      </x:c>
      <x:c r="U555" s="48" t="str">
        <x:v>Maximum-minus-minimum prevalence among adequately observed groups is no more than 0.15.</x:v>
      </x:c>
      <x:c r="V555" s="48" t="str">
        <x:v>At least 5 observable manager families in at least 2 driver groups</x:v>
      </x:c>
      <x:c r="W555" s="48" t="str">
        <x:v>&gt;=0.35 separates; &lt;=0.15 does not separate; intermediate is inconclusive/confounded; direct driver-definition tests are CIRCULAR</x:v>
      </x:c>
      <x:c r="X555" s="48" t="str">
        <x:v>MANAGER_SELF_DESCRIPTION; NOT BEHAVIOURAL FREQUENCY</x:v>
      </x:c>
    </x:row>
    <x:row r="556">
      <x:c r="A556" s="48" t="str">
        <x:v>B_GOVERNANCE_SEGMENTATION</x:v>
      </x:c>
      <x:c r="B556" s="48" t="str">
        <x:v>Tier B v1.1 - N=29 rerun</x:v>
      </x:c>
      <x:c r="C556" s="48" t="str">
        <x:v>2026-07-16</x:v>
      </x:c>
      <x:c r="D556" s="48" t="str">
        <x:v>U05</x:v>
      </x:c>
      <x:c r="E556" s="48" t="str">
        <x:v>UNDERWRITING_DOCUMENTS</x:v>
      </x:c>
      <x:c r="F556" s="48" t="str">
        <x:v>Progressive memorandum family</x:v>
      </x:c>
      <x:c r="G556" s="48" t="str">
        <x:v>governance_architecture</x:v>
      </x:c>
      <x:c r="H556" s="48" t="str">
        <x:v>IC_FINAL_OR_DE_FACTO</x:v>
      </x:c>
      <x:c r="I556" s="48" t="str">
        <x:v>26</x:v>
      </x:c>
      <x:c r="J556" s="48" t="str">
        <x:v>25</x:v>
      </x:c>
      <x:c r="K556" s="48" t="str">
        <x:v>0</x:v>
      </x:c>
      <x:c r="L556" s="48" t="str">
        <x:v>1</x:v>
      </x:c>
      <x:c r="M556" s="48" t="str">
        <x:v>26</x:v>
      </x:c>
      <x:c r="N556" s="48" t="str">
        <x:v>0</x:v>
      </x:c>
      <x:c r="O556" s="48" t="str">
        <x:v>0</x:v>
      </x:c>
      <x:c r="P556" s="48" t="str">
        <x:v>0</x:v>
      </x:c>
      <x:c r="Q556" s="48" t="str">
        <x:v>0.962</x:v>
      </x:c>
      <x:c r="R556" s="48" t="str">
        <x:v>N TOO SMALL</x:v>
      </x:c>
      <x:c r="S556" s="48" t="str"/>
      <x:c r="T556" s="48" t="str">
        <x:v>IC_FINAL_OR_DE_FACTO:N=26,p=0.962</x:v>
      </x:c>
      <x:c r="U556" s="48" t="str">
        <x:v>Fewer than two driver groups have at least 5 observable manager families.</x:v>
      </x:c>
      <x:c r="V556" s="48" t="str">
        <x:v>At least 5 observable manager families in at least 2 driver groups</x:v>
      </x:c>
      <x:c r="W556" s="48" t="str">
        <x:v>&gt;=0.35 separates; &lt;=0.15 does not separate; intermediate is inconclusive/confounded; direct driver-definition tests are CIRCULAR</x:v>
      </x:c>
      <x:c r="X556" s="48" t="str">
        <x:v>MANAGER_SELF_DESCRIPTION; NOT BEHAVIOURAL FREQUENCY</x:v>
      </x:c>
    </x:row>
    <x:row r="557">
      <x:c r="A557" s="48" t="str">
        <x:v>B_GOVERNANCE_SEGMENTATION</x:v>
      </x:c>
      <x:c r="B557" s="48" t="str">
        <x:v>Tier B v1.1 - N=29 rerun</x:v>
      </x:c>
      <x:c r="C557" s="48" t="str">
        <x:v>2026-07-16</x:v>
      </x:c>
      <x:c r="D557" s="48" t="str">
        <x:v>U05</x:v>
      </x:c>
      <x:c r="E557" s="48" t="str">
        <x:v>UNDERWRITING_DOCUMENTS</x:v>
      </x:c>
      <x:c r="F557" s="48" t="str">
        <x:v>Progressive memorandum family</x:v>
      </x:c>
      <x:c r="G557" s="48" t="str">
        <x:v>governance_architecture</x:v>
      </x:c>
      <x:c r="H557" s="48" t="str">
        <x:v>IC_RECOMMENDS_SEPARATE_FINAL_AUTHORITY</x:v>
      </x:c>
      <x:c r="I557" s="48" t="str">
        <x:v>3</x:v>
      </x:c>
      <x:c r="J557" s="48" t="str">
        <x:v>3</x:v>
      </x:c>
      <x:c r="K557" s="48" t="str">
        <x:v>0</x:v>
      </x:c>
      <x:c r="L557" s="48" t="str">
        <x:v>0</x:v>
      </x:c>
      <x:c r="M557" s="48" t="str">
        <x:v>3</x:v>
      </x:c>
      <x:c r="N557" s="48" t="str">
        <x:v>0</x:v>
      </x:c>
      <x:c r="O557" s="48" t="str">
        <x:v>0</x:v>
      </x:c>
      <x:c r="P557" s="48" t="str">
        <x:v>0</x:v>
      </x:c>
      <x:c r="Q557" s="48" t="str">
        <x:v>1.000</x:v>
      </x:c>
      <x:c r="R557" s="48" t="str">
        <x:v>N TOO SMALL</x:v>
      </x:c>
      <x:c r="S557" s="48" t="str"/>
      <x:c r="T557" s="48" t="str">
        <x:v>IC_FINAL_OR_DE_FACTO:N=26,p=0.962</x:v>
      </x:c>
      <x:c r="U557" s="48" t="str">
        <x:v>Fewer than two driver groups have at least 5 observable manager families.</x:v>
      </x:c>
      <x:c r="V557" s="48" t="str">
        <x:v>At least 5 observable manager families in at least 2 driver groups</x:v>
      </x:c>
      <x:c r="W557" s="48" t="str">
        <x:v>&gt;=0.35 separates; &lt;=0.15 does not separate; intermediate is inconclusive/confounded; direct driver-definition tests are CIRCULAR</x:v>
      </x:c>
      <x:c r="X557" s="48" t="str">
        <x:v>MANAGER_SELF_DESCRIPTION; NOT BEHAVIOURAL FREQUENCY</x:v>
      </x:c>
    </x:row>
    <x:row r="558">
      <x:c r="A558" s="48" t="str">
        <x:v>B_GOVERNANCE_SEGMENTATION</x:v>
      </x:c>
      <x:c r="B558" s="48" t="str">
        <x:v>Tier B v1.1 - N=29 rerun</x:v>
      </x:c>
      <x:c r="C558" s="48" t="str">
        <x:v>2026-07-16</x:v>
      </x:c>
      <x:c r="D558" s="48" t="str">
        <x:v>U05</x:v>
      </x:c>
      <x:c r="E558" s="48" t="str">
        <x:v>UNDERWRITING_DOCUMENTS</x:v>
      </x:c>
      <x:c r="F558" s="48" t="str">
        <x:v>Progressive memorandum family</x:v>
      </x:c>
      <x:c r="G558" s="48" t="str">
        <x:v>dedicated_operating_team</x:v>
      </x:c>
      <x:c r="H558" s="48" t="str">
        <x:v>NO_OR_LIMITED</x:v>
      </x:c>
      <x:c r="I558" s="48" t="str">
        <x:v>6</x:v>
      </x:c>
      <x:c r="J558" s="48" t="str">
        <x:v>5</x:v>
      </x:c>
      <x:c r="K558" s="48" t="str">
        <x:v>0</x:v>
      </x:c>
      <x:c r="L558" s="48" t="str">
        <x:v>1</x:v>
      </x:c>
      <x:c r="M558" s="48" t="str">
        <x:v>6</x:v>
      </x:c>
      <x:c r="N558" s="48" t="str">
        <x:v>0</x:v>
      </x:c>
      <x:c r="O558" s="48" t="str">
        <x:v>0</x:v>
      </x:c>
      <x:c r="P558" s="48" t="str">
        <x:v>0</x:v>
      </x:c>
      <x:c r="Q558" s="48" t="str">
        <x:v>0.833</x:v>
      </x:c>
      <x:c r="R558" s="48" t="str">
        <x:v>INCONCLUSIVE OR CONFOUNDED</x:v>
      </x:c>
      <x:c r="S558" s="48" t="str">
        <x:v>0.167</x:v>
      </x:c>
      <x:c r="T558" s="48" t="str">
        <x:v>NO_OR_LIMITED:N=6,p=0.833; YES_DEDICATED:N=23,p=1.000</x:v>
      </x:c>
      <x:c r="U558" s="48" t="str">
        <x:v>Adequate groups differ, but the maximum-minus-minimum prevalence lies between 0.15 and 0.35.</x:v>
      </x:c>
      <x:c r="V558" s="48" t="str">
        <x:v>At least 5 observable manager families in at least 2 driver groups</x:v>
      </x:c>
      <x:c r="W558" s="48" t="str">
        <x:v>&gt;=0.35 separates; &lt;=0.15 does not separate; intermediate is inconclusive/confounded; direct driver-definition tests are CIRCULAR</x:v>
      </x:c>
      <x:c r="X558" s="48" t="str">
        <x:v>MANAGER_SELF_DESCRIPTION; NOT BEHAVIOURAL FREQUENCY</x:v>
      </x:c>
    </x:row>
    <x:row r="559">
      <x:c r="A559" s="48" t="str">
        <x:v>B_GOVERNANCE_SEGMENTATION</x:v>
      </x:c>
      <x:c r="B559" s="48" t="str">
        <x:v>Tier B v1.1 - N=29 rerun</x:v>
      </x:c>
      <x:c r="C559" s="48" t="str">
        <x:v>2026-07-16</x:v>
      </x:c>
      <x:c r="D559" s="48" t="str">
        <x:v>U05</x:v>
      </x:c>
      <x:c r="E559" s="48" t="str">
        <x:v>UNDERWRITING_DOCUMENTS</x:v>
      </x:c>
      <x:c r="F559" s="48" t="str">
        <x:v>Progressive memorandum family</x:v>
      </x:c>
      <x:c r="G559" s="48" t="str">
        <x:v>dedicated_operating_team</x:v>
      </x:c>
      <x:c r="H559" s="48" t="str">
        <x:v>YES_DEDICATED</x:v>
      </x:c>
      <x:c r="I559" s="48" t="str">
        <x:v>23</x:v>
      </x:c>
      <x:c r="J559" s="48" t="str">
        <x:v>23</x:v>
      </x:c>
      <x:c r="K559" s="48" t="str">
        <x:v>0</x:v>
      </x:c>
      <x:c r="L559" s="48" t="str">
        <x:v>0</x:v>
      </x:c>
      <x:c r="M559" s="48" t="str">
        <x:v>23</x:v>
      </x:c>
      <x:c r="N559" s="48" t="str">
        <x:v>0</x:v>
      </x:c>
      <x:c r="O559" s="48" t="str">
        <x:v>0</x:v>
      </x:c>
      <x:c r="P559" s="48" t="str">
        <x:v>0</x:v>
      </x:c>
      <x:c r="Q559" s="48" t="str">
        <x:v>1.000</x:v>
      </x:c>
      <x:c r="R559" s="48" t="str">
        <x:v>INCONCLUSIVE OR CONFOUNDED</x:v>
      </x:c>
      <x:c r="S559" s="48" t="str">
        <x:v>0.167</x:v>
      </x:c>
      <x:c r="T559" s="48" t="str">
        <x:v>NO_OR_LIMITED:N=6,p=0.833; YES_DEDICATED:N=23,p=1.000</x:v>
      </x:c>
      <x:c r="U559" s="48" t="str">
        <x:v>Adequate groups differ, but the maximum-minus-minimum prevalence lies between 0.15 and 0.35.</x:v>
      </x:c>
      <x:c r="V559" s="48" t="str">
        <x:v>At least 5 observable manager families in at least 2 driver groups</x:v>
      </x:c>
      <x:c r="W559" s="48" t="str">
        <x:v>&gt;=0.35 separates; &lt;=0.15 does not separate; intermediate is inconclusive/confounded; direct driver-definition tests are CIRCULAR</x:v>
      </x:c>
      <x:c r="X559" s="48" t="str">
        <x:v>MANAGER_SELF_DESCRIPTION; NOT BEHAVIOURAL FREQUENCY</x:v>
      </x:c>
    </x:row>
    <x:row r="560">
      <x:c r="A560" s="48" t="str">
        <x:v>B_GOVERNANCE_SEGMENTATION</x:v>
      </x:c>
      <x:c r="B560" s="48" t="str">
        <x:v>Tier B v1.1 - N=29 rerun</x:v>
      </x:c>
      <x:c r="C560" s="48" t="str">
        <x:v>2026-07-16</x:v>
      </x:c>
      <x:c r="D560" s="48" t="str">
        <x:v>U06</x:v>
      </x:c>
      <x:c r="E560" s="48" t="str">
        <x:v>UNDERWRITING_DOCUMENTS</x:v>
      </x:c>
      <x:c r="F560" s="48" t="str">
        <x:v>Three or more named memorandum stages</x:v>
      </x:c>
      <x:c r="G560" s="48" t="str">
        <x:v>fund_size_archetype</x:v>
      </x:c>
      <x:c r="H560" s="48" t="str">
        <x:v>LARGE_2_TO_LT_5B</x:v>
      </x:c>
      <x:c r="I560" s="48" t="str">
        <x:v>9</x:v>
      </x:c>
      <x:c r="J560" s="48" t="str">
        <x:v>6</x:v>
      </x:c>
      <x:c r="K560" s="48" t="str">
        <x:v>0</x:v>
      </x:c>
      <x:c r="L560" s="48" t="str">
        <x:v>3</x:v>
      </x:c>
      <x:c r="M560" s="48" t="str">
        <x:v>9</x:v>
      </x:c>
      <x:c r="N560" s="48" t="str">
        <x:v>0</x:v>
      </x:c>
      <x:c r="O560" s="48" t="str">
        <x:v>0</x:v>
      </x:c>
      <x:c r="P560" s="48" t="str">
        <x:v>0</x:v>
      </x:c>
      <x:c r="Q560" s="48" t="str">
        <x:v>0.667</x:v>
      </x:c>
      <x:c r="R560" s="48" t="str">
        <x:v>DRIVER DOES NOT SEPARATE</x:v>
      </x:c>
      <x:c r="S560" s="48" t="str">
        <x:v>0.125</x:v>
      </x:c>
      <x:c r="T560" s="48" t="str">
        <x:v>LARGE_2_TO_LT_5B:N=9,p=0.667; LOWER_MID_LT_2B:N=8,p=0.750; MEGA_GE_5B:N=8,p=0.625</x:v>
      </x:c>
      <x:c r="U560" s="48" t="str">
        <x:v>Maximum-minus-minimum prevalence among adequately observed groups is no more than 0.15.</x:v>
      </x:c>
      <x:c r="V560" s="48" t="str">
        <x:v>At least 5 observable manager families in at least 2 driver groups</x:v>
      </x:c>
      <x:c r="W560" s="48" t="str">
        <x:v>&gt;=0.35 separates; &lt;=0.15 does not separate; intermediate is inconclusive/confounded; direct driver-definition tests are CIRCULAR</x:v>
      </x:c>
      <x:c r="X560" s="48" t="str">
        <x:v>MANAGER_SELF_DESCRIPTION; NOT BEHAVIOURAL FREQUENCY</x:v>
      </x:c>
    </x:row>
    <x:row r="561">
      <x:c r="A561" s="48" t="str">
        <x:v>B_GOVERNANCE_SEGMENTATION</x:v>
      </x:c>
      <x:c r="B561" s="48" t="str">
        <x:v>Tier B v1.1 - N=29 rerun</x:v>
      </x:c>
      <x:c r="C561" s="48" t="str">
        <x:v>2026-07-16</x:v>
      </x:c>
      <x:c r="D561" s="48" t="str">
        <x:v>U06</x:v>
      </x:c>
      <x:c r="E561" s="48" t="str">
        <x:v>UNDERWRITING_DOCUMENTS</x:v>
      </x:c>
      <x:c r="F561" s="48" t="str">
        <x:v>Three or more named memorandum stages</x:v>
      </x:c>
      <x:c r="G561" s="48" t="str">
        <x:v>fund_size_archetype</x:v>
      </x:c>
      <x:c r="H561" s="48" t="str">
        <x:v>LOWER_MID_LT_2B</x:v>
      </x:c>
      <x:c r="I561" s="48" t="str">
        <x:v>8</x:v>
      </x:c>
      <x:c r="J561" s="48" t="str">
        <x:v>6</x:v>
      </x:c>
      <x:c r="K561" s="48" t="str">
        <x:v>0</x:v>
      </x:c>
      <x:c r="L561" s="48" t="str">
        <x:v>2</x:v>
      </x:c>
      <x:c r="M561" s="48" t="str">
        <x:v>8</x:v>
      </x:c>
      <x:c r="N561" s="48" t="str">
        <x:v>0</x:v>
      </x:c>
      <x:c r="O561" s="48" t="str">
        <x:v>0</x:v>
      </x:c>
      <x:c r="P561" s="48" t="str">
        <x:v>0</x:v>
      </x:c>
      <x:c r="Q561" s="48" t="str">
        <x:v>0.750</x:v>
      </x:c>
      <x:c r="R561" s="48" t="str">
        <x:v>DRIVER DOES NOT SEPARATE</x:v>
      </x:c>
      <x:c r="S561" s="48" t="str">
        <x:v>0.125</x:v>
      </x:c>
      <x:c r="T561" s="48" t="str">
        <x:v>LARGE_2_TO_LT_5B:N=9,p=0.667; LOWER_MID_LT_2B:N=8,p=0.750; MEGA_GE_5B:N=8,p=0.625</x:v>
      </x:c>
      <x:c r="U561" s="48" t="str">
        <x:v>Maximum-minus-minimum prevalence among adequately observed groups is no more than 0.15.</x:v>
      </x:c>
      <x:c r="V561" s="48" t="str">
        <x:v>At least 5 observable manager families in at least 2 driver groups</x:v>
      </x:c>
      <x:c r="W561" s="48" t="str">
        <x:v>&gt;=0.35 separates; &lt;=0.15 does not separate; intermediate is inconclusive/confounded; direct driver-definition tests are CIRCULAR</x:v>
      </x:c>
      <x:c r="X561" s="48" t="str">
        <x:v>MANAGER_SELF_DESCRIPTION; NOT BEHAVIOURAL FREQUENCY</x:v>
      </x:c>
    </x:row>
    <x:row r="562">
      <x:c r="A562" s="48" t="str">
        <x:v>B_GOVERNANCE_SEGMENTATION</x:v>
      </x:c>
      <x:c r="B562" s="48" t="str">
        <x:v>Tier B v1.1 - N=29 rerun</x:v>
      </x:c>
      <x:c r="C562" s="48" t="str">
        <x:v>2026-07-16</x:v>
      </x:c>
      <x:c r="D562" s="48" t="str">
        <x:v>U06</x:v>
      </x:c>
      <x:c r="E562" s="48" t="str">
        <x:v>UNDERWRITING_DOCUMENTS</x:v>
      </x:c>
      <x:c r="F562" s="48" t="str">
        <x:v>Three or more named memorandum stages</x:v>
      </x:c>
      <x:c r="G562" s="48" t="str">
        <x:v>fund_size_archetype</x:v>
      </x:c>
      <x:c r="H562" s="48" t="str">
        <x:v>MEGA_GE_5B</x:v>
      </x:c>
      <x:c r="I562" s="48" t="str">
        <x:v>11</x:v>
      </x:c>
      <x:c r="J562" s="48" t="str">
        <x:v>5</x:v>
      </x:c>
      <x:c r="K562" s="48" t="str">
        <x:v>0</x:v>
      </x:c>
      <x:c r="L562" s="48" t="str">
        <x:v>3</x:v>
      </x:c>
      <x:c r="M562" s="48" t="str">
        <x:v>8</x:v>
      </x:c>
      <x:c r="N562" s="48" t="str">
        <x:v>3</x:v>
      </x:c>
      <x:c r="O562" s="48" t="str">
        <x:v>0</x:v>
      </x:c>
      <x:c r="P562" s="48" t="str">
        <x:v>0</x:v>
      </x:c>
      <x:c r="Q562" s="48" t="str">
        <x:v>0.625</x:v>
      </x:c>
      <x:c r="R562" s="48" t="str">
        <x:v>DRIVER DOES NOT SEPARATE</x:v>
      </x:c>
      <x:c r="S562" s="48" t="str">
        <x:v>0.125</x:v>
      </x:c>
      <x:c r="T562" s="48" t="str">
        <x:v>LARGE_2_TO_LT_5B:N=9,p=0.667; LOWER_MID_LT_2B:N=8,p=0.750; MEGA_GE_5B:N=8,p=0.625</x:v>
      </x:c>
      <x:c r="U562" s="48" t="str">
        <x:v>Maximum-minus-minimum prevalence among adequately observed groups is no more than 0.15.</x:v>
      </x:c>
      <x:c r="V562" s="48" t="str">
        <x:v>At least 5 observable manager families in at least 2 driver groups</x:v>
      </x:c>
      <x:c r="W562" s="48" t="str">
        <x:v>&gt;=0.35 separates; &lt;=0.15 does not separate; intermediate is inconclusive/confounded; direct driver-definition tests are CIRCULAR</x:v>
      </x:c>
      <x:c r="X562" s="48" t="str">
        <x:v>MANAGER_SELF_DESCRIPTION; NOT BEHAVIOURAL FREQUENCY</x:v>
      </x:c>
    </x:row>
    <x:row r="563">
      <x:c r="A563" s="48" t="str">
        <x:v>B_GOVERNANCE_SEGMENTATION</x:v>
      </x:c>
      <x:c r="B563" s="48" t="str">
        <x:v>Tier B v1.1 - N=29 rerun</x:v>
      </x:c>
      <x:c r="C563" s="48" t="str">
        <x:v>2026-07-16</x:v>
      </x:c>
      <x:c r="D563" s="48" t="str">
        <x:v>U06</x:v>
      </x:c>
      <x:c r="E563" s="48" t="str">
        <x:v>UNDERWRITING_DOCUMENTS</x:v>
      </x:c>
      <x:c r="F563" s="48" t="str">
        <x:v>Three or more named memorandum stages</x:v>
      </x:c>
      <x:c r="G563" s="48" t="str">
        <x:v>fund_size_archetype</x:v>
      </x:c>
      <x:c r="H563" s="48" t="str">
        <x:v>NOT_APPLICABLE</x:v>
      </x:c>
      <x:c r="I563" s="48" t="str">
        <x:v>1</x:v>
      </x:c>
      <x:c r="J563" s="48" t="str">
        <x:v>1</x:v>
      </x:c>
      <x:c r="K563" s="48" t="str">
        <x:v>0</x:v>
      </x:c>
      <x:c r="L563" s="48" t="str">
        <x:v>0</x:v>
      </x:c>
      <x:c r="M563" s="48" t="str">
        <x:v>1</x:v>
      </x:c>
      <x:c r="N563" s="48" t="str">
        <x:v>0</x:v>
      </x:c>
      <x:c r="O563" s="48" t="str">
        <x:v>0</x:v>
      </x:c>
      <x:c r="P563" s="48" t="str">
        <x:v>0</x:v>
      </x:c>
      <x:c r="Q563" s="48" t="str">
        <x:v>1.000</x:v>
      </x:c>
      <x:c r="R563" s="48" t="str">
        <x:v>DRIVER DOES NOT SEPARATE</x:v>
      </x:c>
      <x:c r="S563" s="48" t="str">
        <x:v>0.125</x:v>
      </x:c>
      <x:c r="T563" s="48" t="str">
        <x:v>LARGE_2_TO_LT_5B:N=9,p=0.667; LOWER_MID_LT_2B:N=8,p=0.750; MEGA_GE_5B:N=8,p=0.625</x:v>
      </x:c>
      <x:c r="U563" s="48" t="str">
        <x:v>Maximum-minus-minimum prevalence among adequately observed groups is no more than 0.15.</x:v>
      </x:c>
      <x:c r="V563" s="48" t="str">
        <x:v>At least 5 observable manager families in at least 2 driver groups</x:v>
      </x:c>
      <x:c r="W563" s="48" t="str">
        <x:v>&gt;=0.35 separates; &lt;=0.15 does not separate; intermediate is inconclusive/confounded; direct driver-definition tests are CIRCULAR</x:v>
      </x:c>
      <x:c r="X563" s="48" t="str">
        <x:v>MANAGER_SELF_DESCRIPTION; NOT BEHAVIOURAL FREQUENCY</x:v>
      </x:c>
    </x:row>
    <x:row r="564">
      <x:c r="A564" s="48" t="str">
        <x:v>B_GOVERNANCE_SEGMENTATION</x:v>
      </x:c>
      <x:c r="B564" s="48" t="str">
        <x:v>Tier B v1.1 - N=29 rerun</x:v>
      </x:c>
      <x:c r="C564" s="48" t="str">
        <x:v>2026-07-16</x:v>
      </x:c>
      <x:c r="D564" s="48" t="str">
        <x:v>U06</x:v>
      </x:c>
      <x:c r="E564" s="48" t="str">
        <x:v>UNDERWRITING_DOCUMENTS</x:v>
      </x:c>
      <x:c r="F564" s="48" t="str">
        <x:v>Three or more named memorandum stages</x:v>
      </x:c>
      <x:c r="G564" s="48" t="str">
        <x:v>strategy</x:v>
      </x:c>
      <x:c r="H564" s="48" t="str">
        <x:v>CONTROL_BUYOUT</x:v>
      </x:c>
      <x:c r="I564" s="48" t="str">
        <x:v>22</x:v>
      </x:c>
      <x:c r="J564" s="48" t="str">
        <x:v>13</x:v>
      </x:c>
      <x:c r="K564" s="48" t="str">
        <x:v>0</x:v>
      </x:c>
      <x:c r="L564" s="48" t="str">
        <x:v>7</x:v>
      </x:c>
      <x:c r="M564" s="48" t="str">
        <x:v>20</x:v>
      </x:c>
      <x:c r="N564" s="48" t="str">
        <x:v>2</x:v>
      </x:c>
      <x:c r="O564" s="48" t="str">
        <x:v>0</x:v>
      </x:c>
      <x:c r="P564" s="48" t="str">
        <x:v>0</x:v>
      </x:c>
      <x:c r="Q564" s="48" t="str">
        <x:v>0.650</x:v>
      </x:c>
      <x:c r="R564" s="48" t="str">
        <x:v>INCONCLUSIVE OR CONFOUNDED</x:v>
      </x:c>
      <x:c r="S564" s="48" t="str">
        <x:v>0.150</x:v>
      </x:c>
      <x:c r="T564" s="48" t="str">
        <x:v>CONTROL_BUYOUT:N=20,p=0.650; GROWTH_CONTROL_HYBRID:N=5,p=0.800</x:v>
      </x:c>
      <x:c r="U564" s="48" t="str">
        <x:v>Adequate groups differ, but the maximum-minus-minimum prevalence lies between 0.15 and 0.35.</x:v>
      </x:c>
      <x:c r="V564" s="48" t="str">
        <x:v>At least 5 observable manager families in at least 2 driver groups</x:v>
      </x:c>
      <x:c r="W564" s="48" t="str">
        <x:v>&gt;=0.35 separates; &lt;=0.15 does not separate; intermediate is inconclusive/confounded; direct driver-definition tests are CIRCULAR</x:v>
      </x:c>
      <x:c r="X564" s="48" t="str">
        <x:v>MANAGER_SELF_DESCRIPTION; NOT BEHAVIOURAL FREQUENCY</x:v>
      </x:c>
    </x:row>
    <x:row r="565">
      <x:c r="A565" s="48" t="str">
        <x:v>B_GOVERNANCE_SEGMENTATION</x:v>
      </x:c>
      <x:c r="B565" s="48" t="str">
        <x:v>Tier B v1.1 - N=29 rerun</x:v>
      </x:c>
      <x:c r="C565" s="48" t="str">
        <x:v>2026-07-16</x:v>
      </x:c>
      <x:c r="D565" s="48" t="str">
        <x:v>U06</x:v>
      </x:c>
      <x:c r="E565" s="48" t="str">
        <x:v>UNDERWRITING_DOCUMENTS</x:v>
      </x:c>
      <x:c r="F565" s="48" t="str">
        <x:v>Three or more named memorandum stages</x:v>
      </x:c>
      <x:c r="G565" s="48" t="str">
        <x:v>strategy</x:v>
      </x:c>
      <x:c r="H565" s="48" t="str">
        <x:v>GROWTH_CONTROL_HYBRID</x:v>
      </x:c>
      <x:c r="I565" s="48" t="str">
        <x:v>6</x:v>
      </x:c>
      <x:c r="J565" s="48" t="str">
        <x:v>4</x:v>
      </x:c>
      <x:c r="K565" s="48" t="str">
        <x:v>0</x:v>
      </x:c>
      <x:c r="L565" s="48" t="str">
        <x:v>1</x:v>
      </x:c>
      <x:c r="M565" s="48" t="str">
        <x:v>5</x:v>
      </x:c>
      <x:c r="N565" s="48" t="str">
        <x:v>1</x:v>
      </x:c>
      <x:c r="O565" s="48" t="str">
        <x:v>0</x:v>
      </x:c>
      <x:c r="P565" s="48" t="str">
        <x:v>0</x:v>
      </x:c>
      <x:c r="Q565" s="48" t="str">
        <x:v>0.800</x:v>
      </x:c>
      <x:c r="R565" s="48" t="str">
        <x:v>INCONCLUSIVE OR CONFOUNDED</x:v>
      </x:c>
      <x:c r="S565" s="48" t="str">
        <x:v>0.150</x:v>
      </x:c>
      <x:c r="T565" s="48" t="str">
        <x:v>CONTROL_BUYOUT:N=20,p=0.650; GROWTH_CONTROL_HYBRID:N=5,p=0.800</x:v>
      </x:c>
      <x:c r="U565" s="48" t="str">
        <x:v>Adequate groups differ, but the maximum-minus-minimum prevalence lies between 0.15 and 0.35.</x:v>
      </x:c>
      <x:c r="V565" s="48" t="str">
        <x:v>At least 5 observable manager families in at least 2 driver groups</x:v>
      </x:c>
      <x:c r="W565" s="48" t="str">
        <x:v>&gt;=0.35 separates; &lt;=0.15 does not separate; intermediate is inconclusive/confounded; direct driver-definition tests are CIRCULAR</x:v>
      </x:c>
      <x:c r="X565" s="48" t="str">
        <x:v>MANAGER_SELF_DESCRIPTION; NOT BEHAVIOURAL FREQUENCY</x:v>
      </x:c>
    </x:row>
    <x:row r="566">
      <x:c r="A566" s="48" t="str">
        <x:v>B_GOVERNANCE_SEGMENTATION</x:v>
      </x:c>
      <x:c r="B566" s="48" t="str">
        <x:v>Tier B v1.1 - N=29 rerun</x:v>
      </x:c>
      <x:c r="C566" s="48" t="str">
        <x:v>2026-07-16</x:v>
      </x:c>
      <x:c r="D566" s="48" t="str">
        <x:v>U06</x:v>
      </x:c>
      <x:c r="E566" s="48" t="str">
        <x:v>UNDERWRITING_DOCUMENTS</x:v>
      </x:c>
      <x:c r="F566" s="48" t="str">
        <x:v>Three or more named memorandum stages</x:v>
      </x:c>
      <x:c r="G566" s="48" t="str">
        <x:v>strategy</x:v>
      </x:c>
      <x:c r="H566" s="48" t="str">
        <x:v>OPPORTUNISTIC_CONTROL</x:v>
      </x:c>
      <x:c r="I566" s="48" t="str">
        <x:v>1</x:v>
      </x:c>
      <x:c r="J566" s="48" t="str">
        <x:v>1</x:v>
      </x:c>
      <x:c r="K566" s="48" t="str">
        <x:v>0</x:v>
      </x:c>
      <x:c r="L566" s="48" t="str">
        <x:v>0</x:v>
      </x:c>
      <x:c r="M566" s="48" t="str">
        <x:v>1</x:v>
      </x:c>
      <x:c r="N566" s="48" t="str">
        <x:v>0</x:v>
      </x:c>
      <x:c r="O566" s="48" t="str">
        <x:v>0</x:v>
      </x:c>
      <x:c r="P566" s="48" t="str">
        <x:v>0</x:v>
      </x:c>
      <x:c r="Q566" s="48" t="str">
        <x:v>1.000</x:v>
      </x:c>
      <x:c r="R566" s="48" t="str">
        <x:v>INCONCLUSIVE OR CONFOUNDED</x:v>
      </x:c>
      <x:c r="S566" s="48" t="str">
        <x:v>0.150</x:v>
      </x:c>
      <x:c r="T566" s="48" t="str">
        <x:v>CONTROL_BUYOUT:N=20,p=0.650; GROWTH_CONTROL_HYBRID:N=5,p=0.800</x:v>
      </x:c>
      <x:c r="U566" s="48" t="str">
        <x:v>Adequate groups differ, but the maximum-minus-minimum prevalence lies between 0.15 and 0.35.</x:v>
      </x:c>
      <x:c r="V566" s="48" t="str">
        <x:v>At least 5 observable manager families in at least 2 driver groups</x:v>
      </x:c>
      <x:c r="W566" s="48" t="str">
        <x:v>&gt;=0.35 separates; &lt;=0.15 does not separate; intermediate is inconclusive/confounded; direct driver-definition tests are CIRCULAR</x:v>
      </x:c>
      <x:c r="X566" s="48" t="str">
        <x:v>MANAGER_SELF_DESCRIPTION; NOT BEHAVIOURAL FREQUENCY</x:v>
      </x:c>
    </x:row>
    <x:row r="567">
      <x:c r="A567" s="48" t="str">
        <x:v>B_GOVERNANCE_SEGMENTATION</x:v>
      </x:c>
      <x:c r="B567" s="48" t="str">
        <x:v>Tier B v1.1 - N=29 rerun</x:v>
      </x:c>
      <x:c r="C567" s="48" t="str">
        <x:v>2026-07-16</x:v>
      </x:c>
      <x:c r="D567" s="48" t="str">
        <x:v>U06</x:v>
      </x:c>
      <x:c r="E567" s="48" t="str">
        <x:v>UNDERWRITING_DOCUMENTS</x:v>
      </x:c>
      <x:c r="F567" s="48" t="str">
        <x:v>Three or more named memorandum stages</x:v>
      </x:c>
      <x:c r="G567" s="48" t="str">
        <x:v>geography</x:v>
      </x:c>
      <x:c r="H567" s="48" t="str">
        <x:v>ASIA_PACIFIC</x:v>
      </x:c>
      <x:c r="I567" s="48" t="str">
        <x:v>4</x:v>
      </x:c>
      <x:c r="J567" s="48" t="str">
        <x:v>3</x:v>
      </x:c>
      <x:c r="K567" s="48" t="str">
        <x:v>0</x:v>
      </x:c>
      <x:c r="L567" s="48" t="str">
        <x:v>1</x:v>
      </x:c>
      <x:c r="M567" s="48" t="str">
        <x:v>4</x:v>
      </x:c>
      <x:c r="N567" s="48" t="str">
        <x:v>0</x:v>
      </x:c>
      <x:c r="O567" s="48" t="str">
        <x:v>0</x:v>
      </x:c>
      <x:c r="P567" s="48" t="str">
        <x:v>0</x:v>
      </x:c>
      <x:c r="Q567" s="48" t="str">
        <x:v>0.750</x:v>
      </x:c>
      <x:c r="R567" s="48" t="str">
        <x:v>DRIVER DOES NOT SEPARATE</x:v>
      </x:c>
      <x:c r="S567" s="48" t="str">
        <x:v>0.099</x:v>
      </x:c>
      <x:c r="T567" s="48" t="str">
        <x:v>GLOBAL_TRANSATLANTIC:N=7,p=0.714; NORTH_AMERICA:N=13,p=0.615</x:v>
      </x:c>
      <x:c r="U567" s="48" t="str">
        <x:v>Maximum-minus-minimum prevalence among adequately observed groups is no more than 0.15.</x:v>
      </x:c>
      <x:c r="V567" s="48" t="str">
        <x:v>At least 5 observable manager families in at least 2 driver groups</x:v>
      </x:c>
      <x:c r="W567" s="48" t="str">
        <x:v>&gt;=0.35 separates; &lt;=0.15 does not separate; intermediate is inconclusive/confounded; direct driver-definition tests are CIRCULAR</x:v>
      </x:c>
      <x:c r="X567" s="48" t="str">
        <x:v>MANAGER_SELF_DESCRIPTION; NOT BEHAVIOURAL FREQUENCY</x:v>
      </x:c>
    </x:row>
    <x:row r="568">
      <x:c r="A568" s="48" t="str">
        <x:v>B_GOVERNANCE_SEGMENTATION</x:v>
      </x:c>
      <x:c r="B568" s="48" t="str">
        <x:v>Tier B v1.1 - N=29 rerun</x:v>
      </x:c>
      <x:c r="C568" s="48" t="str">
        <x:v>2026-07-16</x:v>
      </x:c>
      <x:c r="D568" s="48" t="str">
        <x:v>U06</x:v>
      </x:c>
      <x:c r="E568" s="48" t="str">
        <x:v>UNDERWRITING_DOCUMENTS</x:v>
      </x:c>
      <x:c r="F568" s="48" t="str">
        <x:v>Three or more named memorandum stages</x:v>
      </x:c>
      <x:c r="G568" s="48" t="str">
        <x:v>geography</x:v>
      </x:c>
      <x:c r="H568" s="48" t="str">
        <x:v>EUROPE</x:v>
      </x:c>
      <x:c r="I568" s="48" t="str">
        <x:v>2</x:v>
      </x:c>
      <x:c r="J568" s="48" t="str">
        <x:v>2</x:v>
      </x:c>
      <x:c r="K568" s="48" t="str">
        <x:v>0</x:v>
      </x:c>
      <x:c r="L568" s="48" t="str">
        <x:v>0</x:v>
      </x:c>
      <x:c r="M568" s="48" t="str">
        <x:v>2</x:v>
      </x:c>
      <x:c r="N568" s="48" t="str">
        <x:v>0</x:v>
      </x:c>
      <x:c r="O568" s="48" t="str">
        <x:v>0</x:v>
      </x:c>
      <x:c r="P568" s="48" t="str">
        <x:v>0</x:v>
      </x:c>
      <x:c r="Q568" s="48" t="str">
        <x:v>1.000</x:v>
      </x:c>
      <x:c r="R568" s="48" t="str">
        <x:v>DRIVER DOES NOT SEPARATE</x:v>
      </x:c>
      <x:c r="S568" s="48" t="str">
        <x:v>0.099</x:v>
      </x:c>
      <x:c r="T568" s="48" t="str">
        <x:v>GLOBAL_TRANSATLANTIC:N=7,p=0.714; NORTH_AMERICA:N=13,p=0.615</x:v>
      </x:c>
      <x:c r="U568" s="48" t="str">
        <x:v>Maximum-minus-minimum prevalence among adequately observed groups is no more than 0.15.</x:v>
      </x:c>
      <x:c r="V568" s="48" t="str">
        <x:v>At least 5 observable manager families in at least 2 driver groups</x:v>
      </x:c>
      <x:c r="W568" s="48" t="str">
        <x:v>&gt;=0.35 separates; &lt;=0.15 does not separate; intermediate is inconclusive/confounded; direct driver-definition tests are CIRCULAR</x:v>
      </x:c>
      <x:c r="X568" s="48" t="str">
        <x:v>MANAGER_SELF_DESCRIPTION; NOT BEHAVIOURAL FREQUENCY</x:v>
      </x:c>
    </x:row>
    <x:row r="569">
      <x:c r="A569" s="48" t="str">
        <x:v>B_GOVERNANCE_SEGMENTATION</x:v>
      </x:c>
      <x:c r="B569" s="48" t="str">
        <x:v>Tier B v1.1 - N=29 rerun</x:v>
      </x:c>
      <x:c r="C569" s="48" t="str">
        <x:v>2026-07-16</x:v>
      </x:c>
      <x:c r="D569" s="48" t="str">
        <x:v>U06</x:v>
      </x:c>
      <x:c r="E569" s="48" t="str">
        <x:v>UNDERWRITING_DOCUMENTS</x:v>
      </x:c>
      <x:c r="F569" s="48" t="str">
        <x:v>Three or more named memorandum stages</x:v>
      </x:c>
      <x:c r="G569" s="48" t="str">
        <x:v>geography</x:v>
      </x:c>
      <x:c r="H569" s="48" t="str">
        <x:v>GLOBAL_TRANSATLANTIC</x:v>
      </x:c>
      <x:c r="I569" s="48" t="str">
        <x:v>10</x:v>
      </x:c>
      <x:c r="J569" s="48" t="str">
        <x:v>5</x:v>
      </x:c>
      <x:c r="K569" s="48" t="str">
        <x:v>0</x:v>
      </x:c>
      <x:c r="L569" s="48" t="str">
        <x:v>2</x:v>
      </x:c>
      <x:c r="M569" s="48" t="str">
        <x:v>7</x:v>
      </x:c>
      <x:c r="N569" s="48" t="str">
        <x:v>3</x:v>
      </x:c>
      <x:c r="O569" s="48" t="str">
        <x:v>0</x:v>
      </x:c>
      <x:c r="P569" s="48" t="str">
        <x:v>0</x:v>
      </x:c>
      <x:c r="Q569" s="48" t="str">
        <x:v>0.714</x:v>
      </x:c>
      <x:c r="R569" s="48" t="str">
        <x:v>DRIVER DOES NOT SEPARATE</x:v>
      </x:c>
      <x:c r="S569" s="48" t="str">
        <x:v>0.099</x:v>
      </x:c>
      <x:c r="T569" s="48" t="str">
        <x:v>GLOBAL_TRANSATLANTIC:N=7,p=0.714; NORTH_AMERICA:N=13,p=0.615</x:v>
      </x:c>
      <x:c r="U569" s="48" t="str">
        <x:v>Maximum-minus-minimum prevalence among adequately observed groups is no more than 0.15.</x:v>
      </x:c>
      <x:c r="V569" s="48" t="str">
        <x:v>At least 5 observable manager families in at least 2 driver groups</x:v>
      </x:c>
      <x:c r="W569" s="48" t="str">
        <x:v>&gt;=0.35 separates; &lt;=0.15 does not separate; intermediate is inconclusive/confounded; direct driver-definition tests are CIRCULAR</x:v>
      </x:c>
      <x:c r="X569" s="48" t="str">
        <x:v>MANAGER_SELF_DESCRIPTION; NOT BEHAVIOURAL FREQUENCY</x:v>
      </x:c>
    </x:row>
    <x:row r="570">
      <x:c r="A570" s="48" t="str">
        <x:v>B_GOVERNANCE_SEGMENTATION</x:v>
      </x:c>
      <x:c r="B570" s="48" t="str">
        <x:v>Tier B v1.1 - N=29 rerun</x:v>
      </x:c>
      <x:c r="C570" s="48" t="str">
        <x:v>2026-07-16</x:v>
      </x:c>
      <x:c r="D570" s="48" t="str">
        <x:v>U06</x:v>
      </x:c>
      <x:c r="E570" s="48" t="str">
        <x:v>UNDERWRITING_DOCUMENTS</x:v>
      </x:c>
      <x:c r="F570" s="48" t="str">
        <x:v>Three or more named memorandum stages</x:v>
      </x:c>
      <x:c r="G570" s="48" t="str">
        <x:v>geography</x:v>
      </x:c>
      <x:c r="H570" s="48" t="str">
        <x:v>NORTH_AMERICA</x:v>
      </x:c>
      <x:c r="I570" s="48" t="str">
        <x:v>13</x:v>
      </x:c>
      <x:c r="J570" s="48" t="str">
        <x:v>8</x:v>
      </x:c>
      <x:c r="K570" s="48" t="str">
        <x:v>0</x:v>
      </x:c>
      <x:c r="L570" s="48" t="str">
        <x:v>5</x:v>
      </x:c>
      <x:c r="M570" s="48" t="str">
        <x:v>13</x:v>
      </x:c>
      <x:c r="N570" s="48" t="str">
        <x:v>0</x:v>
      </x:c>
      <x:c r="O570" s="48" t="str">
        <x:v>0</x:v>
      </x:c>
      <x:c r="P570" s="48" t="str">
        <x:v>0</x:v>
      </x:c>
      <x:c r="Q570" s="48" t="str">
        <x:v>0.615</x:v>
      </x:c>
      <x:c r="R570" s="48" t="str">
        <x:v>DRIVER DOES NOT SEPARATE</x:v>
      </x:c>
      <x:c r="S570" s="48" t="str">
        <x:v>0.099</x:v>
      </x:c>
      <x:c r="T570" s="48" t="str">
        <x:v>GLOBAL_TRANSATLANTIC:N=7,p=0.714; NORTH_AMERICA:N=13,p=0.615</x:v>
      </x:c>
      <x:c r="U570" s="48" t="str">
        <x:v>Maximum-minus-minimum prevalence among adequately observed groups is no more than 0.15.</x:v>
      </x:c>
      <x:c r="V570" s="48" t="str">
        <x:v>At least 5 observable manager families in at least 2 driver groups</x:v>
      </x:c>
      <x:c r="W570" s="48" t="str">
        <x:v>&gt;=0.35 separates; &lt;=0.15 does not separate; intermediate is inconclusive/confounded; direct driver-definition tests are CIRCULAR</x:v>
      </x:c>
      <x:c r="X570" s="48" t="str">
        <x:v>MANAGER_SELF_DESCRIPTION; NOT BEHAVIOURAL FREQUENCY</x:v>
      </x:c>
    </x:row>
    <x:row r="571">
      <x:c r="A571" s="48" t="str">
        <x:v>B_GOVERNANCE_SEGMENTATION</x:v>
      </x:c>
      <x:c r="B571" s="48" t="str">
        <x:v>Tier B v1.1 - N=29 rerun</x:v>
      </x:c>
      <x:c r="C571" s="48" t="str">
        <x:v>2026-07-16</x:v>
      </x:c>
      <x:c r="D571" s="48" t="str">
        <x:v>U06</x:v>
      </x:c>
      <x:c r="E571" s="48" t="str">
        <x:v>UNDERWRITING_DOCUMENTS</x:v>
      </x:c>
      <x:c r="F571" s="48" t="str">
        <x:v>Three or more named memorandum stages</x:v>
      </x:c>
      <x:c r="G571" s="48" t="str">
        <x:v>source_vintage_bin</x:v>
      </x:c>
      <x:c r="H571" s="48" t="str">
        <x:v>2018_2020</x:v>
      </x:c>
      <x:c r="I571" s="48" t="str">
        <x:v>6</x:v>
      </x:c>
      <x:c r="J571" s="48" t="str">
        <x:v>4</x:v>
      </x:c>
      <x:c r="K571" s="48" t="str">
        <x:v>0</x:v>
      </x:c>
      <x:c r="L571" s="48" t="str">
        <x:v>2</x:v>
      </x:c>
      <x:c r="M571" s="48" t="str">
        <x:v>6</x:v>
      </x:c>
      <x:c r="N571" s="48" t="str">
        <x:v>0</x:v>
      </x:c>
      <x:c r="O571" s="48" t="str">
        <x:v>0</x:v>
      </x:c>
      <x:c r="P571" s="48" t="str">
        <x:v>0</x:v>
      </x:c>
      <x:c r="Q571" s="48" t="str">
        <x:v>0.667</x:v>
      </x:c>
      <x:c r="R571" s="48" t="str">
        <x:v>DRIVER DOES NOT SEPARATE</x:v>
      </x:c>
      <x:c r="S571" s="48" t="str">
        <x:v>0.141</x:v>
      </x:c>
      <x:c r="T571" s="48" t="str">
        <x:v>2018_2020:N=6,p=0.667; 2021_2023:N=9,p=0.778; 2024_2026:N=11,p=0.636</x:v>
      </x:c>
      <x:c r="U571" s="48" t="str">
        <x:v>Maximum-minus-minimum prevalence among adequately observed groups is no more than 0.15.</x:v>
      </x:c>
      <x:c r="V571" s="48" t="str">
        <x:v>At least 5 observable manager families in at least 2 driver groups</x:v>
      </x:c>
      <x:c r="W571" s="48" t="str">
        <x:v>&gt;=0.35 separates; &lt;=0.15 does not separate; intermediate is inconclusive/confounded; direct driver-definition tests are CIRCULAR</x:v>
      </x:c>
      <x:c r="X571" s="48" t="str">
        <x:v>MANAGER_SELF_DESCRIPTION; NOT BEHAVIOURAL FREQUENCY</x:v>
      </x:c>
    </x:row>
    <x:row r="572">
      <x:c r="A572" s="48" t="str">
        <x:v>B_GOVERNANCE_SEGMENTATION</x:v>
      </x:c>
      <x:c r="B572" s="48" t="str">
        <x:v>Tier B v1.1 - N=29 rerun</x:v>
      </x:c>
      <x:c r="C572" s="48" t="str">
        <x:v>2026-07-16</x:v>
      </x:c>
      <x:c r="D572" s="48" t="str">
        <x:v>U06</x:v>
      </x:c>
      <x:c r="E572" s="48" t="str">
        <x:v>UNDERWRITING_DOCUMENTS</x:v>
      </x:c>
      <x:c r="F572" s="48" t="str">
        <x:v>Three or more named memorandum stages</x:v>
      </x:c>
      <x:c r="G572" s="48" t="str">
        <x:v>source_vintage_bin</x:v>
      </x:c>
      <x:c r="H572" s="48" t="str">
        <x:v>2021_2023</x:v>
      </x:c>
      <x:c r="I572" s="48" t="str">
        <x:v>11</x:v>
      </x:c>
      <x:c r="J572" s="48" t="str">
        <x:v>7</x:v>
      </x:c>
      <x:c r="K572" s="48" t="str">
        <x:v>0</x:v>
      </x:c>
      <x:c r="L572" s="48" t="str">
        <x:v>2</x:v>
      </x:c>
      <x:c r="M572" s="48" t="str">
        <x:v>9</x:v>
      </x:c>
      <x:c r="N572" s="48" t="str">
        <x:v>2</x:v>
      </x:c>
      <x:c r="O572" s="48" t="str">
        <x:v>0</x:v>
      </x:c>
      <x:c r="P572" s="48" t="str">
        <x:v>0</x:v>
      </x:c>
      <x:c r="Q572" s="48" t="str">
        <x:v>0.778</x:v>
      </x:c>
      <x:c r="R572" s="48" t="str">
        <x:v>DRIVER DOES NOT SEPARATE</x:v>
      </x:c>
      <x:c r="S572" s="48" t="str">
        <x:v>0.141</x:v>
      </x:c>
      <x:c r="T572" s="48" t="str">
        <x:v>2018_2020:N=6,p=0.667; 2021_2023:N=9,p=0.778; 2024_2026:N=11,p=0.636</x:v>
      </x:c>
      <x:c r="U572" s="48" t="str">
        <x:v>Maximum-minus-minimum prevalence among adequately observed groups is no more than 0.15.</x:v>
      </x:c>
      <x:c r="V572" s="48" t="str">
        <x:v>At least 5 observable manager families in at least 2 driver groups</x:v>
      </x:c>
      <x:c r="W572" s="48" t="str">
        <x:v>&gt;=0.35 separates; &lt;=0.15 does not separate; intermediate is inconclusive/confounded; direct driver-definition tests are CIRCULAR</x:v>
      </x:c>
      <x:c r="X572" s="48" t="str">
        <x:v>MANAGER_SELF_DESCRIPTION; NOT BEHAVIOURAL FREQUENCY</x:v>
      </x:c>
    </x:row>
    <x:row r="573">
      <x:c r="A573" s="48" t="str">
        <x:v>B_GOVERNANCE_SEGMENTATION</x:v>
      </x:c>
      <x:c r="B573" s="48" t="str">
        <x:v>Tier B v1.1 - N=29 rerun</x:v>
      </x:c>
      <x:c r="C573" s="48" t="str">
        <x:v>2026-07-16</x:v>
      </x:c>
      <x:c r="D573" s="48" t="str">
        <x:v>U06</x:v>
      </x:c>
      <x:c r="E573" s="48" t="str">
        <x:v>UNDERWRITING_DOCUMENTS</x:v>
      </x:c>
      <x:c r="F573" s="48" t="str">
        <x:v>Three or more named memorandum stages</x:v>
      </x:c>
      <x:c r="G573" s="48" t="str">
        <x:v>source_vintage_bin</x:v>
      </x:c>
      <x:c r="H573" s="48" t="str">
        <x:v>2024_2026</x:v>
      </x:c>
      <x:c r="I573" s="48" t="str">
        <x:v>12</x:v>
      </x:c>
      <x:c r="J573" s="48" t="str">
        <x:v>7</x:v>
      </x:c>
      <x:c r="K573" s="48" t="str">
        <x:v>0</x:v>
      </x:c>
      <x:c r="L573" s="48" t="str">
        <x:v>4</x:v>
      </x:c>
      <x:c r="M573" s="48" t="str">
        <x:v>11</x:v>
      </x:c>
      <x:c r="N573" s="48" t="str">
        <x:v>1</x:v>
      </x:c>
      <x:c r="O573" s="48" t="str">
        <x:v>0</x:v>
      </x:c>
      <x:c r="P573" s="48" t="str">
        <x:v>0</x:v>
      </x:c>
      <x:c r="Q573" s="48" t="str">
        <x:v>0.636</x:v>
      </x:c>
      <x:c r="R573" s="48" t="str">
        <x:v>DRIVER DOES NOT SEPARATE</x:v>
      </x:c>
      <x:c r="S573" s="48" t="str">
        <x:v>0.141</x:v>
      </x:c>
      <x:c r="T573" s="48" t="str">
        <x:v>2018_2020:N=6,p=0.667; 2021_2023:N=9,p=0.778; 2024_2026:N=11,p=0.636</x:v>
      </x:c>
      <x:c r="U573" s="48" t="str">
        <x:v>Maximum-minus-minimum prevalence among adequately observed groups is no more than 0.15.</x:v>
      </x:c>
      <x:c r="V573" s="48" t="str">
        <x:v>At least 5 observable manager families in at least 2 driver groups</x:v>
      </x:c>
      <x:c r="W573" s="48" t="str">
        <x:v>&gt;=0.35 separates; &lt;=0.15 does not separate; intermediate is inconclusive/confounded; direct driver-definition tests are CIRCULAR</x:v>
      </x:c>
      <x:c r="X573" s="48" t="str">
        <x:v>MANAGER_SELF_DESCRIPTION; NOT BEHAVIOURAL FREQUENCY</x:v>
      </x:c>
    </x:row>
    <x:row r="574">
      <x:c r="A574" s="48" t="str">
        <x:v>B_GOVERNANCE_SEGMENTATION</x:v>
      </x:c>
      <x:c r="B574" s="48" t="str">
        <x:v>Tier B v1.1 - N=29 rerun</x:v>
      </x:c>
      <x:c r="C574" s="48" t="str">
        <x:v>2026-07-16</x:v>
      </x:c>
      <x:c r="D574" s="48" t="str">
        <x:v>U06</x:v>
      </x:c>
      <x:c r="E574" s="48" t="str">
        <x:v>UNDERWRITING_DOCUMENTS</x:v>
      </x:c>
      <x:c r="F574" s="48" t="str">
        <x:v>Three or more named memorandum stages</x:v>
      </x:c>
      <x:c r="G574" s="48" t="str">
        <x:v>governance_architecture</x:v>
      </x:c>
      <x:c r="H574" s="48" t="str">
        <x:v>IC_FINAL_OR_DE_FACTO</x:v>
      </x:c>
      <x:c r="I574" s="48" t="str">
        <x:v>26</x:v>
      </x:c>
      <x:c r="J574" s="48" t="str">
        <x:v>15</x:v>
      </x:c>
      <x:c r="K574" s="48" t="str">
        <x:v>0</x:v>
      </x:c>
      <x:c r="L574" s="48" t="str">
        <x:v>8</x:v>
      </x:c>
      <x:c r="M574" s="48" t="str">
        <x:v>23</x:v>
      </x:c>
      <x:c r="N574" s="48" t="str">
        <x:v>3</x:v>
      </x:c>
      <x:c r="O574" s="48" t="str">
        <x:v>0</x:v>
      </x:c>
      <x:c r="P574" s="48" t="str">
        <x:v>0</x:v>
      </x:c>
      <x:c r="Q574" s="48" t="str">
        <x:v>0.652</x:v>
      </x:c>
      <x:c r="R574" s="48" t="str">
        <x:v>N TOO SMALL</x:v>
      </x:c>
      <x:c r="S574" s="48" t="str"/>
      <x:c r="T574" s="48" t="str">
        <x:v>IC_FINAL_OR_DE_FACTO:N=23,p=0.652</x:v>
      </x:c>
      <x:c r="U574" s="48" t="str">
        <x:v>Fewer than two driver groups have at least 5 observable manager families.</x:v>
      </x:c>
      <x:c r="V574" s="48" t="str">
        <x:v>At least 5 observable manager families in at least 2 driver groups</x:v>
      </x:c>
      <x:c r="W574" s="48" t="str">
        <x:v>&gt;=0.35 separates; &lt;=0.15 does not separate; intermediate is inconclusive/confounded; direct driver-definition tests are CIRCULAR</x:v>
      </x:c>
      <x:c r="X574" s="48" t="str">
        <x:v>MANAGER_SELF_DESCRIPTION; NOT BEHAVIOURAL FREQUENCY</x:v>
      </x:c>
    </x:row>
    <x:row r="575">
      <x:c r="A575" s="48" t="str">
        <x:v>B_GOVERNANCE_SEGMENTATION</x:v>
      </x:c>
      <x:c r="B575" s="48" t="str">
        <x:v>Tier B v1.1 - N=29 rerun</x:v>
      </x:c>
      <x:c r="C575" s="48" t="str">
        <x:v>2026-07-16</x:v>
      </x:c>
      <x:c r="D575" s="48" t="str">
        <x:v>U06</x:v>
      </x:c>
      <x:c r="E575" s="48" t="str">
        <x:v>UNDERWRITING_DOCUMENTS</x:v>
      </x:c>
      <x:c r="F575" s="48" t="str">
        <x:v>Three or more named memorandum stages</x:v>
      </x:c>
      <x:c r="G575" s="48" t="str">
        <x:v>governance_architecture</x:v>
      </x:c>
      <x:c r="H575" s="48" t="str">
        <x:v>IC_RECOMMENDS_SEPARATE_FINAL_AUTHORITY</x:v>
      </x:c>
      <x:c r="I575" s="48" t="str">
        <x:v>3</x:v>
      </x:c>
      <x:c r="J575" s="48" t="str">
        <x:v>3</x:v>
      </x:c>
      <x:c r="K575" s="48" t="str">
        <x:v>0</x:v>
      </x:c>
      <x:c r="L575" s="48" t="str">
        <x:v>0</x:v>
      </x:c>
      <x:c r="M575" s="48" t="str">
        <x:v>3</x:v>
      </x:c>
      <x:c r="N575" s="48" t="str">
        <x:v>0</x:v>
      </x:c>
      <x:c r="O575" s="48" t="str">
        <x:v>0</x:v>
      </x:c>
      <x:c r="P575" s="48" t="str">
        <x:v>0</x:v>
      </x:c>
      <x:c r="Q575" s="48" t="str">
        <x:v>1.000</x:v>
      </x:c>
      <x:c r="R575" s="48" t="str">
        <x:v>N TOO SMALL</x:v>
      </x:c>
      <x:c r="S575" s="48" t="str"/>
      <x:c r="T575" s="48" t="str">
        <x:v>IC_FINAL_OR_DE_FACTO:N=23,p=0.652</x:v>
      </x:c>
      <x:c r="U575" s="48" t="str">
        <x:v>Fewer than two driver groups have at least 5 observable manager families.</x:v>
      </x:c>
      <x:c r="V575" s="48" t="str">
        <x:v>At least 5 observable manager families in at least 2 driver groups</x:v>
      </x:c>
      <x:c r="W575" s="48" t="str">
        <x:v>&gt;=0.35 separates; &lt;=0.15 does not separate; intermediate is inconclusive/confounded; direct driver-definition tests are CIRCULAR</x:v>
      </x:c>
      <x:c r="X575" s="48" t="str">
        <x:v>MANAGER_SELF_DESCRIPTION; NOT BEHAVIOURAL FREQUENCY</x:v>
      </x:c>
    </x:row>
    <x:row r="576">
      <x:c r="A576" s="48" t="str">
        <x:v>B_GOVERNANCE_SEGMENTATION</x:v>
      </x:c>
      <x:c r="B576" s="48" t="str">
        <x:v>Tier B v1.1 - N=29 rerun</x:v>
      </x:c>
      <x:c r="C576" s="48" t="str">
        <x:v>2026-07-16</x:v>
      </x:c>
      <x:c r="D576" s="48" t="str">
        <x:v>U06</x:v>
      </x:c>
      <x:c r="E576" s="48" t="str">
        <x:v>UNDERWRITING_DOCUMENTS</x:v>
      </x:c>
      <x:c r="F576" s="48" t="str">
        <x:v>Three or more named memorandum stages</x:v>
      </x:c>
      <x:c r="G576" s="48" t="str">
        <x:v>dedicated_operating_team</x:v>
      </x:c>
      <x:c r="H576" s="48" t="str">
        <x:v>NO_OR_LIMITED</x:v>
      </x:c>
      <x:c r="I576" s="48" t="str">
        <x:v>6</x:v>
      </x:c>
      <x:c r="J576" s="48" t="str">
        <x:v>4</x:v>
      </x:c>
      <x:c r="K576" s="48" t="str">
        <x:v>0</x:v>
      </x:c>
      <x:c r="L576" s="48" t="str">
        <x:v>2</x:v>
      </x:c>
      <x:c r="M576" s="48" t="str">
        <x:v>6</x:v>
      </x:c>
      <x:c r="N576" s="48" t="str">
        <x:v>0</x:v>
      </x:c>
      <x:c r="O576" s="48" t="str">
        <x:v>0</x:v>
      </x:c>
      <x:c r="P576" s="48" t="str">
        <x:v>0</x:v>
      </x:c>
      <x:c r="Q576" s="48" t="str">
        <x:v>0.667</x:v>
      </x:c>
      <x:c r="R576" s="48" t="str">
        <x:v>DRIVER DOES NOT SEPARATE</x:v>
      </x:c>
      <x:c r="S576" s="48" t="str">
        <x:v>0.033</x:v>
      </x:c>
      <x:c r="T576" s="48" t="str">
        <x:v>NO_OR_LIMITED:N=6,p=0.667; YES_DEDICATED:N=20,p=0.700</x:v>
      </x:c>
      <x:c r="U576" s="48" t="str">
        <x:v>Maximum-minus-minimum prevalence among adequately observed groups is no more than 0.15.</x:v>
      </x:c>
      <x:c r="V576" s="48" t="str">
        <x:v>At least 5 observable manager families in at least 2 driver groups</x:v>
      </x:c>
      <x:c r="W576" s="48" t="str">
        <x:v>&gt;=0.35 separates; &lt;=0.15 does not separate; intermediate is inconclusive/confounded; direct driver-definition tests are CIRCULAR</x:v>
      </x:c>
      <x:c r="X576" s="48" t="str">
        <x:v>MANAGER_SELF_DESCRIPTION; NOT BEHAVIOURAL FREQUENCY</x:v>
      </x:c>
    </x:row>
    <x:row r="577">
      <x:c r="A577" s="48" t="str">
        <x:v>B_GOVERNANCE_SEGMENTATION</x:v>
      </x:c>
      <x:c r="B577" s="48" t="str">
        <x:v>Tier B v1.1 - N=29 rerun</x:v>
      </x:c>
      <x:c r="C577" s="48" t="str">
        <x:v>2026-07-16</x:v>
      </x:c>
      <x:c r="D577" s="48" t="str">
        <x:v>U06</x:v>
      </x:c>
      <x:c r="E577" s="48" t="str">
        <x:v>UNDERWRITING_DOCUMENTS</x:v>
      </x:c>
      <x:c r="F577" s="48" t="str">
        <x:v>Three or more named memorandum stages</x:v>
      </x:c>
      <x:c r="G577" s="48" t="str">
        <x:v>dedicated_operating_team</x:v>
      </x:c>
      <x:c r="H577" s="48" t="str">
        <x:v>YES_DEDICATED</x:v>
      </x:c>
      <x:c r="I577" s="48" t="str">
        <x:v>23</x:v>
      </x:c>
      <x:c r="J577" s="48" t="str">
        <x:v>14</x:v>
      </x:c>
      <x:c r="K577" s="48" t="str">
        <x:v>0</x:v>
      </x:c>
      <x:c r="L577" s="48" t="str">
        <x:v>6</x:v>
      </x:c>
      <x:c r="M577" s="48" t="str">
        <x:v>20</x:v>
      </x:c>
      <x:c r="N577" s="48" t="str">
        <x:v>3</x:v>
      </x:c>
      <x:c r="O577" s="48" t="str">
        <x:v>0</x:v>
      </x:c>
      <x:c r="P577" s="48" t="str">
        <x:v>0</x:v>
      </x:c>
      <x:c r="Q577" s="48" t="str">
        <x:v>0.700</x:v>
      </x:c>
      <x:c r="R577" s="48" t="str">
        <x:v>DRIVER DOES NOT SEPARATE</x:v>
      </x:c>
      <x:c r="S577" s="48" t="str">
        <x:v>0.033</x:v>
      </x:c>
      <x:c r="T577" s="48" t="str">
        <x:v>NO_OR_LIMITED:N=6,p=0.667; YES_DEDICATED:N=20,p=0.700</x:v>
      </x:c>
      <x:c r="U577" s="48" t="str">
        <x:v>Maximum-minus-minimum prevalence among adequately observed groups is no more than 0.15.</x:v>
      </x:c>
      <x:c r="V577" s="48" t="str">
        <x:v>At least 5 observable manager families in at least 2 driver groups</x:v>
      </x:c>
      <x:c r="W577" s="48" t="str">
        <x:v>&gt;=0.35 separates; &lt;=0.15 does not separate; intermediate is inconclusive/confounded; direct driver-definition tests are CIRCULAR</x:v>
      </x:c>
      <x:c r="X577" s="48" t="str">
        <x:v>MANAGER_SELF_DESCRIPTION; NOT BEHAVIOURAL FREQUENCY</x:v>
      </x:c>
    </x:row>
    <x:row r="578">
      <x:c r="A578" s="48" t="str">
        <x:v>B_GOVERNANCE_SEGMENTATION</x:v>
      </x:c>
      <x:c r="B578" s="48" t="str">
        <x:v>Tier B v1.1 - N=29 rerun</x:v>
      </x:c>
      <x:c r="C578" s="48" t="str">
        <x:v>2026-07-16</x:v>
      </x:c>
      <x:c r="D578" s="48" t="str">
        <x:v>U07</x:v>
      </x:c>
      <x:c r="E578" s="48" t="str">
        <x:v>UNDERWRITING_DOCUMENTS</x:v>
      </x:c>
      <x:c r="F578" s="48" t="str">
        <x:v>Pre-close quantified VCP in approval case</x:v>
      </x:c>
      <x:c r="G578" s="48" t="str">
        <x:v>fund_size_archetype</x:v>
      </x:c>
      <x:c r="H578" s="48" t="str">
        <x:v>LARGE_2_TO_LT_5B</x:v>
      </x:c>
      <x:c r="I578" s="48" t="str">
        <x:v>9</x:v>
      </x:c>
      <x:c r="J578" s="48" t="str">
        <x:v>9</x:v>
      </x:c>
      <x:c r="K578" s="48" t="str">
        <x:v>0</x:v>
      </x:c>
      <x:c r="L578" s="48" t="str">
        <x:v>0</x:v>
      </x:c>
      <x:c r="M578" s="48" t="str">
        <x:v>9</x:v>
      </x:c>
      <x:c r="N578" s="48" t="str">
        <x:v>0</x:v>
      </x:c>
      <x:c r="O578" s="48" t="str">
        <x:v>0</x:v>
      </x:c>
      <x:c r="P578" s="48" t="str">
        <x:v>0</x:v>
      </x:c>
      <x:c r="Q578" s="48" t="str">
        <x:v>1.000</x:v>
      </x:c>
      <x:c r="R578" s="48" t="str">
        <x:v>DRIVER DOES NOT SEPARATE</x:v>
      </x:c>
      <x:c r="S578" s="48" t="str">
        <x:v>0.000</x:v>
      </x:c>
      <x:c r="T578" s="48" t="str">
        <x:v>LARGE_2_TO_LT_5B:N=9,p=1.000; LOWER_MID_LT_2B:N=8,p=1.000; MEGA_GE_5B:N=11,p=1.000</x:v>
      </x:c>
      <x:c r="U578" s="48" t="str">
        <x:v>Maximum-minus-minimum prevalence among adequately observed groups is no more than 0.15.</x:v>
      </x:c>
      <x:c r="V578" s="48" t="str">
        <x:v>At least 5 observable manager families in at least 2 driver groups</x:v>
      </x:c>
      <x:c r="W578" s="48" t="str">
        <x:v>&gt;=0.35 separates; &lt;=0.15 does not separate; intermediate is inconclusive/confounded; direct driver-definition tests are CIRCULAR</x:v>
      </x:c>
      <x:c r="X578" s="48" t="str">
        <x:v>MANAGER_SELF_DESCRIPTION; NOT BEHAVIOURAL FREQUENCY</x:v>
      </x:c>
    </x:row>
    <x:row r="579">
      <x:c r="A579" s="48" t="str">
        <x:v>B_GOVERNANCE_SEGMENTATION</x:v>
      </x:c>
      <x:c r="B579" s="48" t="str">
        <x:v>Tier B v1.1 - N=29 rerun</x:v>
      </x:c>
      <x:c r="C579" s="48" t="str">
        <x:v>2026-07-16</x:v>
      </x:c>
      <x:c r="D579" s="48" t="str">
        <x:v>U07</x:v>
      </x:c>
      <x:c r="E579" s="48" t="str">
        <x:v>UNDERWRITING_DOCUMENTS</x:v>
      </x:c>
      <x:c r="F579" s="48" t="str">
        <x:v>Pre-close quantified VCP in approval case</x:v>
      </x:c>
      <x:c r="G579" s="48" t="str">
        <x:v>fund_size_archetype</x:v>
      </x:c>
      <x:c r="H579" s="48" t="str">
        <x:v>LOWER_MID_LT_2B</x:v>
      </x:c>
      <x:c r="I579" s="48" t="str">
        <x:v>8</x:v>
      </x:c>
      <x:c r="J579" s="48" t="str">
        <x:v>8</x:v>
      </x:c>
      <x:c r="K579" s="48" t="str">
        <x:v>1</x:v>
      </x:c>
      <x:c r="L579" s="48" t="str">
        <x:v>0</x:v>
      </x:c>
      <x:c r="M579" s="48" t="str">
        <x:v>8</x:v>
      </x:c>
      <x:c r="N579" s="48" t="str">
        <x:v>0</x:v>
      </x:c>
      <x:c r="O579" s="48" t="str">
        <x:v>0</x:v>
      </x:c>
      <x:c r="P579" s="48" t="str">
        <x:v>0</x:v>
      </x:c>
      <x:c r="Q579" s="48" t="str">
        <x:v>1.000</x:v>
      </x:c>
      <x:c r="R579" s="48" t="str">
        <x:v>DRIVER DOES NOT SEPARATE</x:v>
      </x:c>
      <x:c r="S579" s="48" t="str">
        <x:v>0.000</x:v>
      </x:c>
      <x:c r="T579" s="48" t="str">
        <x:v>LARGE_2_TO_LT_5B:N=9,p=1.000; LOWER_MID_LT_2B:N=8,p=1.000; MEGA_GE_5B:N=11,p=1.000</x:v>
      </x:c>
      <x:c r="U579" s="48" t="str">
        <x:v>Maximum-minus-minimum prevalence among adequately observed groups is no more than 0.15.</x:v>
      </x:c>
      <x:c r="V579" s="48" t="str">
        <x:v>At least 5 observable manager families in at least 2 driver groups</x:v>
      </x:c>
      <x:c r="W579" s="48" t="str">
        <x:v>&gt;=0.35 separates; &lt;=0.15 does not separate; intermediate is inconclusive/confounded; direct driver-definition tests are CIRCULAR</x:v>
      </x:c>
      <x:c r="X579" s="48" t="str">
        <x:v>MANAGER_SELF_DESCRIPTION; NOT BEHAVIOURAL FREQUENCY</x:v>
      </x:c>
    </x:row>
    <x:row r="580">
      <x:c r="A580" s="48" t="str">
        <x:v>B_GOVERNANCE_SEGMENTATION</x:v>
      </x:c>
      <x:c r="B580" s="48" t="str">
        <x:v>Tier B v1.1 - N=29 rerun</x:v>
      </x:c>
      <x:c r="C580" s="48" t="str">
        <x:v>2026-07-16</x:v>
      </x:c>
      <x:c r="D580" s="48" t="str">
        <x:v>U07</x:v>
      </x:c>
      <x:c r="E580" s="48" t="str">
        <x:v>UNDERWRITING_DOCUMENTS</x:v>
      </x:c>
      <x:c r="F580" s="48" t="str">
        <x:v>Pre-close quantified VCP in approval case</x:v>
      </x:c>
      <x:c r="G580" s="48" t="str">
        <x:v>fund_size_archetype</x:v>
      </x:c>
      <x:c r="H580" s="48" t="str">
        <x:v>MEGA_GE_5B</x:v>
      </x:c>
      <x:c r="I580" s="48" t="str">
        <x:v>11</x:v>
      </x:c>
      <x:c r="J580" s="48" t="str">
        <x:v>11</x:v>
      </x:c>
      <x:c r="K580" s="48" t="str">
        <x:v>0</x:v>
      </x:c>
      <x:c r="L580" s="48" t="str">
        <x:v>0</x:v>
      </x:c>
      <x:c r="M580" s="48" t="str">
        <x:v>11</x:v>
      </x:c>
      <x:c r="N580" s="48" t="str">
        <x:v>0</x:v>
      </x:c>
      <x:c r="O580" s="48" t="str">
        <x:v>0</x:v>
      </x:c>
      <x:c r="P580" s="48" t="str">
        <x:v>0</x:v>
      </x:c>
      <x:c r="Q580" s="48" t="str">
        <x:v>1.000</x:v>
      </x:c>
      <x:c r="R580" s="48" t="str">
        <x:v>DRIVER DOES NOT SEPARATE</x:v>
      </x:c>
      <x:c r="S580" s="48" t="str">
        <x:v>0.000</x:v>
      </x:c>
      <x:c r="T580" s="48" t="str">
        <x:v>LARGE_2_TO_LT_5B:N=9,p=1.000; LOWER_MID_LT_2B:N=8,p=1.000; MEGA_GE_5B:N=11,p=1.000</x:v>
      </x:c>
      <x:c r="U580" s="48" t="str">
        <x:v>Maximum-minus-minimum prevalence among adequately observed groups is no more than 0.15.</x:v>
      </x:c>
      <x:c r="V580" s="48" t="str">
        <x:v>At least 5 observable manager families in at least 2 driver groups</x:v>
      </x:c>
      <x:c r="W580" s="48" t="str">
        <x:v>&gt;=0.35 separates; &lt;=0.15 does not separate; intermediate is inconclusive/confounded; direct driver-definition tests are CIRCULAR</x:v>
      </x:c>
      <x:c r="X580" s="48" t="str">
        <x:v>MANAGER_SELF_DESCRIPTION; NOT BEHAVIOURAL FREQUENCY</x:v>
      </x:c>
    </x:row>
    <x:row r="581">
      <x:c r="A581" s="48" t="str">
        <x:v>B_GOVERNANCE_SEGMENTATION</x:v>
      </x:c>
      <x:c r="B581" s="48" t="str">
        <x:v>Tier B v1.1 - N=29 rerun</x:v>
      </x:c>
      <x:c r="C581" s="48" t="str">
        <x:v>2026-07-16</x:v>
      </x:c>
      <x:c r="D581" s="48" t="str">
        <x:v>U07</x:v>
      </x:c>
      <x:c r="E581" s="48" t="str">
        <x:v>UNDERWRITING_DOCUMENTS</x:v>
      </x:c>
      <x:c r="F581" s="48" t="str">
        <x:v>Pre-close quantified VCP in approval case</x:v>
      </x:c>
      <x:c r="G581" s="48" t="str">
        <x:v>fund_size_archetype</x:v>
      </x:c>
      <x:c r="H581" s="48" t="str">
        <x:v>NOT_APPLICABLE</x:v>
      </x:c>
      <x:c r="I581" s="48" t="str">
        <x:v>1</x:v>
      </x:c>
      <x:c r="J581" s="48" t="str">
        <x:v>1</x:v>
      </x:c>
      <x:c r="K581" s="48" t="str">
        <x:v>0</x:v>
      </x:c>
      <x:c r="L581" s="48" t="str">
        <x:v>0</x:v>
      </x:c>
      <x:c r="M581" s="48" t="str">
        <x:v>1</x:v>
      </x:c>
      <x:c r="N581" s="48" t="str">
        <x:v>0</x:v>
      </x:c>
      <x:c r="O581" s="48" t="str">
        <x:v>0</x:v>
      </x:c>
      <x:c r="P581" s="48" t="str">
        <x:v>0</x:v>
      </x:c>
      <x:c r="Q581" s="48" t="str">
        <x:v>1.000</x:v>
      </x:c>
      <x:c r="R581" s="48" t="str">
        <x:v>DRIVER DOES NOT SEPARATE</x:v>
      </x:c>
      <x:c r="S581" s="48" t="str">
        <x:v>0.000</x:v>
      </x:c>
      <x:c r="T581" s="48" t="str">
        <x:v>LARGE_2_TO_LT_5B:N=9,p=1.000; LOWER_MID_LT_2B:N=8,p=1.000; MEGA_GE_5B:N=11,p=1.000</x:v>
      </x:c>
      <x:c r="U581" s="48" t="str">
        <x:v>Maximum-minus-minimum prevalence among adequately observed groups is no more than 0.15.</x:v>
      </x:c>
      <x:c r="V581" s="48" t="str">
        <x:v>At least 5 observable manager families in at least 2 driver groups</x:v>
      </x:c>
      <x:c r="W581" s="48" t="str">
        <x:v>&gt;=0.35 separates; &lt;=0.15 does not separate; intermediate is inconclusive/confounded; direct driver-definition tests are CIRCULAR</x:v>
      </x:c>
      <x:c r="X581" s="48" t="str">
        <x:v>MANAGER_SELF_DESCRIPTION; NOT BEHAVIOURAL FREQUENCY</x:v>
      </x:c>
    </x:row>
    <x:row r="582">
      <x:c r="A582" s="48" t="str">
        <x:v>B_GOVERNANCE_SEGMENTATION</x:v>
      </x:c>
      <x:c r="B582" s="48" t="str">
        <x:v>Tier B v1.1 - N=29 rerun</x:v>
      </x:c>
      <x:c r="C582" s="48" t="str">
        <x:v>2026-07-16</x:v>
      </x:c>
      <x:c r="D582" s="48" t="str">
        <x:v>U07</x:v>
      </x:c>
      <x:c r="E582" s="48" t="str">
        <x:v>UNDERWRITING_DOCUMENTS</x:v>
      </x:c>
      <x:c r="F582" s="48" t="str">
        <x:v>Pre-close quantified VCP in approval case</x:v>
      </x:c>
      <x:c r="G582" s="48" t="str">
        <x:v>strategy</x:v>
      </x:c>
      <x:c r="H582" s="48" t="str">
        <x:v>CONTROL_BUYOUT</x:v>
      </x:c>
      <x:c r="I582" s="48" t="str">
        <x:v>22</x:v>
      </x:c>
      <x:c r="J582" s="48" t="str">
        <x:v>22</x:v>
      </x:c>
      <x:c r="K582" s="48" t="str">
        <x:v>0</x:v>
      </x:c>
      <x:c r="L582" s="48" t="str">
        <x:v>0</x:v>
      </x:c>
      <x:c r="M582" s="48" t="str">
        <x:v>22</x:v>
      </x:c>
      <x:c r="N582" s="48" t="str">
        <x:v>0</x:v>
      </x:c>
      <x:c r="O582" s="48" t="str">
        <x:v>0</x:v>
      </x:c>
      <x:c r="P582" s="48" t="str">
        <x:v>0</x:v>
      </x:c>
      <x:c r="Q582" s="48" t="str">
        <x:v>1.000</x:v>
      </x:c>
      <x:c r="R582" s="48" t="str">
        <x:v>DRIVER DOES NOT SEPARATE</x:v>
      </x:c>
      <x:c r="S582" s="48" t="str">
        <x:v>0.000</x:v>
      </x:c>
      <x:c r="T582" s="48" t="str">
        <x:v>CONTROL_BUYOUT:N=22,p=1.000; GROWTH_CONTROL_HYBRID:N=6,p=1.000</x:v>
      </x:c>
      <x:c r="U582" s="48" t="str">
        <x:v>Maximum-minus-minimum prevalence among adequately observed groups is no more than 0.15.</x:v>
      </x:c>
      <x:c r="V582" s="48" t="str">
        <x:v>At least 5 observable manager families in at least 2 driver groups</x:v>
      </x:c>
      <x:c r="W582" s="48" t="str">
        <x:v>&gt;=0.35 separates; &lt;=0.15 does not separate; intermediate is inconclusive/confounded; direct driver-definition tests are CIRCULAR</x:v>
      </x:c>
      <x:c r="X582" s="48" t="str">
        <x:v>MANAGER_SELF_DESCRIPTION; NOT BEHAVIOURAL FREQUENCY</x:v>
      </x:c>
    </x:row>
    <x:row r="583">
      <x:c r="A583" s="48" t="str">
        <x:v>B_GOVERNANCE_SEGMENTATION</x:v>
      </x:c>
      <x:c r="B583" s="48" t="str">
        <x:v>Tier B v1.1 - N=29 rerun</x:v>
      </x:c>
      <x:c r="C583" s="48" t="str">
        <x:v>2026-07-16</x:v>
      </x:c>
      <x:c r="D583" s="48" t="str">
        <x:v>U07</x:v>
      </x:c>
      <x:c r="E583" s="48" t="str">
        <x:v>UNDERWRITING_DOCUMENTS</x:v>
      </x:c>
      <x:c r="F583" s="48" t="str">
        <x:v>Pre-close quantified VCP in approval case</x:v>
      </x:c>
      <x:c r="G583" s="48" t="str">
        <x:v>strategy</x:v>
      </x:c>
      <x:c r="H583" s="48" t="str">
        <x:v>GROWTH_CONTROL_HYBRID</x:v>
      </x:c>
      <x:c r="I583" s="48" t="str">
        <x:v>6</x:v>
      </x:c>
      <x:c r="J583" s="48" t="str">
        <x:v>6</x:v>
      </x:c>
      <x:c r="K583" s="48" t="str">
        <x:v>1</x:v>
      </x:c>
      <x:c r="L583" s="48" t="str">
        <x:v>0</x:v>
      </x:c>
      <x:c r="M583" s="48" t="str">
        <x:v>6</x:v>
      </x:c>
      <x:c r="N583" s="48" t="str">
        <x:v>0</x:v>
      </x:c>
      <x:c r="O583" s="48" t="str">
        <x:v>0</x:v>
      </x:c>
      <x:c r="P583" s="48" t="str">
        <x:v>0</x:v>
      </x:c>
      <x:c r="Q583" s="48" t="str">
        <x:v>1.000</x:v>
      </x:c>
      <x:c r="R583" s="48" t="str">
        <x:v>DRIVER DOES NOT SEPARATE</x:v>
      </x:c>
      <x:c r="S583" s="48" t="str">
        <x:v>0.000</x:v>
      </x:c>
      <x:c r="T583" s="48" t="str">
        <x:v>CONTROL_BUYOUT:N=22,p=1.000; GROWTH_CONTROL_HYBRID:N=6,p=1.000</x:v>
      </x:c>
      <x:c r="U583" s="48" t="str">
        <x:v>Maximum-minus-minimum prevalence among adequately observed groups is no more than 0.15.</x:v>
      </x:c>
      <x:c r="V583" s="48" t="str">
        <x:v>At least 5 observable manager families in at least 2 driver groups</x:v>
      </x:c>
      <x:c r="W583" s="48" t="str">
        <x:v>&gt;=0.35 separates; &lt;=0.15 does not separate; intermediate is inconclusive/confounded; direct driver-definition tests are CIRCULAR</x:v>
      </x:c>
      <x:c r="X583" s="48" t="str">
        <x:v>MANAGER_SELF_DESCRIPTION; NOT BEHAVIOURAL FREQUENCY</x:v>
      </x:c>
    </x:row>
    <x:row r="584">
      <x:c r="A584" s="48" t="str">
        <x:v>B_GOVERNANCE_SEGMENTATION</x:v>
      </x:c>
      <x:c r="B584" s="48" t="str">
        <x:v>Tier B v1.1 - N=29 rerun</x:v>
      </x:c>
      <x:c r="C584" s="48" t="str">
        <x:v>2026-07-16</x:v>
      </x:c>
      <x:c r="D584" s="48" t="str">
        <x:v>U07</x:v>
      </x:c>
      <x:c r="E584" s="48" t="str">
        <x:v>UNDERWRITING_DOCUMENTS</x:v>
      </x:c>
      <x:c r="F584" s="48" t="str">
        <x:v>Pre-close quantified VCP in approval case</x:v>
      </x:c>
      <x:c r="G584" s="48" t="str">
        <x:v>strategy</x:v>
      </x:c>
      <x:c r="H584" s="48" t="str">
        <x:v>OPPORTUNISTIC_CONTROL</x:v>
      </x:c>
      <x:c r="I584" s="48" t="str">
        <x:v>1</x:v>
      </x:c>
      <x:c r="J584" s="48" t="str">
        <x:v>1</x:v>
      </x:c>
      <x:c r="K584" s="48" t="str">
        <x:v>0</x:v>
      </x:c>
      <x:c r="L584" s="48" t="str">
        <x:v>0</x:v>
      </x:c>
      <x:c r="M584" s="48" t="str">
        <x:v>1</x:v>
      </x:c>
      <x:c r="N584" s="48" t="str">
        <x:v>0</x:v>
      </x:c>
      <x:c r="O584" s="48" t="str">
        <x:v>0</x:v>
      </x:c>
      <x:c r="P584" s="48" t="str">
        <x:v>0</x:v>
      </x:c>
      <x:c r="Q584" s="48" t="str">
        <x:v>1.000</x:v>
      </x:c>
      <x:c r="R584" s="48" t="str">
        <x:v>DRIVER DOES NOT SEPARATE</x:v>
      </x:c>
      <x:c r="S584" s="48" t="str">
        <x:v>0.000</x:v>
      </x:c>
      <x:c r="T584" s="48" t="str">
        <x:v>CONTROL_BUYOUT:N=22,p=1.000; GROWTH_CONTROL_HYBRID:N=6,p=1.000</x:v>
      </x:c>
      <x:c r="U584" s="48" t="str">
        <x:v>Maximum-minus-minimum prevalence among adequately observed groups is no more than 0.15.</x:v>
      </x:c>
      <x:c r="V584" s="48" t="str">
        <x:v>At least 5 observable manager families in at least 2 driver groups</x:v>
      </x:c>
      <x:c r="W584" s="48" t="str">
        <x:v>&gt;=0.35 separates; &lt;=0.15 does not separate; intermediate is inconclusive/confounded; direct driver-definition tests are CIRCULAR</x:v>
      </x:c>
      <x:c r="X584" s="48" t="str">
        <x:v>MANAGER_SELF_DESCRIPTION; NOT BEHAVIOURAL FREQUENCY</x:v>
      </x:c>
    </x:row>
    <x:row r="585">
      <x:c r="A585" s="48" t="str">
        <x:v>B_GOVERNANCE_SEGMENTATION</x:v>
      </x:c>
      <x:c r="B585" s="48" t="str">
        <x:v>Tier B v1.1 - N=29 rerun</x:v>
      </x:c>
      <x:c r="C585" s="48" t="str">
        <x:v>2026-07-16</x:v>
      </x:c>
      <x:c r="D585" s="48" t="str">
        <x:v>U07</x:v>
      </x:c>
      <x:c r="E585" s="48" t="str">
        <x:v>UNDERWRITING_DOCUMENTS</x:v>
      </x:c>
      <x:c r="F585" s="48" t="str">
        <x:v>Pre-close quantified VCP in approval case</x:v>
      </x:c>
      <x:c r="G585" s="48" t="str">
        <x:v>geography</x:v>
      </x:c>
      <x:c r="H585" s="48" t="str">
        <x:v>ASIA_PACIFIC</x:v>
      </x:c>
      <x:c r="I585" s="48" t="str">
        <x:v>4</x:v>
      </x:c>
      <x:c r="J585" s="48" t="str">
        <x:v>4</x:v>
      </x:c>
      <x:c r="K585" s="48" t="str">
        <x:v>0</x:v>
      </x:c>
      <x:c r="L585" s="48" t="str">
        <x:v>0</x:v>
      </x:c>
      <x:c r="M585" s="48" t="str">
        <x:v>4</x:v>
      </x:c>
      <x:c r="N585" s="48" t="str">
        <x:v>0</x:v>
      </x:c>
      <x:c r="O585" s="48" t="str">
        <x:v>0</x:v>
      </x:c>
      <x:c r="P585" s="48" t="str">
        <x:v>0</x:v>
      </x:c>
      <x:c r="Q585" s="48" t="str">
        <x:v>1.000</x:v>
      </x:c>
      <x:c r="R585" s="48" t="str">
        <x:v>DRIVER DOES NOT SEPARATE</x:v>
      </x:c>
      <x:c r="S585" s="48" t="str">
        <x:v>0.000</x:v>
      </x:c>
      <x:c r="T585" s="48" t="str">
        <x:v>GLOBAL_TRANSATLANTIC:N=10,p=1.000; NORTH_AMERICA:N=13,p=1.000</x:v>
      </x:c>
      <x:c r="U585" s="48" t="str">
        <x:v>Maximum-minus-minimum prevalence among adequately observed groups is no more than 0.15.</x:v>
      </x:c>
      <x:c r="V585" s="48" t="str">
        <x:v>At least 5 observable manager families in at least 2 driver groups</x:v>
      </x:c>
      <x:c r="W585" s="48" t="str">
        <x:v>&gt;=0.35 separates; &lt;=0.15 does not separate; intermediate is inconclusive/confounded; direct driver-definition tests are CIRCULAR</x:v>
      </x:c>
      <x:c r="X585" s="48" t="str">
        <x:v>MANAGER_SELF_DESCRIPTION; NOT BEHAVIOURAL FREQUENCY</x:v>
      </x:c>
    </x:row>
    <x:row r="586">
      <x:c r="A586" s="48" t="str">
        <x:v>B_GOVERNANCE_SEGMENTATION</x:v>
      </x:c>
      <x:c r="B586" s="48" t="str">
        <x:v>Tier B v1.1 - N=29 rerun</x:v>
      </x:c>
      <x:c r="C586" s="48" t="str">
        <x:v>2026-07-16</x:v>
      </x:c>
      <x:c r="D586" s="48" t="str">
        <x:v>U07</x:v>
      </x:c>
      <x:c r="E586" s="48" t="str">
        <x:v>UNDERWRITING_DOCUMENTS</x:v>
      </x:c>
      <x:c r="F586" s="48" t="str">
        <x:v>Pre-close quantified VCP in approval case</x:v>
      </x:c>
      <x:c r="G586" s="48" t="str">
        <x:v>geography</x:v>
      </x:c>
      <x:c r="H586" s="48" t="str">
        <x:v>EUROPE</x:v>
      </x:c>
      <x:c r="I586" s="48" t="str">
        <x:v>2</x:v>
      </x:c>
      <x:c r="J586" s="48" t="str">
        <x:v>2</x:v>
      </x:c>
      <x:c r="K586" s="48" t="str">
        <x:v>0</x:v>
      </x:c>
      <x:c r="L586" s="48" t="str">
        <x:v>0</x:v>
      </x:c>
      <x:c r="M586" s="48" t="str">
        <x:v>2</x:v>
      </x:c>
      <x:c r="N586" s="48" t="str">
        <x:v>0</x:v>
      </x:c>
      <x:c r="O586" s="48" t="str">
        <x:v>0</x:v>
      </x:c>
      <x:c r="P586" s="48" t="str">
        <x:v>0</x:v>
      </x:c>
      <x:c r="Q586" s="48" t="str">
        <x:v>1.000</x:v>
      </x:c>
      <x:c r="R586" s="48" t="str">
        <x:v>DRIVER DOES NOT SEPARATE</x:v>
      </x:c>
      <x:c r="S586" s="48" t="str">
        <x:v>0.000</x:v>
      </x:c>
      <x:c r="T586" s="48" t="str">
        <x:v>GLOBAL_TRANSATLANTIC:N=10,p=1.000; NORTH_AMERICA:N=13,p=1.000</x:v>
      </x:c>
      <x:c r="U586" s="48" t="str">
        <x:v>Maximum-minus-minimum prevalence among adequately observed groups is no more than 0.15.</x:v>
      </x:c>
      <x:c r="V586" s="48" t="str">
        <x:v>At least 5 observable manager families in at least 2 driver groups</x:v>
      </x:c>
      <x:c r="W586" s="48" t="str">
        <x:v>&gt;=0.35 separates; &lt;=0.15 does not separate; intermediate is inconclusive/confounded; direct driver-definition tests are CIRCULAR</x:v>
      </x:c>
      <x:c r="X586" s="48" t="str">
        <x:v>MANAGER_SELF_DESCRIPTION; NOT BEHAVIOURAL FREQUENCY</x:v>
      </x:c>
    </x:row>
    <x:row r="587">
      <x:c r="A587" s="48" t="str">
        <x:v>B_GOVERNANCE_SEGMENTATION</x:v>
      </x:c>
      <x:c r="B587" s="48" t="str">
        <x:v>Tier B v1.1 - N=29 rerun</x:v>
      </x:c>
      <x:c r="C587" s="48" t="str">
        <x:v>2026-07-16</x:v>
      </x:c>
      <x:c r="D587" s="48" t="str">
        <x:v>U07</x:v>
      </x:c>
      <x:c r="E587" s="48" t="str">
        <x:v>UNDERWRITING_DOCUMENTS</x:v>
      </x:c>
      <x:c r="F587" s="48" t="str">
        <x:v>Pre-close quantified VCP in approval case</x:v>
      </x:c>
      <x:c r="G587" s="48" t="str">
        <x:v>geography</x:v>
      </x:c>
      <x:c r="H587" s="48" t="str">
        <x:v>GLOBAL_TRANSATLANTIC</x:v>
      </x:c>
      <x:c r="I587" s="48" t="str">
        <x:v>10</x:v>
      </x:c>
      <x:c r="J587" s="48" t="str">
        <x:v>10</x:v>
      </x:c>
      <x:c r="K587" s="48" t="str">
        <x:v>0</x:v>
      </x:c>
      <x:c r="L587" s="48" t="str">
        <x:v>0</x:v>
      </x:c>
      <x:c r="M587" s="48" t="str">
        <x:v>10</x:v>
      </x:c>
      <x:c r="N587" s="48" t="str">
        <x:v>0</x:v>
      </x:c>
      <x:c r="O587" s="48" t="str">
        <x:v>0</x:v>
      </x:c>
      <x:c r="P587" s="48" t="str">
        <x:v>0</x:v>
      </x:c>
      <x:c r="Q587" s="48" t="str">
        <x:v>1.000</x:v>
      </x:c>
      <x:c r="R587" s="48" t="str">
        <x:v>DRIVER DOES NOT SEPARATE</x:v>
      </x:c>
      <x:c r="S587" s="48" t="str">
        <x:v>0.000</x:v>
      </x:c>
      <x:c r="T587" s="48" t="str">
        <x:v>GLOBAL_TRANSATLANTIC:N=10,p=1.000; NORTH_AMERICA:N=13,p=1.000</x:v>
      </x:c>
      <x:c r="U587" s="48" t="str">
        <x:v>Maximum-minus-minimum prevalence among adequately observed groups is no more than 0.15.</x:v>
      </x:c>
      <x:c r="V587" s="48" t="str">
        <x:v>At least 5 observable manager families in at least 2 driver groups</x:v>
      </x:c>
      <x:c r="W587" s="48" t="str">
        <x:v>&gt;=0.35 separates; &lt;=0.15 does not separate; intermediate is inconclusive/confounded; direct driver-definition tests are CIRCULAR</x:v>
      </x:c>
      <x:c r="X587" s="48" t="str">
        <x:v>MANAGER_SELF_DESCRIPTION; NOT BEHAVIOURAL FREQUENCY</x:v>
      </x:c>
    </x:row>
    <x:row r="588">
      <x:c r="A588" s="48" t="str">
        <x:v>B_GOVERNANCE_SEGMENTATION</x:v>
      </x:c>
      <x:c r="B588" s="48" t="str">
        <x:v>Tier B v1.1 - N=29 rerun</x:v>
      </x:c>
      <x:c r="C588" s="48" t="str">
        <x:v>2026-07-16</x:v>
      </x:c>
      <x:c r="D588" s="48" t="str">
        <x:v>U07</x:v>
      </x:c>
      <x:c r="E588" s="48" t="str">
        <x:v>UNDERWRITING_DOCUMENTS</x:v>
      </x:c>
      <x:c r="F588" s="48" t="str">
        <x:v>Pre-close quantified VCP in approval case</x:v>
      </x:c>
      <x:c r="G588" s="48" t="str">
        <x:v>geography</x:v>
      </x:c>
      <x:c r="H588" s="48" t="str">
        <x:v>NORTH_AMERICA</x:v>
      </x:c>
      <x:c r="I588" s="48" t="str">
        <x:v>13</x:v>
      </x:c>
      <x:c r="J588" s="48" t="str">
        <x:v>13</x:v>
      </x:c>
      <x:c r="K588" s="48" t="str">
        <x:v>1</x:v>
      </x:c>
      <x:c r="L588" s="48" t="str">
        <x:v>0</x:v>
      </x:c>
      <x:c r="M588" s="48" t="str">
        <x:v>13</x:v>
      </x:c>
      <x:c r="N588" s="48" t="str">
        <x:v>0</x:v>
      </x:c>
      <x:c r="O588" s="48" t="str">
        <x:v>0</x:v>
      </x:c>
      <x:c r="P588" s="48" t="str">
        <x:v>0</x:v>
      </x:c>
      <x:c r="Q588" s="48" t="str">
        <x:v>1.000</x:v>
      </x:c>
      <x:c r="R588" s="48" t="str">
        <x:v>DRIVER DOES NOT SEPARATE</x:v>
      </x:c>
      <x:c r="S588" s="48" t="str">
        <x:v>0.000</x:v>
      </x:c>
      <x:c r="T588" s="48" t="str">
        <x:v>GLOBAL_TRANSATLANTIC:N=10,p=1.000; NORTH_AMERICA:N=13,p=1.000</x:v>
      </x:c>
      <x:c r="U588" s="48" t="str">
        <x:v>Maximum-minus-minimum prevalence among adequately observed groups is no more than 0.15.</x:v>
      </x:c>
      <x:c r="V588" s="48" t="str">
        <x:v>At least 5 observable manager families in at least 2 driver groups</x:v>
      </x:c>
      <x:c r="W588" s="48" t="str">
        <x:v>&gt;=0.35 separates; &lt;=0.15 does not separate; intermediate is inconclusive/confounded; direct driver-definition tests are CIRCULAR</x:v>
      </x:c>
      <x:c r="X588" s="48" t="str">
        <x:v>MANAGER_SELF_DESCRIPTION; NOT BEHAVIOURAL FREQUENCY</x:v>
      </x:c>
    </x:row>
    <x:row r="589">
      <x:c r="A589" s="48" t="str">
        <x:v>B_GOVERNANCE_SEGMENTATION</x:v>
      </x:c>
      <x:c r="B589" s="48" t="str">
        <x:v>Tier B v1.1 - N=29 rerun</x:v>
      </x:c>
      <x:c r="C589" s="48" t="str">
        <x:v>2026-07-16</x:v>
      </x:c>
      <x:c r="D589" s="48" t="str">
        <x:v>U07</x:v>
      </x:c>
      <x:c r="E589" s="48" t="str">
        <x:v>UNDERWRITING_DOCUMENTS</x:v>
      </x:c>
      <x:c r="F589" s="48" t="str">
        <x:v>Pre-close quantified VCP in approval case</x:v>
      </x:c>
      <x:c r="G589" s="48" t="str">
        <x:v>source_vintage_bin</x:v>
      </x:c>
      <x:c r="H589" s="48" t="str">
        <x:v>2018_2020</x:v>
      </x:c>
      <x:c r="I589" s="48" t="str">
        <x:v>6</x:v>
      </x:c>
      <x:c r="J589" s="48" t="str">
        <x:v>6</x:v>
      </x:c>
      <x:c r="K589" s="48" t="str">
        <x:v>0</x:v>
      </x:c>
      <x:c r="L589" s="48" t="str">
        <x:v>0</x:v>
      </x:c>
      <x:c r="M589" s="48" t="str">
        <x:v>6</x:v>
      </x:c>
      <x:c r="N589" s="48" t="str">
        <x:v>0</x:v>
      </x:c>
      <x:c r="O589" s="48" t="str">
        <x:v>0</x:v>
      </x:c>
      <x:c r="P589" s="48" t="str">
        <x:v>0</x:v>
      </x:c>
      <x:c r="Q589" s="48" t="str">
        <x:v>1.000</x:v>
      </x:c>
      <x:c r="R589" s="48" t="str">
        <x:v>DRIVER DOES NOT SEPARATE</x:v>
      </x:c>
      <x:c r="S589" s="48" t="str">
        <x:v>0.000</x:v>
      </x:c>
      <x:c r="T589" s="48" t="str">
        <x:v>2018_2020:N=6,p=1.000; 2021_2023:N=11,p=1.000; 2024_2026:N=12,p=1.000</x:v>
      </x:c>
      <x:c r="U589" s="48" t="str">
        <x:v>Maximum-minus-minimum prevalence among adequately observed groups is no more than 0.15.</x:v>
      </x:c>
      <x:c r="V589" s="48" t="str">
        <x:v>At least 5 observable manager families in at least 2 driver groups</x:v>
      </x:c>
      <x:c r="W589" s="48" t="str">
        <x:v>&gt;=0.35 separates; &lt;=0.15 does not separate; intermediate is inconclusive/confounded; direct driver-definition tests are CIRCULAR</x:v>
      </x:c>
      <x:c r="X589" s="48" t="str">
        <x:v>MANAGER_SELF_DESCRIPTION; NOT BEHAVIOURAL FREQUENCY</x:v>
      </x:c>
    </x:row>
    <x:row r="590">
      <x:c r="A590" s="48" t="str">
        <x:v>B_GOVERNANCE_SEGMENTATION</x:v>
      </x:c>
      <x:c r="B590" s="48" t="str">
        <x:v>Tier B v1.1 - N=29 rerun</x:v>
      </x:c>
      <x:c r="C590" s="48" t="str">
        <x:v>2026-07-16</x:v>
      </x:c>
      <x:c r="D590" s="48" t="str">
        <x:v>U07</x:v>
      </x:c>
      <x:c r="E590" s="48" t="str">
        <x:v>UNDERWRITING_DOCUMENTS</x:v>
      </x:c>
      <x:c r="F590" s="48" t="str">
        <x:v>Pre-close quantified VCP in approval case</x:v>
      </x:c>
      <x:c r="G590" s="48" t="str">
        <x:v>source_vintage_bin</x:v>
      </x:c>
      <x:c r="H590" s="48" t="str">
        <x:v>2021_2023</x:v>
      </x:c>
      <x:c r="I590" s="48" t="str">
        <x:v>11</x:v>
      </x:c>
      <x:c r="J590" s="48" t="str">
        <x:v>11</x:v>
      </x:c>
      <x:c r="K590" s="48" t="str">
        <x:v>0</x:v>
      </x:c>
      <x:c r="L590" s="48" t="str">
        <x:v>0</x:v>
      </x:c>
      <x:c r="M590" s="48" t="str">
        <x:v>11</x:v>
      </x:c>
      <x:c r="N590" s="48" t="str">
        <x:v>0</x:v>
      </x:c>
      <x:c r="O590" s="48" t="str">
        <x:v>0</x:v>
      </x:c>
      <x:c r="P590" s="48" t="str">
        <x:v>0</x:v>
      </x:c>
      <x:c r="Q590" s="48" t="str">
        <x:v>1.000</x:v>
      </x:c>
      <x:c r="R590" s="48" t="str">
        <x:v>DRIVER DOES NOT SEPARATE</x:v>
      </x:c>
      <x:c r="S590" s="48" t="str">
        <x:v>0.000</x:v>
      </x:c>
      <x:c r="T590" s="48" t="str">
        <x:v>2018_2020:N=6,p=1.000; 2021_2023:N=11,p=1.000; 2024_2026:N=12,p=1.000</x:v>
      </x:c>
      <x:c r="U590" s="48" t="str">
        <x:v>Maximum-minus-minimum prevalence among adequately observed groups is no more than 0.15.</x:v>
      </x:c>
      <x:c r="V590" s="48" t="str">
        <x:v>At least 5 observable manager families in at least 2 driver groups</x:v>
      </x:c>
      <x:c r="W590" s="48" t="str">
        <x:v>&gt;=0.35 separates; &lt;=0.15 does not separate; intermediate is inconclusive/confounded; direct driver-definition tests are CIRCULAR</x:v>
      </x:c>
      <x:c r="X590" s="48" t="str">
        <x:v>MANAGER_SELF_DESCRIPTION; NOT BEHAVIOURAL FREQUENCY</x:v>
      </x:c>
    </x:row>
    <x:row r="591">
      <x:c r="A591" s="48" t="str">
        <x:v>B_GOVERNANCE_SEGMENTATION</x:v>
      </x:c>
      <x:c r="B591" s="48" t="str">
        <x:v>Tier B v1.1 - N=29 rerun</x:v>
      </x:c>
      <x:c r="C591" s="48" t="str">
        <x:v>2026-07-16</x:v>
      </x:c>
      <x:c r="D591" s="48" t="str">
        <x:v>U07</x:v>
      </x:c>
      <x:c r="E591" s="48" t="str">
        <x:v>UNDERWRITING_DOCUMENTS</x:v>
      </x:c>
      <x:c r="F591" s="48" t="str">
        <x:v>Pre-close quantified VCP in approval case</x:v>
      </x:c>
      <x:c r="G591" s="48" t="str">
        <x:v>source_vintage_bin</x:v>
      </x:c>
      <x:c r="H591" s="48" t="str">
        <x:v>2024_2026</x:v>
      </x:c>
      <x:c r="I591" s="48" t="str">
        <x:v>12</x:v>
      </x:c>
      <x:c r="J591" s="48" t="str">
        <x:v>12</x:v>
      </x:c>
      <x:c r="K591" s="48" t="str">
        <x:v>1</x:v>
      </x:c>
      <x:c r="L591" s="48" t="str">
        <x:v>0</x:v>
      </x:c>
      <x:c r="M591" s="48" t="str">
        <x:v>12</x:v>
      </x:c>
      <x:c r="N591" s="48" t="str">
        <x:v>0</x:v>
      </x:c>
      <x:c r="O591" s="48" t="str">
        <x:v>0</x:v>
      </x:c>
      <x:c r="P591" s="48" t="str">
        <x:v>0</x:v>
      </x:c>
      <x:c r="Q591" s="48" t="str">
        <x:v>1.000</x:v>
      </x:c>
      <x:c r="R591" s="48" t="str">
        <x:v>DRIVER DOES NOT SEPARATE</x:v>
      </x:c>
      <x:c r="S591" s="48" t="str">
        <x:v>0.000</x:v>
      </x:c>
      <x:c r="T591" s="48" t="str">
        <x:v>2018_2020:N=6,p=1.000; 2021_2023:N=11,p=1.000; 2024_2026:N=12,p=1.000</x:v>
      </x:c>
      <x:c r="U591" s="48" t="str">
        <x:v>Maximum-minus-minimum prevalence among adequately observed groups is no more than 0.15.</x:v>
      </x:c>
      <x:c r="V591" s="48" t="str">
        <x:v>At least 5 observable manager families in at least 2 driver groups</x:v>
      </x:c>
      <x:c r="W591" s="48" t="str">
        <x:v>&gt;=0.35 separates; &lt;=0.15 does not separate; intermediate is inconclusive/confounded; direct driver-definition tests are CIRCULAR</x:v>
      </x:c>
      <x:c r="X591" s="48" t="str">
        <x:v>MANAGER_SELF_DESCRIPTION; NOT BEHAVIOURAL FREQUENCY</x:v>
      </x:c>
    </x:row>
    <x:row r="592">
      <x:c r="A592" s="48" t="str">
        <x:v>B_GOVERNANCE_SEGMENTATION</x:v>
      </x:c>
      <x:c r="B592" s="48" t="str">
        <x:v>Tier B v1.1 - N=29 rerun</x:v>
      </x:c>
      <x:c r="C592" s="48" t="str">
        <x:v>2026-07-16</x:v>
      </x:c>
      <x:c r="D592" s="48" t="str">
        <x:v>U07</x:v>
      </x:c>
      <x:c r="E592" s="48" t="str">
        <x:v>UNDERWRITING_DOCUMENTS</x:v>
      </x:c>
      <x:c r="F592" s="48" t="str">
        <x:v>Pre-close quantified VCP in approval case</x:v>
      </x:c>
      <x:c r="G592" s="48" t="str">
        <x:v>governance_architecture</x:v>
      </x:c>
      <x:c r="H592" s="48" t="str">
        <x:v>IC_FINAL_OR_DE_FACTO</x:v>
      </x:c>
      <x:c r="I592" s="48" t="str">
        <x:v>26</x:v>
      </x:c>
      <x:c r="J592" s="48" t="str">
        <x:v>26</x:v>
      </x:c>
      <x:c r="K592" s="48" t="str">
        <x:v>1</x:v>
      </x:c>
      <x:c r="L592" s="48" t="str">
        <x:v>0</x:v>
      </x:c>
      <x:c r="M592" s="48" t="str">
        <x:v>26</x:v>
      </x:c>
      <x:c r="N592" s="48" t="str">
        <x:v>0</x:v>
      </x:c>
      <x:c r="O592" s="48" t="str">
        <x:v>0</x:v>
      </x:c>
      <x:c r="P592" s="48" t="str">
        <x:v>0</x:v>
      </x:c>
      <x:c r="Q592" s="48" t="str">
        <x:v>1.000</x:v>
      </x:c>
      <x:c r="R592" s="48" t="str">
        <x:v>N TOO SMALL</x:v>
      </x:c>
      <x:c r="S592" s="48" t="str"/>
      <x:c r="T592" s="48" t="str">
        <x:v>IC_FINAL_OR_DE_FACTO:N=26,p=1.000</x:v>
      </x:c>
      <x:c r="U592" s="48" t="str">
        <x:v>Fewer than two driver groups have at least 5 observable manager families.</x:v>
      </x:c>
      <x:c r="V592" s="48" t="str">
        <x:v>At least 5 observable manager families in at least 2 driver groups</x:v>
      </x:c>
      <x:c r="W592" s="48" t="str">
        <x:v>&gt;=0.35 separates; &lt;=0.15 does not separate; intermediate is inconclusive/confounded; direct driver-definition tests are CIRCULAR</x:v>
      </x:c>
      <x:c r="X592" s="48" t="str">
        <x:v>MANAGER_SELF_DESCRIPTION; NOT BEHAVIOURAL FREQUENCY</x:v>
      </x:c>
    </x:row>
    <x:row r="593">
      <x:c r="A593" s="48" t="str">
        <x:v>B_GOVERNANCE_SEGMENTATION</x:v>
      </x:c>
      <x:c r="B593" s="48" t="str">
        <x:v>Tier B v1.1 - N=29 rerun</x:v>
      </x:c>
      <x:c r="C593" s="48" t="str">
        <x:v>2026-07-16</x:v>
      </x:c>
      <x:c r="D593" s="48" t="str">
        <x:v>U07</x:v>
      </x:c>
      <x:c r="E593" s="48" t="str">
        <x:v>UNDERWRITING_DOCUMENTS</x:v>
      </x:c>
      <x:c r="F593" s="48" t="str">
        <x:v>Pre-close quantified VCP in approval case</x:v>
      </x:c>
      <x:c r="G593" s="48" t="str">
        <x:v>governance_architecture</x:v>
      </x:c>
      <x:c r="H593" s="48" t="str">
        <x:v>IC_RECOMMENDS_SEPARATE_FINAL_AUTHORITY</x:v>
      </x:c>
      <x:c r="I593" s="48" t="str">
        <x:v>3</x:v>
      </x:c>
      <x:c r="J593" s="48" t="str">
        <x:v>3</x:v>
      </x:c>
      <x:c r="K593" s="48" t="str">
        <x:v>0</x:v>
      </x:c>
      <x:c r="L593" s="48" t="str">
        <x:v>0</x:v>
      </x:c>
      <x:c r="M593" s="48" t="str">
        <x:v>3</x:v>
      </x:c>
      <x:c r="N593" s="48" t="str">
        <x:v>0</x:v>
      </x:c>
      <x:c r="O593" s="48" t="str">
        <x:v>0</x:v>
      </x:c>
      <x:c r="P593" s="48" t="str">
        <x:v>0</x:v>
      </x:c>
      <x:c r="Q593" s="48" t="str">
        <x:v>1.000</x:v>
      </x:c>
      <x:c r="R593" s="48" t="str">
        <x:v>N TOO SMALL</x:v>
      </x:c>
      <x:c r="S593" s="48" t="str"/>
      <x:c r="T593" s="48" t="str">
        <x:v>IC_FINAL_OR_DE_FACTO:N=26,p=1.000</x:v>
      </x:c>
      <x:c r="U593" s="48" t="str">
        <x:v>Fewer than two driver groups have at least 5 observable manager families.</x:v>
      </x:c>
      <x:c r="V593" s="48" t="str">
        <x:v>At least 5 observable manager families in at least 2 driver groups</x:v>
      </x:c>
      <x:c r="W593" s="48" t="str">
        <x:v>&gt;=0.35 separates; &lt;=0.15 does not separate; intermediate is inconclusive/confounded; direct driver-definition tests are CIRCULAR</x:v>
      </x:c>
      <x:c r="X593" s="48" t="str">
        <x:v>MANAGER_SELF_DESCRIPTION; NOT BEHAVIOURAL FREQUENCY</x:v>
      </x:c>
    </x:row>
    <x:row r="594">
      <x:c r="A594" s="48" t="str">
        <x:v>B_GOVERNANCE_SEGMENTATION</x:v>
      </x:c>
      <x:c r="B594" s="48" t="str">
        <x:v>Tier B v1.1 - N=29 rerun</x:v>
      </x:c>
      <x:c r="C594" s="48" t="str">
        <x:v>2026-07-16</x:v>
      </x:c>
      <x:c r="D594" s="48" t="str">
        <x:v>U07</x:v>
      </x:c>
      <x:c r="E594" s="48" t="str">
        <x:v>UNDERWRITING_DOCUMENTS</x:v>
      </x:c>
      <x:c r="F594" s="48" t="str">
        <x:v>Pre-close quantified VCP in approval case</x:v>
      </x:c>
      <x:c r="G594" s="48" t="str">
        <x:v>dedicated_operating_team</x:v>
      </x:c>
      <x:c r="H594" s="48" t="str">
        <x:v>NO_OR_LIMITED</x:v>
      </x:c>
      <x:c r="I594" s="48" t="str">
        <x:v>6</x:v>
      </x:c>
      <x:c r="J594" s="48" t="str">
        <x:v>6</x:v>
      </x:c>
      <x:c r="K594" s="48" t="str">
        <x:v>1</x:v>
      </x:c>
      <x:c r="L594" s="48" t="str">
        <x:v>0</x:v>
      </x:c>
      <x:c r="M594" s="48" t="str">
        <x:v>6</x:v>
      </x:c>
      <x:c r="N594" s="48" t="str">
        <x:v>0</x:v>
      </x:c>
      <x:c r="O594" s="48" t="str">
        <x:v>0</x:v>
      </x:c>
      <x:c r="P594" s="48" t="str">
        <x:v>0</x:v>
      </x:c>
      <x:c r="Q594" s="48" t="str">
        <x:v>1.000</x:v>
      </x:c>
      <x:c r="R594" s="48" t="str">
        <x:v>DRIVER DOES NOT SEPARATE</x:v>
      </x:c>
      <x:c r="S594" s="48" t="str">
        <x:v>0.000</x:v>
      </x:c>
      <x:c r="T594" s="48" t="str">
        <x:v>NO_OR_LIMITED:N=6,p=1.000; YES_DEDICATED:N=23,p=1.000</x:v>
      </x:c>
      <x:c r="U594" s="48" t="str">
        <x:v>Maximum-minus-minimum prevalence among adequately observed groups is no more than 0.15.</x:v>
      </x:c>
      <x:c r="V594" s="48" t="str">
        <x:v>At least 5 observable manager families in at least 2 driver groups</x:v>
      </x:c>
      <x:c r="W594" s="48" t="str">
        <x:v>&gt;=0.35 separates; &lt;=0.15 does not separate; intermediate is inconclusive/confounded; direct driver-definition tests are CIRCULAR</x:v>
      </x:c>
      <x:c r="X594" s="48" t="str">
        <x:v>MANAGER_SELF_DESCRIPTION; NOT BEHAVIOURAL FREQUENCY</x:v>
      </x:c>
    </x:row>
    <x:row r="595">
      <x:c r="A595" s="48" t="str">
        <x:v>B_GOVERNANCE_SEGMENTATION</x:v>
      </x:c>
      <x:c r="B595" s="48" t="str">
        <x:v>Tier B v1.1 - N=29 rerun</x:v>
      </x:c>
      <x:c r="C595" s="48" t="str">
        <x:v>2026-07-16</x:v>
      </x:c>
      <x:c r="D595" s="48" t="str">
        <x:v>U07</x:v>
      </x:c>
      <x:c r="E595" s="48" t="str">
        <x:v>UNDERWRITING_DOCUMENTS</x:v>
      </x:c>
      <x:c r="F595" s="48" t="str">
        <x:v>Pre-close quantified VCP in approval case</x:v>
      </x:c>
      <x:c r="G595" s="48" t="str">
        <x:v>dedicated_operating_team</x:v>
      </x:c>
      <x:c r="H595" s="48" t="str">
        <x:v>YES_DEDICATED</x:v>
      </x:c>
      <x:c r="I595" s="48" t="str">
        <x:v>23</x:v>
      </x:c>
      <x:c r="J595" s="48" t="str">
        <x:v>23</x:v>
      </x:c>
      <x:c r="K595" s="48" t="str">
        <x:v>0</x:v>
      </x:c>
      <x:c r="L595" s="48" t="str">
        <x:v>0</x:v>
      </x:c>
      <x:c r="M595" s="48" t="str">
        <x:v>23</x:v>
      </x:c>
      <x:c r="N595" s="48" t="str">
        <x:v>0</x:v>
      </x:c>
      <x:c r="O595" s="48" t="str">
        <x:v>0</x:v>
      </x:c>
      <x:c r="P595" s="48" t="str">
        <x:v>0</x:v>
      </x:c>
      <x:c r="Q595" s="48" t="str">
        <x:v>1.000</x:v>
      </x:c>
      <x:c r="R595" s="48" t="str">
        <x:v>DRIVER DOES NOT SEPARATE</x:v>
      </x:c>
      <x:c r="S595" s="48" t="str">
        <x:v>0.000</x:v>
      </x:c>
      <x:c r="T595" s="48" t="str">
        <x:v>NO_OR_LIMITED:N=6,p=1.000; YES_DEDICATED:N=23,p=1.000</x:v>
      </x:c>
      <x:c r="U595" s="48" t="str">
        <x:v>Maximum-minus-minimum prevalence among adequately observed groups is no more than 0.15.</x:v>
      </x:c>
      <x:c r="V595" s="48" t="str">
        <x:v>At least 5 observable manager families in at least 2 driver groups</x:v>
      </x:c>
      <x:c r="W595" s="48" t="str">
        <x:v>&gt;=0.35 separates; &lt;=0.15 does not separate; intermediate is inconclusive/confounded; direct driver-definition tests are CIRCULAR</x:v>
      </x:c>
      <x:c r="X595" s="48" t="str">
        <x:v>MANAGER_SELF_DESCRIPTION; NOT BEHAVIOURAL FREQUENCY</x:v>
      </x:c>
    </x:row>
    <x:row r="596">
      <x:c r="A596" s="48" t="str">
        <x:v>B_GOVERNANCE_SEGMENTATION</x:v>
      </x:c>
      <x:c r="B596" s="48" t="str">
        <x:v>Tier B v1.1 - N=29 rerun</x:v>
      </x:c>
      <x:c r="C596" s="48" t="str">
        <x:v>2026-07-16</x:v>
      </x:c>
      <x:c r="D596" s="48" t="str">
        <x:v>U08</x:v>
      </x:c>
      <x:c r="E596" s="48" t="str">
        <x:v>UNDERWRITING_DOCUMENTS</x:v>
      </x:c>
      <x:c r="F596" s="48" t="str">
        <x:v>Model and VCP linkage explicit</x:v>
      </x:c>
      <x:c r="G596" s="48" t="str">
        <x:v>fund_size_archetype</x:v>
      </x:c>
      <x:c r="H596" s="48" t="str">
        <x:v>LARGE_2_TO_LT_5B</x:v>
      </x:c>
      <x:c r="I596" s="48" t="str">
        <x:v>9</x:v>
      </x:c>
      <x:c r="J596" s="48" t="str">
        <x:v>8</x:v>
      </x:c>
      <x:c r="K596" s="48" t="str">
        <x:v>3</x:v>
      </x:c>
      <x:c r="L596" s="48" t="str">
        <x:v>0</x:v>
      </x:c>
      <x:c r="M596" s="48" t="str">
        <x:v>8</x:v>
      </x:c>
      <x:c r="N596" s="48" t="str">
        <x:v>1</x:v>
      </x:c>
      <x:c r="O596" s="48" t="str">
        <x:v>0</x:v>
      </x:c>
      <x:c r="P596" s="48" t="str">
        <x:v>0</x:v>
      </x:c>
      <x:c r="Q596" s="48" t="str">
        <x:v>1.000</x:v>
      </x:c>
      <x:c r="R596" s="48" t="str">
        <x:v>DRIVER DOES NOT SEPARATE</x:v>
      </x:c>
      <x:c r="S596" s="48" t="str">
        <x:v>0.000</x:v>
      </x:c>
      <x:c r="T596" s="48" t="str">
        <x:v>LARGE_2_TO_LT_5B:N=8,p=1.000; LOWER_MID_LT_2B:N=8,p=1.000; MEGA_GE_5B:N=11,p=1.000</x:v>
      </x:c>
      <x:c r="U596" s="48" t="str">
        <x:v>Maximum-minus-minimum prevalence among adequately observed groups is no more than 0.15.</x:v>
      </x:c>
      <x:c r="V596" s="48" t="str">
        <x:v>At least 5 observable manager families in at least 2 driver groups</x:v>
      </x:c>
      <x:c r="W596" s="48" t="str">
        <x:v>&gt;=0.35 separates; &lt;=0.15 does not separate; intermediate is inconclusive/confounded; direct driver-definition tests are CIRCULAR</x:v>
      </x:c>
      <x:c r="X596" s="48" t="str">
        <x:v>MANAGER_SELF_DESCRIPTION; NOT BEHAVIOURAL FREQUENCY</x:v>
      </x:c>
    </x:row>
    <x:row r="597">
      <x:c r="A597" s="48" t="str">
        <x:v>B_GOVERNANCE_SEGMENTATION</x:v>
      </x:c>
      <x:c r="B597" s="48" t="str">
        <x:v>Tier B v1.1 - N=29 rerun</x:v>
      </x:c>
      <x:c r="C597" s="48" t="str">
        <x:v>2026-07-16</x:v>
      </x:c>
      <x:c r="D597" s="48" t="str">
        <x:v>U08</x:v>
      </x:c>
      <x:c r="E597" s="48" t="str">
        <x:v>UNDERWRITING_DOCUMENTS</x:v>
      </x:c>
      <x:c r="F597" s="48" t="str">
        <x:v>Model and VCP linkage explicit</x:v>
      </x:c>
      <x:c r="G597" s="48" t="str">
        <x:v>fund_size_archetype</x:v>
      </x:c>
      <x:c r="H597" s="48" t="str">
        <x:v>LOWER_MID_LT_2B</x:v>
      </x:c>
      <x:c r="I597" s="48" t="str">
        <x:v>8</x:v>
      </x:c>
      <x:c r="J597" s="48" t="str">
        <x:v>8</x:v>
      </x:c>
      <x:c r="K597" s="48" t="str">
        <x:v>6</x:v>
      </x:c>
      <x:c r="L597" s="48" t="str">
        <x:v>0</x:v>
      </x:c>
      <x:c r="M597" s="48" t="str">
        <x:v>8</x:v>
      </x:c>
      <x:c r="N597" s="48" t="str">
        <x:v>0</x:v>
      </x:c>
      <x:c r="O597" s="48" t="str">
        <x:v>0</x:v>
      </x:c>
      <x:c r="P597" s="48" t="str">
        <x:v>0</x:v>
      </x:c>
      <x:c r="Q597" s="48" t="str">
        <x:v>1.000</x:v>
      </x:c>
      <x:c r="R597" s="48" t="str">
        <x:v>DRIVER DOES NOT SEPARATE</x:v>
      </x:c>
      <x:c r="S597" s="48" t="str">
        <x:v>0.000</x:v>
      </x:c>
      <x:c r="T597" s="48" t="str">
        <x:v>LARGE_2_TO_LT_5B:N=8,p=1.000; LOWER_MID_LT_2B:N=8,p=1.000; MEGA_GE_5B:N=11,p=1.000</x:v>
      </x:c>
      <x:c r="U597" s="48" t="str">
        <x:v>Maximum-minus-minimum prevalence among adequately observed groups is no more than 0.15.</x:v>
      </x:c>
      <x:c r="V597" s="48" t="str">
        <x:v>At least 5 observable manager families in at least 2 driver groups</x:v>
      </x:c>
      <x:c r="W597" s="48" t="str">
        <x:v>&gt;=0.35 separates; &lt;=0.15 does not separate; intermediate is inconclusive/confounded; direct driver-definition tests are CIRCULAR</x:v>
      </x:c>
      <x:c r="X597" s="48" t="str">
        <x:v>MANAGER_SELF_DESCRIPTION; NOT BEHAVIOURAL FREQUENCY</x:v>
      </x:c>
    </x:row>
    <x:row r="598">
      <x:c r="A598" s="48" t="str">
        <x:v>B_GOVERNANCE_SEGMENTATION</x:v>
      </x:c>
      <x:c r="B598" s="48" t="str">
        <x:v>Tier B v1.1 - N=29 rerun</x:v>
      </x:c>
      <x:c r="C598" s="48" t="str">
        <x:v>2026-07-16</x:v>
      </x:c>
      <x:c r="D598" s="48" t="str">
        <x:v>U08</x:v>
      </x:c>
      <x:c r="E598" s="48" t="str">
        <x:v>UNDERWRITING_DOCUMENTS</x:v>
      </x:c>
      <x:c r="F598" s="48" t="str">
        <x:v>Model and VCP linkage explicit</x:v>
      </x:c>
      <x:c r="G598" s="48" t="str">
        <x:v>fund_size_archetype</x:v>
      </x:c>
      <x:c r="H598" s="48" t="str">
        <x:v>MEGA_GE_5B</x:v>
      </x:c>
      <x:c r="I598" s="48" t="str">
        <x:v>11</x:v>
      </x:c>
      <x:c r="J598" s="48" t="str">
        <x:v>11</x:v>
      </x:c>
      <x:c r="K598" s="48" t="str">
        <x:v>5</x:v>
      </x:c>
      <x:c r="L598" s="48" t="str">
        <x:v>0</x:v>
      </x:c>
      <x:c r="M598" s="48" t="str">
        <x:v>11</x:v>
      </x:c>
      <x:c r="N598" s="48" t="str">
        <x:v>0</x:v>
      </x:c>
      <x:c r="O598" s="48" t="str">
        <x:v>0</x:v>
      </x:c>
      <x:c r="P598" s="48" t="str">
        <x:v>0</x:v>
      </x:c>
      <x:c r="Q598" s="48" t="str">
        <x:v>1.000</x:v>
      </x:c>
      <x:c r="R598" s="48" t="str">
        <x:v>DRIVER DOES NOT SEPARATE</x:v>
      </x:c>
      <x:c r="S598" s="48" t="str">
        <x:v>0.000</x:v>
      </x:c>
      <x:c r="T598" s="48" t="str">
        <x:v>LARGE_2_TO_LT_5B:N=8,p=1.000; LOWER_MID_LT_2B:N=8,p=1.000; MEGA_GE_5B:N=11,p=1.000</x:v>
      </x:c>
      <x:c r="U598" s="48" t="str">
        <x:v>Maximum-minus-minimum prevalence among adequately observed groups is no more than 0.15.</x:v>
      </x:c>
      <x:c r="V598" s="48" t="str">
        <x:v>At least 5 observable manager families in at least 2 driver groups</x:v>
      </x:c>
      <x:c r="W598" s="48" t="str">
        <x:v>&gt;=0.35 separates; &lt;=0.15 does not separate; intermediate is inconclusive/confounded; direct driver-definition tests are CIRCULAR</x:v>
      </x:c>
      <x:c r="X598" s="48" t="str">
        <x:v>MANAGER_SELF_DESCRIPTION; NOT BEHAVIOURAL FREQUENCY</x:v>
      </x:c>
    </x:row>
    <x:row r="599">
      <x:c r="A599" s="48" t="str">
        <x:v>B_GOVERNANCE_SEGMENTATION</x:v>
      </x:c>
      <x:c r="B599" s="48" t="str">
        <x:v>Tier B v1.1 - N=29 rerun</x:v>
      </x:c>
      <x:c r="C599" s="48" t="str">
        <x:v>2026-07-16</x:v>
      </x:c>
      <x:c r="D599" s="48" t="str">
        <x:v>U08</x:v>
      </x:c>
      <x:c r="E599" s="48" t="str">
        <x:v>UNDERWRITING_DOCUMENTS</x:v>
      </x:c>
      <x:c r="F599" s="48" t="str">
        <x:v>Model and VCP linkage explicit</x:v>
      </x:c>
      <x:c r="G599" s="48" t="str">
        <x:v>fund_size_archetype</x:v>
      </x:c>
      <x:c r="H599" s="48" t="str">
        <x:v>NOT_APPLICABLE</x:v>
      </x:c>
      <x:c r="I599" s="48" t="str">
        <x:v>1</x:v>
      </x:c>
      <x:c r="J599" s="48" t="str">
        <x:v>1</x:v>
      </x:c>
      <x:c r="K599" s="48" t="str">
        <x:v>1</x:v>
      </x:c>
      <x:c r="L599" s="48" t="str">
        <x:v>0</x:v>
      </x:c>
      <x:c r="M599" s="48" t="str">
        <x:v>1</x:v>
      </x:c>
      <x:c r="N599" s="48" t="str">
        <x:v>0</x:v>
      </x:c>
      <x:c r="O599" s="48" t="str">
        <x:v>0</x:v>
      </x:c>
      <x:c r="P599" s="48" t="str">
        <x:v>0</x:v>
      </x:c>
      <x:c r="Q599" s="48" t="str">
        <x:v>1.000</x:v>
      </x:c>
      <x:c r="R599" s="48" t="str">
        <x:v>DRIVER DOES NOT SEPARATE</x:v>
      </x:c>
      <x:c r="S599" s="48" t="str">
        <x:v>0.000</x:v>
      </x:c>
      <x:c r="T599" s="48" t="str">
        <x:v>LARGE_2_TO_LT_5B:N=8,p=1.000; LOWER_MID_LT_2B:N=8,p=1.000; MEGA_GE_5B:N=11,p=1.000</x:v>
      </x:c>
      <x:c r="U599" s="48" t="str">
        <x:v>Maximum-minus-minimum prevalence among adequately observed groups is no more than 0.15.</x:v>
      </x:c>
      <x:c r="V599" s="48" t="str">
        <x:v>At least 5 observable manager families in at least 2 driver groups</x:v>
      </x:c>
      <x:c r="W599" s="48" t="str">
        <x:v>&gt;=0.35 separates; &lt;=0.15 does not separate; intermediate is inconclusive/confounded; direct driver-definition tests are CIRCULAR</x:v>
      </x:c>
      <x:c r="X599" s="48" t="str">
        <x:v>MANAGER_SELF_DESCRIPTION; NOT BEHAVIOURAL FREQUENCY</x:v>
      </x:c>
    </x:row>
    <x:row r="600">
      <x:c r="A600" s="48" t="str">
        <x:v>B_GOVERNANCE_SEGMENTATION</x:v>
      </x:c>
      <x:c r="B600" s="48" t="str">
        <x:v>Tier B v1.1 - N=29 rerun</x:v>
      </x:c>
      <x:c r="C600" s="48" t="str">
        <x:v>2026-07-16</x:v>
      </x:c>
      <x:c r="D600" s="48" t="str">
        <x:v>U08</x:v>
      </x:c>
      <x:c r="E600" s="48" t="str">
        <x:v>UNDERWRITING_DOCUMENTS</x:v>
      </x:c>
      <x:c r="F600" s="48" t="str">
        <x:v>Model and VCP linkage explicit</x:v>
      </x:c>
      <x:c r="G600" s="48" t="str">
        <x:v>strategy</x:v>
      </x:c>
      <x:c r="H600" s="48" t="str">
        <x:v>CONTROL_BUYOUT</x:v>
      </x:c>
      <x:c r="I600" s="48" t="str">
        <x:v>22</x:v>
      </x:c>
      <x:c r="J600" s="48" t="str">
        <x:v>21</x:v>
      </x:c>
      <x:c r="K600" s="48" t="str">
        <x:v>10</x:v>
      </x:c>
      <x:c r="L600" s="48" t="str">
        <x:v>0</x:v>
      </x:c>
      <x:c r="M600" s="48" t="str">
        <x:v>21</x:v>
      </x:c>
      <x:c r="N600" s="48" t="str">
        <x:v>1</x:v>
      </x:c>
      <x:c r="O600" s="48" t="str">
        <x:v>0</x:v>
      </x:c>
      <x:c r="P600" s="48" t="str">
        <x:v>0</x:v>
      </x:c>
      <x:c r="Q600" s="48" t="str">
        <x:v>1.000</x:v>
      </x:c>
      <x:c r="R600" s="48" t="str">
        <x:v>DRIVER DOES NOT SEPARATE</x:v>
      </x:c>
      <x:c r="S600" s="48" t="str">
        <x:v>0.000</x:v>
      </x:c>
      <x:c r="T600" s="48" t="str">
        <x:v>CONTROL_BUYOUT:N=21,p=1.000; GROWTH_CONTROL_HYBRID:N=6,p=1.000</x:v>
      </x:c>
      <x:c r="U600" s="48" t="str">
        <x:v>Maximum-minus-minimum prevalence among adequately observed groups is no more than 0.15.</x:v>
      </x:c>
      <x:c r="V600" s="48" t="str">
        <x:v>At least 5 observable manager families in at least 2 driver groups</x:v>
      </x:c>
      <x:c r="W600" s="48" t="str">
        <x:v>&gt;=0.35 separates; &lt;=0.15 does not separate; intermediate is inconclusive/confounded; direct driver-definition tests are CIRCULAR</x:v>
      </x:c>
      <x:c r="X600" s="48" t="str">
        <x:v>MANAGER_SELF_DESCRIPTION; NOT BEHAVIOURAL FREQUENCY</x:v>
      </x:c>
    </x:row>
    <x:row r="601">
      <x:c r="A601" s="48" t="str">
        <x:v>B_GOVERNANCE_SEGMENTATION</x:v>
      </x:c>
      <x:c r="B601" s="48" t="str">
        <x:v>Tier B v1.1 - N=29 rerun</x:v>
      </x:c>
      <x:c r="C601" s="48" t="str">
        <x:v>2026-07-16</x:v>
      </x:c>
      <x:c r="D601" s="48" t="str">
        <x:v>U08</x:v>
      </x:c>
      <x:c r="E601" s="48" t="str">
        <x:v>UNDERWRITING_DOCUMENTS</x:v>
      </x:c>
      <x:c r="F601" s="48" t="str">
        <x:v>Model and VCP linkage explicit</x:v>
      </x:c>
      <x:c r="G601" s="48" t="str">
        <x:v>strategy</x:v>
      </x:c>
      <x:c r="H601" s="48" t="str">
        <x:v>GROWTH_CONTROL_HYBRID</x:v>
      </x:c>
      <x:c r="I601" s="48" t="str">
        <x:v>6</x:v>
      </x:c>
      <x:c r="J601" s="48" t="str">
        <x:v>6</x:v>
      </x:c>
      <x:c r="K601" s="48" t="str">
        <x:v>5</x:v>
      </x:c>
      <x:c r="L601" s="48" t="str">
        <x:v>0</x:v>
      </x:c>
      <x:c r="M601" s="48" t="str">
        <x:v>6</x:v>
      </x:c>
      <x:c r="N601" s="48" t="str">
        <x:v>0</x:v>
      </x:c>
      <x:c r="O601" s="48" t="str">
        <x:v>0</x:v>
      </x:c>
      <x:c r="P601" s="48" t="str">
        <x:v>0</x:v>
      </x:c>
      <x:c r="Q601" s="48" t="str">
        <x:v>1.000</x:v>
      </x:c>
      <x:c r="R601" s="48" t="str">
        <x:v>DRIVER DOES NOT SEPARATE</x:v>
      </x:c>
      <x:c r="S601" s="48" t="str">
        <x:v>0.000</x:v>
      </x:c>
      <x:c r="T601" s="48" t="str">
        <x:v>CONTROL_BUYOUT:N=21,p=1.000; GROWTH_CONTROL_HYBRID:N=6,p=1.000</x:v>
      </x:c>
      <x:c r="U601" s="48" t="str">
        <x:v>Maximum-minus-minimum prevalence among adequately observed groups is no more than 0.15.</x:v>
      </x:c>
      <x:c r="V601" s="48" t="str">
        <x:v>At least 5 observable manager families in at least 2 driver groups</x:v>
      </x:c>
      <x:c r="W601" s="48" t="str">
        <x:v>&gt;=0.35 separates; &lt;=0.15 does not separate; intermediate is inconclusive/confounded; direct driver-definition tests are CIRCULAR</x:v>
      </x:c>
      <x:c r="X601" s="48" t="str">
        <x:v>MANAGER_SELF_DESCRIPTION; NOT BEHAVIOURAL FREQUENCY</x:v>
      </x:c>
    </x:row>
    <x:row r="602">
      <x:c r="A602" s="48" t="str">
        <x:v>B_GOVERNANCE_SEGMENTATION</x:v>
      </x:c>
      <x:c r="B602" s="48" t="str">
        <x:v>Tier B v1.1 - N=29 rerun</x:v>
      </x:c>
      <x:c r="C602" s="48" t="str">
        <x:v>2026-07-16</x:v>
      </x:c>
      <x:c r="D602" s="48" t="str">
        <x:v>U08</x:v>
      </x:c>
      <x:c r="E602" s="48" t="str">
        <x:v>UNDERWRITING_DOCUMENTS</x:v>
      </x:c>
      <x:c r="F602" s="48" t="str">
        <x:v>Model and VCP linkage explicit</x:v>
      </x:c>
      <x:c r="G602" s="48" t="str">
        <x:v>strategy</x:v>
      </x:c>
      <x:c r="H602" s="48" t="str">
        <x:v>OPPORTUNISTIC_CONTROL</x:v>
      </x:c>
      <x:c r="I602" s="48" t="str">
        <x:v>1</x:v>
      </x:c>
      <x:c r="J602" s="48" t="str">
        <x:v>1</x:v>
      </x:c>
      <x:c r="K602" s="48" t="str">
        <x:v>0</x:v>
      </x:c>
      <x:c r="L602" s="48" t="str">
        <x:v>0</x:v>
      </x:c>
      <x:c r="M602" s="48" t="str">
        <x:v>1</x:v>
      </x:c>
      <x:c r="N602" s="48" t="str">
        <x:v>0</x:v>
      </x:c>
      <x:c r="O602" s="48" t="str">
        <x:v>0</x:v>
      </x:c>
      <x:c r="P602" s="48" t="str">
        <x:v>0</x:v>
      </x:c>
      <x:c r="Q602" s="48" t="str">
        <x:v>1.000</x:v>
      </x:c>
      <x:c r="R602" s="48" t="str">
        <x:v>DRIVER DOES NOT SEPARATE</x:v>
      </x:c>
      <x:c r="S602" s="48" t="str">
        <x:v>0.000</x:v>
      </x:c>
      <x:c r="T602" s="48" t="str">
        <x:v>CONTROL_BUYOUT:N=21,p=1.000; GROWTH_CONTROL_HYBRID:N=6,p=1.000</x:v>
      </x:c>
      <x:c r="U602" s="48" t="str">
        <x:v>Maximum-minus-minimum prevalence among adequately observed groups is no more than 0.15.</x:v>
      </x:c>
      <x:c r="V602" s="48" t="str">
        <x:v>At least 5 observable manager families in at least 2 driver groups</x:v>
      </x:c>
      <x:c r="W602" s="48" t="str">
        <x:v>&gt;=0.35 separates; &lt;=0.15 does not separate; intermediate is inconclusive/confounded; direct driver-definition tests are CIRCULAR</x:v>
      </x:c>
      <x:c r="X602" s="48" t="str">
        <x:v>MANAGER_SELF_DESCRIPTION; NOT BEHAVIOURAL FREQUENCY</x:v>
      </x:c>
    </x:row>
    <x:row r="603">
      <x:c r="A603" s="48" t="str">
        <x:v>B_GOVERNANCE_SEGMENTATION</x:v>
      </x:c>
      <x:c r="B603" s="48" t="str">
        <x:v>Tier B v1.1 - N=29 rerun</x:v>
      </x:c>
      <x:c r="C603" s="48" t="str">
        <x:v>2026-07-16</x:v>
      </x:c>
      <x:c r="D603" s="48" t="str">
        <x:v>U08</x:v>
      </x:c>
      <x:c r="E603" s="48" t="str">
        <x:v>UNDERWRITING_DOCUMENTS</x:v>
      </x:c>
      <x:c r="F603" s="48" t="str">
        <x:v>Model and VCP linkage explicit</x:v>
      </x:c>
      <x:c r="G603" s="48" t="str">
        <x:v>geography</x:v>
      </x:c>
      <x:c r="H603" s="48" t="str">
        <x:v>ASIA_PACIFIC</x:v>
      </x:c>
      <x:c r="I603" s="48" t="str">
        <x:v>4</x:v>
      </x:c>
      <x:c r="J603" s="48" t="str">
        <x:v>4</x:v>
      </x:c>
      <x:c r="K603" s="48" t="str">
        <x:v>2</x:v>
      </x:c>
      <x:c r="L603" s="48" t="str">
        <x:v>0</x:v>
      </x:c>
      <x:c r="M603" s="48" t="str">
        <x:v>4</x:v>
      </x:c>
      <x:c r="N603" s="48" t="str">
        <x:v>0</x:v>
      </x:c>
      <x:c r="O603" s="48" t="str">
        <x:v>0</x:v>
      </x:c>
      <x:c r="P603" s="48" t="str">
        <x:v>0</x:v>
      </x:c>
      <x:c r="Q603" s="48" t="str">
        <x:v>1.000</x:v>
      </x:c>
      <x:c r="R603" s="48" t="str">
        <x:v>DRIVER DOES NOT SEPARATE</x:v>
      </x:c>
      <x:c r="S603" s="48" t="str">
        <x:v>0.000</x:v>
      </x:c>
      <x:c r="T603" s="48" t="str">
        <x:v>GLOBAL_TRANSATLANTIC:N=10,p=1.000; NORTH_AMERICA:N=12,p=1.000</x:v>
      </x:c>
      <x:c r="U603" s="48" t="str">
        <x:v>Maximum-minus-minimum prevalence among adequately observed groups is no more than 0.15.</x:v>
      </x:c>
      <x:c r="V603" s="48" t="str">
        <x:v>At least 5 observable manager families in at least 2 driver groups</x:v>
      </x:c>
      <x:c r="W603" s="48" t="str">
        <x:v>&gt;=0.35 separates; &lt;=0.15 does not separate; intermediate is inconclusive/confounded; direct driver-definition tests are CIRCULAR</x:v>
      </x:c>
      <x:c r="X603" s="48" t="str">
        <x:v>MANAGER_SELF_DESCRIPTION; NOT BEHAVIOURAL FREQUENCY</x:v>
      </x:c>
    </x:row>
    <x:row r="604">
      <x:c r="A604" s="48" t="str">
        <x:v>B_GOVERNANCE_SEGMENTATION</x:v>
      </x:c>
      <x:c r="B604" s="48" t="str">
        <x:v>Tier B v1.1 - N=29 rerun</x:v>
      </x:c>
      <x:c r="C604" s="48" t="str">
        <x:v>2026-07-16</x:v>
      </x:c>
      <x:c r="D604" s="48" t="str">
        <x:v>U08</x:v>
      </x:c>
      <x:c r="E604" s="48" t="str">
        <x:v>UNDERWRITING_DOCUMENTS</x:v>
      </x:c>
      <x:c r="F604" s="48" t="str">
        <x:v>Model and VCP linkage explicit</x:v>
      </x:c>
      <x:c r="G604" s="48" t="str">
        <x:v>geography</x:v>
      </x:c>
      <x:c r="H604" s="48" t="str">
        <x:v>EUROPE</x:v>
      </x:c>
      <x:c r="I604" s="48" t="str">
        <x:v>2</x:v>
      </x:c>
      <x:c r="J604" s="48" t="str">
        <x:v>2</x:v>
      </x:c>
      <x:c r="K604" s="48" t="str">
        <x:v>2</x:v>
      </x:c>
      <x:c r="L604" s="48" t="str">
        <x:v>0</x:v>
      </x:c>
      <x:c r="M604" s="48" t="str">
        <x:v>2</x:v>
      </x:c>
      <x:c r="N604" s="48" t="str">
        <x:v>0</x:v>
      </x:c>
      <x:c r="O604" s="48" t="str">
        <x:v>0</x:v>
      </x:c>
      <x:c r="P604" s="48" t="str">
        <x:v>0</x:v>
      </x:c>
      <x:c r="Q604" s="48" t="str">
        <x:v>1.000</x:v>
      </x:c>
      <x:c r="R604" s="48" t="str">
        <x:v>DRIVER DOES NOT SEPARATE</x:v>
      </x:c>
      <x:c r="S604" s="48" t="str">
        <x:v>0.000</x:v>
      </x:c>
      <x:c r="T604" s="48" t="str">
        <x:v>GLOBAL_TRANSATLANTIC:N=10,p=1.000; NORTH_AMERICA:N=12,p=1.000</x:v>
      </x:c>
      <x:c r="U604" s="48" t="str">
        <x:v>Maximum-minus-minimum prevalence among adequately observed groups is no more than 0.15.</x:v>
      </x:c>
      <x:c r="V604" s="48" t="str">
        <x:v>At least 5 observable manager families in at least 2 driver groups</x:v>
      </x:c>
      <x:c r="W604" s="48" t="str">
        <x:v>&gt;=0.35 separates; &lt;=0.15 does not separate; intermediate is inconclusive/confounded; direct driver-definition tests are CIRCULAR</x:v>
      </x:c>
      <x:c r="X604" s="48" t="str">
        <x:v>MANAGER_SELF_DESCRIPTION; NOT BEHAVIOURAL FREQUENCY</x:v>
      </x:c>
    </x:row>
    <x:row r="605">
      <x:c r="A605" s="48" t="str">
        <x:v>B_GOVERNANCE_SEGMENTATION</x:v>
      </x:c>
      <x:c r="B605" s="48" t="str">
        <x:v>Tier B v1.1 - N=29 rerun</x:v>
      </x:c>
      <x:c r="C605" s="48" t="str">
        <x:v>2026-07-16</x:v>
      </x:c>
      <x:c r="D605" s="48" t="str">
        <x:v>U08</x:v>
      </x:c>
      <x:c r="E605" s="48" t="str">
        <x:v>UNDERWRITING_DOCUMENTS</x:v>
      </x:c>
      <x:c r="F605" s="48" t="str">
        <x:v>Model and VCP linkage explicit</x:v>
      </x:c>
      <x:c r="G605" s="48" t="str">
        <x:v>geography</x:v>
      </x:c>
      <x:c r="H605" s="48" t="str">
        <x:v>GLOBAL_TRANSATLANTIC</x:v>
      </x:c>
      <x:c r="I605" s="48" t="str">
        <x:v>10</x:v>
      </x:c>
      <x:c r="J605" s="48" t="str">
        <x:v>10</x:v>
      </x:c>
      <x:c r="K605" s="48" t="str">
        <x:v>5</x:v>
      </x:c>
      <x:c r="L605" s="48" t="str">
        <x:v>0</x:v>
      </x:c>
      <x:c r="M605" s="48" t="str">
        <x:v>10</x:v>
      </x:c>
      <x:c r="N605" s="48" t="str">
        <x:v>0</x:v>
      </x:c>
      <x:c r="O605" s="48" t="str">
        <x:v>0</x:v>
      </x:c>
      <x:c r="P605" s="48" t="str">
        <x:v>0</x:v>
      </x:c>
      <x:c r="Q605" s="48" t="str">
        <x:v>1.000</x:v>
      </x:c>
      <x:c r="R605" s="48" t="str">
        <x:v>DRIVER DOES NOT SEPARATE</x:v>
      </x:c>
      <x:c r="S605" s="48" t="str">
        <x:v>0.000</x:v>
      </x:c>
      <x:c r="T605" s="48" t="str">
        <x:v>GLOBAL_TRANSATLANTIC:N=10,p=1.000; NORTH_AMERICA:N=12,p=1.000</x:v>
      </x:c>
      <x:c r="U605" s="48" t="str">
        <x:v>Maximum-minus-minimum prevalence among adequately observed groups is no more than 0.15.</x:v>
      </x:c>
      <x:c r="V605" s="48" t="str">
        <x:v>At least 5 observable manager families in at least 2 driver groups</x:v>
      </x:c>
      <x:c r="W605" s="48" t="str">
        <x:v>&gt;=0.35 separates; &lt;=0.15 does not separate; intermediate is inconclusive/confounded; direct driver-definition tests are CIRCULAR</x:v>
      </x:c>
      <x:c r="X605" s="48" t="str">
        <x:v>MANAGER_SELF_DESCRIPTION; NOT BEHAVIOURAL FREQUENCY</x:v>
      </x:c>
    </x:row>
    <x:row r="606">
      <x:c r="A606" s="48" t="str">
        <x:v>B_GOVERNANCE_SEGMENTATION</x:v>
      </x:c>
      <x:c r="B606" s="48" t="str">
        <x:v>Tier B v1.1 - N=29 rerun</x:v>
      </x:c>
      <x:c r="C606" s="48" t="str">
        <x:v>2026-07-16</x:v>
      </x:c>
      <x:c r="D606" s="48" t="str">
        <x:v>U08</x:v>
      </x:c>
      <x:c r="E606" s="48" t="str">
        <x:v>UNDERWRITING_DOCUMENTS</x:v>
      </x:c>
      <x:c r="F606" s="48" t="str">
        <x:v>Model and VCP linkage explicit</x:v>
      </x:c>
      <x:c r="G606" s="48" t="str">
        <x:v>geography</x:v>
      </x:c>
      <x:c r="H606" s="48" t="str">
        <x:v>NORTH_AMERICA</x:v>
      </x:c>
      <x:c r="I606" s="48" t="str">
        <x:v>13</x:v>
      </x:c>
      <x:c r="J606" s="48" t="str">
        <x:v>12</x:v>
      </x:c>
      <x:c r="K606" s="48" t="str">
        <x:v>6</x:v>
      </x:c>
      <x:c r="L606" s="48" t="str">
        <x:v>0</x:v>
      </x:c>
      <x:c r="M606" s="48" t="str">
        <x:v>12</x:v>
      </x:c>
      <x:c r="N606" s="48" t="str">
        <x:v>1</x:v>
      </x:c>
      <x:c r="O606" s="48" t="str">
        <x:v>0</x:v>
      </x:c>
      <x:c r="P606" s="48" t="str">
        <x:v>0</x:v>
      </x:c>
      <x:c r="Q606" s="48" t="str">
        <x:v>1.000</x:v>
      </x:c>
      <x:c r="R606" s="48" t="str">
        <x:v>DRIVER DOES NOT SEPARATE</x:v>
      </x:c>
      <x:c r="S606" s="48" t="str">
        <x:v>0.000</x:v>
      </x:c>
      <x:c r="T606" s="48" t="str">
        <x:v>GLOBAL_TRANSATLANTIC:N=10,p=1.000; NORTH_AMERICA:N=12,p=1.000</x:v>
      </x:c>
      <x:c r="U606" s="48" t="str">
        <x:v>Maximum-minus-minimum prevalence among adequately observed groups is no more than 0.15.</x:v>
      </x:c>
      <x:c r="V606" s="48" t="str">
        <x:v>At least 5 observable manager families in at least 2 driver groups</x:v>
      </x:c>
      <x:c r="W606" s="48" t="str">
        <x:v>&gt;=0.35 separates; &lt;=0.15 does not separate; intermediate is inconclusive/confounded; direct driver-definition tests are CIRCULAR</x:v>
      </x:c>
      <x:c r="X606" s="48" t="str">
        <x:v>MANAGER_SELF_DESCRIPTION; NOT BEHAVIOURAL FREQUENCY</x:v>
      </x:c>
    </x:row>
    <x:row r="607">
      <x:c r="A607" s="48" t="str">
        <x:v>B_GOVERNANCE_SEGMENTATION</x:v>
      </x:c>
      <x:c r="B607" s="48" t="str">
        <x:v>Tier B v1.1 - N=29 rerun</x:v>
      </x:c>
      <x:c r="C607" s="48" t="str">
        <x:v>2026-07-16</x:v>
      </x:c>
      <x:c r="D607" s="48" t="str">
        <x:v>U08</x:v>
      </x:c>
      <x:c r="E607" s="48" t="str">
        <x:v>UNDERWRITING_DOCUMENTS</x:v>
      </x:c>
      <x:c r="F607" s="48" t="str">
        <x:v>Model and VCP linkage explicit</x:v>
      </x:c>
      <x:c r="G607" s="48" t="str">
        <x:v>source_vintage_bin</x:v>
      </x:c>
      <x:c r="H607" s="48" t="str">
        <x:v>2018_2020</x:v>
      </x:c>
      <x:c r="I607" s="48" t="str">
        <x:v>6</x:v>
      </x:c>
      <x:c r="J607" s="48" t="str">
        <x:v>6</x:v>
      </x:c>
      <x:c r="K607" s="48" t="str">
        <x:v>2</x:v>
      </x:c>
      <x:c r="L607" s="48" t="str">
        <x:v>0</x:v>
      </x:c>
      <x:c r="M607" s="48" t="str">
        <x:v>6</x:v>
      </x:c>
      <x:c r="N607" s="48" t="str">
        <x:v>0</x:v>
      </x:c>
      <x:c r="O607" s="48" t="str">
        <x:v>0</x:v>
      </x:c>
      <x:c r="P607" s="48" t="str">
        <x:v>0</x:v>
      </x:c>
      <x:c r="Q607" s="48" t="str">
        <x:v>1.000</x:v>
      </x:c>
      <x:c r="R607" s="48" t="str">
        <x:v>DRIVER DOES NOT SEPARATE</x:v>
      </x:c>
      <x:c r="S607" s="48" t="str">
        <x:v>0.000</x:v>
      </x:c>
      <x:c r="T607" s="48" t="str">
        <x:v>2018_2020:N=6,p=1.000; 2021_2023:N=11,p=1.000; 2024_2026:N=11,p=1.000</x:v>
      </x:c>
      <x:c r="U607" s="48" t="str">
        <x:v>Maximum-minus-minimum prevalence among adequately observed groups is no more than 0.15.</x:v>
      </x:c>
      <x:c r="V607" s="48" t="str">
        <x:v>At least 5 observable manager families in at least 2 driver groups</x:v>
      </x:c>
      <x:c r="W607" s="48" t="str">
        <x:v>&gt;=0.35 separates; &lt;=0.15 does not separate; intermediate is inconclusive/confounded; direct driver-definition tests are CIRCULAR</x:v>
      </x:c>
      <x:c r="X607" s="48" t="str">
        <x:v>MANAGER_SELF_DESCRIPTION; NOT BEHAVIOURAL FREQUENCY</x:v>
      </x:c>
    </x:row>
    <x:row r="608">
      <x:c r="A608" s="48" t="str">
        <x:v>B_GOVERNANCE_SEGMENTATION</x:v>
      </x:c>
      <x:c r="B608" s="48" t="str">
        <x:v>Tier B v1.1 - N=29 rerun</x:v>
      </x:c>
      <x:c r="C608" s="48" t="str">
        <x:v>2026-07-16</x:v>
      </x:c>
      <x:c r="D608" s="48" t="str">
        <x:v>U08</x:v>
      </x:c>
      <x:c r="E608" s="48" t="str">
        <x:v>UNDERWRITING_DOCUMENTS</x:v>
      </x:c>
      <x:c r="F608" s="48" t="str">
        <x:v>Model and VCP linkage explicit</x:v>
      </x:c>
      <x:c r="G608" s="48" t="str">
        <x:v>source_vintage_bin</x:v>
      </x:c>
      <x:c r="H608" s="48" t="str">
        <x:v>2021_2023</x:v>
      </x:c>
      <x:c r="I608" s="48" t="str">
        <x:v>11</x:v>
      </x:c>
      <x:c r="J608" s="48" t="str">
        <x:v>11</x:v>
      </x:c>
      <x:c r="K608" s="48" t="str">
        <x:v>5</x:v>
      </x:c>
      <x:c r="L608" s="48" t="str">
        <x:v>0</x:v>
      </x:c>
      <x:c r="M608" s="48" t="str">
        <x:v>11</x:v>
      </x:c>
      <x:c r="N608" s="48" t="str">
        <x:v>0</x:v>
      </x:c>
      <x:c r="O608" s="48" t="str">
        <x:v>0</x:v>
      </x:c>
      <x:c r="P608" s="48" t="str">
        <x:v>0</x:v>
      </x:c>
      <x:c r="Q608" s="48" t="str">
        <x:v>1.000</x:v>
      </x:c>
      <x:c r="R608" s="48" t="str">
        <x:v>DRIVER DOES NOT SEPARATE</x:v>
      </x:c>
      <x:c r="S608" s="48" t="str">
        <x:v>0.000</x:v>
      </x:c>
      <x:c r="T608" s="48" t="str">
        <x:v>2018_2020:N=6,p=1.000; 2021_2023:N=11,p=1.000; 2024_2026:N=11,p=1.000</x:v>
      </x:c>
      <x:c r="U608" s="48" t="str">
        <x:v>Maximum-minus-minimum prevalence among adequately observed groups is no more than 0.15.</x:v>
      </x:c>
      <x:c r="V608" s="48" t="str">
        <x:v>At least 5 observable manager families in at least 2 driver groups</x:v>
      </x:c>
      <x:c r="W608" s="48" t="str">
        <x:v>&gt;=0.35 separates; &lt;=0.15 does not separate; intermediate is inconclusive/confounded; direct driver-definition tests are CIRCULAR</x:v>
      </x:c>
      <x:c r="X608" s="48" t="str">
        <x:v>MANAGER_SELF_DESCRIPTION; NOT BEHAVIOURAL FREQUENCY</x:v>
      </x:c>
    </x:row>
    <x:row r="609">
      <x:c r="A609" s="48" t="str">
        <x:v>B_GOVERNANCE_SEGMENTATION</x:v>
      </x:c>
      <x:c r="B609" s="48" t="str">
        <x:v>Tier B v1.1 - N=29 rerun</x:v>
      </x:c>
      <x:c r="C609" s="48" t="str">
        <x:v>2026-07-16</x:v>
      </x:c>
      <x:c r="D609" s="48" t="str">
        <x:v>U08</x:v>
      </x:c>
      <x:c r="E609" s="48" t="str">
        <x:v>UNDERWRITING_DOCUMENTS</x:v>
      </x:c>
      <x:c r="F609" s="48" t="str">
        <x:v>Model and VCP linkage explicit</x:v>
      </x:c>
      <x:c r="G609" s="48" t="str">
        <x:v>source_vintage_bin</x:v>
      </x:c>
      <x:c r="H609" s="48" t="str">
        <x:v>2024_2026</x:v>
      </x:c>
      <x:c r="I609" s="48" t="str">
        <x:v>12</x:v>
      </x:c>
      <x:c r="J609" s="48" t="str">
        <x:v>11</x:v>
      </x:c>
      <x:c r="K609" s="48" t="str">
        <x:v>8</x:v>
      </x:c>
      <x:c r="L609" s="48" t="str">
        <x:v>0</x:v>
      </x:c>
      <x:c r="M609" s="48" t="str">
        <x:v>11</x:v>
      </x:c>
      <x:c r="N609" s="48" t="str">
        <x:v>1</x:v>
      </x:c>
      <x:c r="O609" s="48" t="str">
        <x:v>0</x:v>
      </x:c>
      <x:c r="P609" s="48" t="str">
        <x:v>0</x:v>
      </x:c>
      <x:c r="Q609" s="48" t="str">
        <x:v>1.000</x:v>
      </x:c>
      <x:c r="R609" s="48" t="str">
        <x:v>DRIVER DOES NOT SEPARATE</x:v>
      </x:c>
      <x:c r="S609" s="48" t="str">
        <x:v>0.000</x:v>
      </x:c>
      <x:c r="T609" s="48" t="str">
        <x:v>2018_2020:N=6,p=1.000; 2021_2023:N=11,p=1.000; 2024_2026:N=11,p=1.000</x:v>
      </x:c>
      <x:c r="U609" s="48" t="str">
        <x:v>Maximum-minus-minimum prevalence among adequately observed groups is no more than 0.15.</x:v>
      </x:c>
      <x:c r="V609" s="48" t="str">
        <x:v>At least 5 observable manager families in at least 2 driver groups</x:v>
      </x:c>
      <x:c r="W609" s="48" t="str">
        <x:v>&gt;=0.35 separates; &lt;=0.15 does not separate; intermediate is inconclusive/confounded; direct driver-definition tests are CIRCULAR</x:v>
      </x:c>
      <x:c r="X609" s="48" t="str">
        <x:v>MANAGER_SELF_DESCRIPTION; NOT BEHAVIOURAL FREQUENCY</x:v>
      </x:c>
    </x:row>
    <x:row r="610">
      <x:c r="A610" s="48" t="str">
        <x:v>B_GOVERNANCE_SEGMENTATION</x:v>
      </x:c>
      <x:c r="B610" s="48" t="str">
        <x:v>Tier B v1.1 - N=29 rerun</x:v>
      </x:c>
      <x:c r="C610" s="48" t="str">
        <x:v>2026-07-16</x:v>
      </x:c>
      <x:c r="D610" s="48" t="str">
        <x:v>U08</x:v>
      </x:c>
      <x:c r="E610" s="48" t="str">
        <x:v>UNDERWRITING_DOCUMENTS</x:v>
      </x:c>
      <x:c r="F610" s="48" t="str">
        <x:v>Model and VCP linkage explicit</x:v>
      </x:c>
      <x:c r="G610" s="48" t="str">
        <x:v>governance_architecture</x:v>
      </x:c>
      <x:c r="H610" s="48" t="str">
        <x:v>IC_FINAL_OR_DE_FACTO</x:v>
      </x:c>
      <x:c r="I610" s="48" t="str">
        <x:v>26</x:v>
      </x:c>
      <x:c r="J610" s="48" t="str">
        <x:v>25</x:v>
      </x:c>
      <x:c r="K610" s="48" t="str">
        <x:v>13</x:v>
      </x:c>
      <x:c r="L610" s="48" t="str">
        <x:v>0</x:v>
      </x:c>
      <x:c r="M610" s="48" t="str">
        <x:v>25</x:v>
      </x:c>
      <x:c r="N610" s="48" t="str">
        <x:v>1</x:v>
      </x:c>
      <x:c r="O610" s="48" t="str">
        <x:v>0</x:v>
      </x:c>
      <x:c r="P610" s="48" t="str">
        <x:v>0</x:v>
      </x:c>
      <x:c r="Q610" s="48" t="str">
        <x:v>1.000</x:v>
      </x:c>
      <x:c r="R610" s="48" t="str">
        <x:v>N TOO SMALL</x:v>
      </x:c>
      <x:c r="S610" s="48" t="str"/>
      <x:c r="T610" s="48" t="str">
        <x:v>IC_FINAL_OR_DE_FACTO:N=25,p=1.000</x:v>
      </x:c>
      <x:c r="U610" s="48" t="str">
        <x:v>Fewer than two driver groups have at least 5 observable manager families.</x:v>
      </x:c>
      <x:c r="V610" s="48" t="str">
        <x:v>At least 5 observable manager families in at least 2 driver groups</x:v>
      </x:c>
      <x:c r="W610" s="48" t="str">
        <x:v>&gt;=0.35 separates; &lt;=0.15 does not separate; intermediate is inconclusive/confounded; direct driver-definition tests are CIRCULAR</x:v>
      </x:c>
      <x:c r="X610" s="48" t="str">
        <x:v>MANAGER_SELF_DESCRIPTION; NOT BEHAVIOURAL FREQUENCY</x:v>
      </x:c>
    </x:row>
    <x:row r="611">
      <x:c r="A611" s="48" t="str">
        <x:v>B_GOVERNANCE_SEGMENTATION</x:v>
      </x:c>
      <x:c r="B611" s="48" t="str">
        <x:v>Tier B v1.1 - N=29 rerun</x:v>
      </x:c>
      <x:c r="C611" s="48" t="str">
        <x:v>2026-07-16</x:v>
      </x:c>
      <x:c r="D611" s="48" t="str">
        <x:v>U08</x:v>
      </x:c>
      <x:c r="E611" s="48" t="str">
        <x:v>UNDERWRITING_DOCUMENTS</x:v>
      </x:c>
      <x:c r="F611" s="48" t="str">
        <x:v>Model and VCP linkage explicit</x:v>
      </x:c>
      <x:c r="G611" s="48" t="str">
        <x:v>governance_architecture</x:v>
      </x:c>
      <x:c r="H611" s="48" t="str">
        <x:v>IC_RECOMMENDS_SEPARATE_FINAL_AUTHORITY</x:v>
      </x:c>
      <x:c r="I611" s="48" t="str">
        <x:v>3</x:v>
      </x:c>
      <x:c r="J611" s="48" t="str">
        <x:v>3</x:v>
      </x:c>
      <x:c r="K611" s="48" t="str">
        <x:v>2</x:v>
      </x:c>
      <x:c r="L611" s="48" t="str">
        <x:v>0</x:v>
      </x:c>
      <x:c r="M611" s="48" t="str">
        <x:v>3</x:v>
      </x:c>
      <x:c r="N611" s="48" t="str">
        <x:v>0</x:v>
      </x:c>
      <x:c r="O611" s="48" t="str">
        <x:v>0</x:v>
      </x:c>
      <x:c r="P611" s="48" t="str">
        <x:v>0</x:v>
      </x:c>
      <x:c r="Q611" s="48" t="str">
        <x:v>1.000</x:v>
      </x:c>
      <x:c r="R611" s="48" t="str">
        <x:v>N TOO SMALL</x:v>
      </x:c>
      <x:c r="S611" s="48" t="str"/>
      <x:c r="T611" s="48" t="str">
        <x:v>IC_FINAL_OR_DE_FACTO:N=25,p=1.000</x:v>
      </x:c>
      <x:c r="U611" s="48" t="str">
        <x:v>Fewer than two driver groups have at least 5 observable manager families.</x:v>
      </x:c>
      <x:c r="V611" s="48" t="str">
        <x:v>At least 5 observable manager families in at least 2 driver groups</x:v>
      </x:c>
      <x:c r="W611" s="48" t="str">
        <x:v>&gt;=0.35 separates; &lt;=0.15 does not separate; intermediate is inconclusive/confounded; direct driver-definition tests are CIRCULAR</x:v>
      </x:c>
      <x:c r="X611" s="48" t="str">
        <x:v>MANAGER_SELF_DESCRIPTION; NOT BEHAVIOURAL FREQUENCY</x:v>
      </x:c>
    </x:row>
    <x:row r="612">
      <x:c r="A612" s="48" t="str">
        <x:v>B_GOVERNANCE_SEGMENTATION</x:v>
      </x:c>
      <x:c r="B612" s="48" t="str">
        <x:v>Tier B v1.1 - N=29 rerun</x:v>
      </x:c>
      <x:c r="C612" s="48" t="str">
        <x:v>2026-07-16</x:v>
      </x:c>
      <x:c r="D612" s="48" t="str">
        <x:v>U08</x:v>
      </x:c>
      <x:c r="E612" s="48" t="str">
        <x:v>UNDERWRITING_DOCUMENTS</x:v>
      </x:c>
      <x:c r="F612" s="48" t="str">
        <x:v>Model and VCP linkage explicit</x:v>
      </x:c>
      <x:c r="G612" s="48" t="str">
        <x:v>dedicated_operating_team</x:v>
      </x:c>
      <x:c r="H612" s="48" t="str">
        <x:v>NO_OR_LIMITED</x:v>
      </x:c>
      <x:c r="I612" s="48" t="str">
        <x:v>6</x:v>
      </x:c>
      <x:c r="J612" s="48" t="str">
        <x:v>6</x:v>
      </x:c>
      <x:c r="K612" s="48" t="str">
        <x:v>6</x:v>
      </x:c>
      <x:c r="L612" s="48" t="str">
        <x:v>0</x:v>
      </x:c>
      <x:c r="M612" s="48" t="str">
        <x:v>6</x:v>
      </x:c>
      <x:c r="N612" s="48" t="str">
        <x:v>0</x:v>
      </x:c>
      <x:c r="O612" s="48" t="str">
        <x:v>0</x:v>
      </x:c>
      <x:c r="P612" s="48" t="str">
        <x:v>0</x:v>
      </x:c>
      <x:c r="Q612" s="48" t="str">
        <x:v>1.000</x:v>
      </x:c>
      <x:c r="R612" s="48" t="str">
        <x:v>DRIVER DOES NOT SEPARATE</x:v>
      </x:c>
      <x:c r="S612" s="48" t="str">
        <x:v>0.000</x:v>
      </x:c>
      <x:c r="T612" s="48" t="str">
        <x:v>NO_OR_LIMITED:N=6,p=1.000; YES_DEDICATED:N=22,p=1.000</x:v>
      </x:c>
      <x:c r="U612" s="48" t="str">
        <x:v>Maximum-minus-minimum prevalence among adequately observed groups is no more than 0.15.</x:v>
      </x:c>
      <x:c r="V612" s="48" t="str">
        <x:v>At least 5 observable manager families in at least 2 driver groups</x:v>
      </x:c>
      <x:c r="W612" s="48" t="str">
        <x:v>&gt;=0.35 separates; &lt;=0.15 does not separate; intermediate is inconclusive/confounded; direct driver-definition tests are CIRCULAR</x:v>
      </x:c>
      <x:c r="X612" s="48" t="str">
        <x:v>MANAGER_SELF_DESCRIPTION; NOT BEHAVIOURAL FREQUENCY</x:v>
      </x:c>
    </x:row>
    <x:row r="613">
      <x:c r="A613" s="48" t="str">
        <x:v>B_GOVERNANCE_SEGMENTATION</x:v>
      </x:c>
      <x:c r="B613" s="48" t="str">
        <x:v>Tier B v1.1 - N=29 rerun</x:v>
      </x:c>
      <x:c r="C613" s="48" t="str">
        <x:v>2026-07-16</x:v>
      </x:c>
      <x:c r="D613" s="48" t="str">
        <x:v>U08</x:v>
      </x:c>
      <x:c r="E613" s="48" t="str">
        <x:v>UNDERWRITING_DOCUMENTS</x:v>
      </x:c>
      <x:c r="F613" s="48" t="str">
        <x:v>Model and VCP linkage explicit</x:v>
      </x:c>
      <x:c r="G613" s="48" t="str">
        <x:v>dedicated_operating_team</x:v>
      </x:c>
      <x:c r="H613" s="48" t="str">
        <x:v>YES_DEDICATED</x:v>
      </x:c>
      <x:c r="I613" s="48" t="str">
        <x:v>23</x:v>
      </x:c>
      <x:c r="J613" s="48" t="str">
        <x:v>22</x:v>
      </x:c>
      <x:c r="K613" s="48" t="str">
        <x:v>9</x:v>
      </x:c>
      <x:c r="L613" s="48" t="str">
        <x:v>0</x:v>
      </x:c>
      <x:c r="M613" s="48" t="str">
        <x:v>22</x:v>
      </x:c>
      <x:c r="N613" s="48" t="str">
        <x:v>1</x:v>
      </x:c>
      <x:c r="O613" s="48" t="str">
        <x:v>0</x:v>
      </x:c>
      <x:c r="P613" s="48" t="str">
        <x:v>0</x:v>
      </x:c>
      <x:c r="Q613" s="48" t="str">
        <x:v>1.000</x:v>
      </x:c>
      <x:c r="R613" s="48" t="str">
        <x:v>DRIVER DOES NOT SEPARATE</x:v>
      </x:c>
      <x:c r="S613" s="48" t="str">
        <x:v>0.000</x:v>
      </x:c>
      <x:c r="T613" s="48" t="str">
        <x:v>NO_OR_LIMITED:N=6,p=1.000; YES_DEDICATED:N=22,p=1.000</x:v>
      </x:c>
      <x:c r="U613" s="48" t="str">
        <x:v>Maximum-minus-minimum prevalence among adequately observed groups is no more than 0.15.</x:v>
      </x:c>
      <x:c r="V613" s="48" t="str">
        <x:v>At least 5 observable manager families in at least 2 driver groups</x:v>
      </x:c>
      <x:c r="W613" s="48" t="str">
        <x:v>&gt;=0.35 separates; &lt;=0.15 does not separate; intermediate is inconclusive/confounded; direct driver-definition tests are CIRCULAR</x:v>
      </x:c>
      <x:c r="X613" s="48" t="str">
        <x:v>MANAGER_SELF_DESCRIPTION; NOT BEHAVIOURAL FREQUENCY</x:v>
      </x:c>
    </x:row>
    <x:row r="614">
      <x:c r="A614" s="48" t="str">
        <x:v>B_GOVERNANCE_SEGMENTATION</x:v>
      </x:c>
      <x:c r="B614" s="48" t="str">
        <x:v>Tier B v1.1 - N=29 rerun</x:v>
      </x:c>
      <x:c r="C614" s="48" t="str">
        <x:v>2026-07-16</x:v>
      </x:c>
      <x:c r="D614" s="48" t="str">
        <x:v>U09</x:v>
      </x:c>
      <x:c r="E614" s="48" t="str">
        <x:v>UNDERWRITING_DOCUMENTS</x:v>
      </x:c>
      <x:c r="F614" s="48" t="str">
        <x:v>100-day or 180-day plan before or immediately after close</x:v>
      </x:c>
      <x:c r="G614" s="48" t="str">
        <x:v>fund_size_archetype</x:v>
      </x:c>
      <x:c r="H614" s="48" t="str">
        <x:v>LARGE_2_TO_LT_5B</x:v>
      </x:c>
      <x:c r="I614" s="48" t="str">
        <x:v>9</x:v>
      </x:c>
      <x:c r="J614" s="48" t="str">
        <x:v>9</x:v>
      </x:c>
      <x:c r="K614" s="48" t="str">
        <x:v>4</x:v>
      </x:c>
      <x:c r="L614" s="48" t="str">
        <x:v>0</x:v>
      </x:c>
      <x:c r="M614" s="48" t="str">
        <x:v>9</x:v>
      </x:c>
      <x:c r="N614" s="48" t="str">
        <x:v>0</x:v>
      </x:c>
      <x:c r="O614" s="48" t="str">
        <x:v>0</x:v>
      </x:c>
      <x:c r="P614" s="48" t="str">
        <x:v>0</x:v>
      </x:c>
      <x:c r="Q614" s="48" t="str">
        <x:v>1.000</x:v>
      </x:c>
      <x:c r="R614" s="48" t="str">
        <x:v>INCONCLUSIVE OR CONFOUNDED</x:v>
      </x:c>
      <x:c r="S614" s="48" t="str">
        <x:v>0.167</x:v>
      </x:c>
      <x:c r="T614" s="48" t="str">
        <x:v>LARGE_2_TO_LT_5B:N=9,p=1.000; LOWER_MID_LT_2B:N=6,p=0.833; MEGA_GE_5B:N=9,p=1.000</x:v>
      </x:c>
      <x:c r="U614" s="48" t="str">
        <x:v>Adequate groups differ, but the maximum-minus-minimum prevalence lies between 0.15 and 0.35.</x:v>
      </x:c>
      <x:c r="V614" s="48" t="str">
        <x:v>At least 5 observable manager families in at least 2 driver groups</x:v>
      </x:c>
      <x:c r="W614" s="48" t="str">
        <x:v>&gt;=0.35 separates; &lt;=0.15 does not separate; intermediate is inconclusive/confounded; direct driver-definition tests are CIRCULAR</x:v>
      </x:c>
      <x:c r="X614" s="48" t="str">
        <x:v>MANAGER_SELF_DESCRIPTION; NOT BEHAVIOURAL FREQUENCY</x:v>
      </x:c>
    </x:row>
    <x:row r="615">
      <x:c r="A615" s="48" t="str">
        <x:v>B_GOVERNANCE_SEGMENTATION</x:v>
      </x:c>
      <x:c r="B615" s="48" t="str">
        <x:v>Tier B v1.1 - N=29 rerun</x:v>
      </x:c>
      <x:c r="C615" s="48" t="str">
        <x:v>2026-07-16</x:v>
      </x:c>
      <x:c r="D615" s="48" t="str">
        <x:v>U09</x:v>
      </x:c>
      <x:c r="E615" s="48" t="str">
        <x:v>UNDERWRITING_DOCUMENTS</x:v>
      </x:c>
      <x:c r="F615" s="48" t="str">
        <x:v>100-day or 180-day plan before or immediately after close</x:v>
      </x:c>
      <x:c r="G615" s="48" t="str">
        <x:v>fund_size_archetype</x:v>
      </x:c>
      <x:c r="H615" s="48" t="str">
        <x:v>LOWER_MID_LT_2B</x:v>
      </x:c>
      <x:c r="I615" s="48" t="str">
        <x:v>8</x:v>
      </x:c>
      <x:c r="J615" s="48" t="str">
        <x:v>5</x:v>
      </x:c>
      <x:c r="K615" s="48" t="str">
        <x:v>1</x:v>
      </x:c>
      <x:c r="L615" s="48" t="str">
        <x:v>1</x:v>
      </x:c>
      <x:c r="M615" s="48" t="str">
        <x:v>6</x:v>
      </x:c>
      <x:c r="N615" s="48" t="str">
        <x:v>2</x:v>
      </x:c>
      <x:c r="O615" s="48" t="str">
        <x:v>0</x:v>
      </x:c>
      <x:c r="P615" s="48" t="str">
        <x:v>0</x:v>
      </x:c>
      <x:c r="Q615" s="48" t="str">
        <x:v>0.833</x:v>
      </x:c>
      <x:c r="R615" s="48" t="str">
        <x:v>INCONCLUSIVE OR CONFOUNDED</x:v>
      </x:c>
      <x:c r="S615" s="48" t="str">
        <x:v>0.167</x:v>
      </x:c>
      <x:c r="T615" s="48" t="str">
        <x:v>LARGE_2_TO_LT_5B:N=9,p=1.000; LOWER_MID_LT_2B:N=6,p=0.833; MEGA_GE_5B:N=9,p=1.000</x:v>
      </x:c>
      <x:c r="U615" s="48" t="str">
        <x:v>Adequate groups differ, but the maximum-minus-minimum prevalence lies between 0.15 and 0.35.</x:v>
      </x:c>
      <x:c r="V615" s="48" t="str">
        <x:v>At least 5 observable manager families in at least 2 driver groups</x:v>
      </x:c>
      <x:c r="W615" s="48" t="str">
        <x:v>&gt;=0.35 separates; &lt;=0.15 does not separate; intermediate is inconclusive/confounded; direct driver-definition tests are CIRCULAR</x:v>
      </x:c>
      <x:c r="X615" s="48" t="str">
        <x:v>MANAGER_SELF_DESCRIPTION; NOT BEHAVIOURAL FREQUENCY</x:v>
      </x:c>
    </x:row>
    <x:row r="616">
      <x:c r="A616" s="48" t="str">
        <x:v>B_GOVERNANCE_SEGMENTATION</x:v>
      </x:c>
      <x:c r="B616" s="48" t="str">
        <x:v>Tier B v1.1 - N=29 rerun</x:v>
      </x:c>
      <x:c r="C616" s="48" t="str">
        <x:v>2026-07-16</x:v>
      </x:c>
      <x:c r="D616" s="48" t="str">
        <x:v>U09</x:v>
      </x:c>
      <x:c r="E616" s="48" t="str">
        <x:v>UNDERWRITING_DOCUMENTS</x:v>
      </x:c>
      <x:c r="F616" s="48" t="str">
        <x:v>100-day or 180-day plan before or immediately after close</x:v>
      </x:c>
      <x:c r="G616" s="48" t="str">
        <x:v>fund_size_archetype</x:v>
      </x:c>
      <x:c r="H616" s="48" t="str">
        <x:v>MEGA_GE_5B</x:v>
      </x:c>
      <x:c r="I616" s="48" t="str">
        <x:v>11</x:v>
      </x:c>
      <x:c r="J616" s="48" t="str">
        <x:v>9</x:v>
      </x:c>
      <x:c r="K616" s="48" t="str">
        <x:v>6</x:v>
      </x:c>
      <x:c r="L616" s="48" t="str">
        <x:v>0</x:v>
      </x:c>
      <x:c r="M616" s="48" t="str">
        <x:v>9</x:v>
      </x:c>
      <x:c r="N616" s="48" t="str">
        <x:v>2</x:v>
      </x:c>
      <x:c r="O616" s="48" t="str">
        <x:v>0</x:v>
      </x:c>
      <x:c r="P616" s="48" t="str">
        <x:v>0</x:v>
      </x:c>
      <x:c r="Q616" s="48" t="str">
        <x:v>1.000</x:v>
      </x:c>
      <x:c r="R616" s="48" t="str">
        <x:v>INCONCLUSIVE OR CONFOUNDED</x:v>
      </x:c>
      <x:c r="S616" s="48" t="str">
        <x:v>0.167</x:v>
      </x:c>
      <x:c r="T616" s="48" t="str">
        <x:v>LARGE_2_TO_LT_5B:N=9,p=1.000; LOWER_MID_LT_2B:N=6,p=0.833; MEGA_GE_5B:N=9,p=1.000</x:v>
      </x:c>
      <x:c r="U616" s="48" t="str">
        <x:v>Adequate groups differ, but the maximum-minus-minimum prevalence lies between 0.15 and 0.35.</x:v>
      </x:c>
      <x:c r="V616" s="48" t="str">
        <x:v>At least 5 observable manager families in at least 2 driver groups</x:v>
      </x:c>
      <x:c r="W616" s="48" t="str">
        <x:v>&gt;=0.35 separates; &lt;=0.15 does not separate; intermediate is inconclusive/confounded; direct driver-definition tests are CIRCULAR</x:v>
      </x:c>
      <x:c r="X616" s="48" t="str">
        <x:v>MANAGER_SELF_DESCRIPTION; NOT BEHAVIOURAL FREQUENCY</x:v>
      </x:c>
    </x:row>
    <x:row r="617">
      <x:c r="A617" s="48" t="str">
        <x:v>B_GOVERNANCE_SEGMENTATION</x:v>
      </x:c>
      <x:c r="B617" s="48" t="str">
        <x:v>Tier B v1.1 - N=29 rerun</x:v>
      </x:c>
      <x:c r="C617" s="48" t="str">
        <x:v>2026-07-16</x:v>
      </x:c>
      <x:c r="D617" s="48" t="str">
        <x:v>U09</x:v>
      </x:c>
      <x:c r="E617" s="48" t="str">
        <x:v>UNDERWRITING_DOCUMENTS</x:v>
      </x:c>
      <x:c r="F617" s="48" t="str">
        <x:v>100-day or 180-day plan before or immediately after close</x:v>
      </x:c>
      <x:c r="G617" s="48" t="str">
        <x:v>fund_size_archetype</x:v>
      </x:c>
      <x:c r="H617" s="48" t="str">
        <x:v>NOT_APPLICABLE</x:v>
      </x:c>
      <x:c r="I617" s="48" t="str">
        <x:v>1</x:v>
      </x:c>
      <x:c r="J617" s="48" t="str">
        <x:v>1</x:v>
      </x:c>
      <x:c r="K617" s="48" t="str">
        <x:v>1</x:v>
      </x:c>
      <x:c r="L617" s="48" t="str">
        <x:v>0</x:v>
      </x:c>
      <x:c r="M617" s="48" t="str">
        <x:v>1</x:v>
      </x:c>
      <x:c r="N617" s="48" t="str">
        <x:v>0</x:v>
      </x:c>
      <x:c r="O617" s="48" t="str">
        <x:v>0</x:v>
      </x:c>
      <x:c r="P617" s="48" t="str">
        <x:v>0</x:v>
      </x:c>
      <x:c r="Q617" s="48" t="str">
        <x:v>1.000</x:v>
      </x:c>
      <x:c r="R617" s="48" t="str">
        <x:v>INCONCLUSIVE OR CONFOUNDED</x:v>
      </x:c>
      <x:c r="S617" s="48" t="str">
        <x:v>0.167</x:v>
      </x:c>
      <x:c r="T617" s="48" t="str">
        <x:v>LARGE_2_TO_LT_5B:N=9,p=1.000; LOWER_MID_LT_2B:N=6,p=0.833; MEGA_GE_5B:N=9,p=1.000</x:v>
      </x:c>
      <x:c r="U617" s="48" t="str">
        <x:v>Adequate groups differ, but the maximum-minus-minimum prevalence lies between 0.15 and 0.35.</x:v>
      </x:c>
      <x:c r="V617" s="48" t="str">
        <x:v>At least 5 observable manager families in at least 2 driver groups</x:v>
      </x:c>
      <x:c r="W617" s="48" t="str">
        <x:v>&gt;=0.35 separates; &lt;=0.15 does not separate; intermediate is inconclusive/confounded; direct driver-definition tests are CIRCULAR</x:v>
      </x:c>
      <x:c r="X617" s="48" t="str">
        <x:v>MANAGER_SELF_DESCRIPTION; NOT BEHAVIOURAL FREQUENCY</x:v>
      </x:c>
    </x:row>
    <x:row r="618">
      <x:c r="A618" s="48" t="str">
        <x:v>B_GOVERNANCE_SEGMENTATION</x:v>
      </x:c>
      <x:c r="B618" s="48" t="str">
        <x:v>Tier B v1.1 - N=29 rerun</x:v>
      </x:c>
      <x:c r="C618" s="48" t="str">
        <x:v>2026-07-16</x:v>
      </x:c>
      <x:c r="D618" s="48" t="str">
        <x:v>U09</x:v>
      </x:c>
      <x:c r="E618" s="48" t="str">
        <x:v>UNDERWRITING_DOCUMENTS</x:v>
      </x:c>
      <x:c r="F618" s="48" t="str">
        <x:v>100-day or 180-day plan before or immediately after close</x:v>
      </x:c>
      <x:c r="G618" s="48" t="str">
        <x:v>strategy</x:v>
      </x:c>
      <x:c r="H618" s="48" t="str">
        <x:v>CONTROL_BUYOUT</x:v>
      </x:c>
      <x:c r="I618" s="48" t="str">
        <x:v>22</x:v>
      </x:c>
      <x:c r="J618" s="48" t="str">
        <x:v>19</x:v>
      </x:c>
      <x:c r="K618" s="48" t="str">
        <x:v>7</x:v>
      </x:c>
      <x:c r="L618" s="48" t="str">
        <x:v>0</x:v>
      </x:c>
      <x:c r="M618" s="48" t="str">
        <x:v>19</x:v>
      </x:c>
      <x:c r="N618" s="48" t="str">
        <x:v>3</x:v>
      </x:c>
      <x:c r="O618" s="48" t="str">
        <x:v>0</x:v>
      </x:c>
      <x:c r="P618" s="48" t="str">
        <x:v>0</x:v>
      </x:c>
      <x:c r="Q618" s="48" t="str">
        <x:v>1.000</x:v>
      </x:c>
      <x:c r="R618" s="48" t="str">
        <x:v>INCONCLUSIVE OR CONFOUNDED</x:v>
      </x:c>
      <x:c r="S618" s="48" t="str">
        <x:v>0.200</x:v>
      </x:c>
      <x:c r="T618" s="48" t="str">
        <x:v>CONTROL_BUYOUT:N=19,p=1.000; GROWTH_CONTROL_HYBRID:N=5,p=0.800</x:v>
      </x:c>
      <x:c r="U618" s="48" t="str">
        <x:v>Adequate groups differ, but the maximum-minus-minimum prevalence lies between 0.15 and 0.35.</x:v>
      </x:c>
      <x:c r="V618" s="48" t="str">
        <x:v>At least 5 observable manager families in at least 2 driver groups</x:v>
      </x:c>
      <x:c r="W618" s="48" t="str">
        <x:v>&gt;=0.35 separates; &lt;=0.15 does not separate; intermediate is inconclusive/confounded; direct driver-definition tests are CIRCULAR</x:v>
      </x:c>
      <x:c r="X618" s="48" t="str">
        <x:v>MANAGER_SELF_DESCRIPTION; NOT BEHAVIOURAL FREQUENCY</x:v>
      </x:c>
    </x:row>
    <x:row r="619">
      <x:c r="A619" s="48" t="str">
        <x:v>B_GOVERNANCE_SEGMENTATION</x:v>
      </x:c>
      <x:c r="B619" s="48" t="str">
        <x:v>Tier B v1.1 - N=29 rerun</x:v>
      </x:c>
      <x:c r="C619" s="48" t="str">
        <x:v>2026-07-16</x:v>
      </x:c>
      <x:c r="D619" s="48" t="str">
        <x:v>U09</x:v>
      </x:c>
      <x:c r="E619" s="48" t="str">
        <x:v>UNDERWRITING_DOCUMENTS</x:v>
      </x:c>
      <x:c r="F619" s="48" t="str">
        <x:v>100-day or 180-day plan before or immediately after close</x:v>
      </x:c>
      <x:c r="G619" s="48" t="str">
        <x:v>strategy</x:v>
      </x:c>
      <x:c r="H619" s="48" t="str">
        <x:v>GROWTH_CONTROL_HYBRID</x:v>
      </x:c>
      <x:c r="I619" s="48" t="str">
        <x:v>6</x:v>
      </x:c>
      <x:c r="J619" s="48" t="str">
        <x:v>4</x:v>
      </x:c>
      <x:c r="K619" s="48" t="str">
        <x:v>4</x:v>
      </x:c>
      <x:c r="L619" s="48" t="str">
        <x:v>1</x:v>
      </x:c>
      <x:c r="M619" s="48" t="str">
        <x:v>5</x:v>
      </x:c>
      <x:c r="N619" s="48" t="str">
        <x:v>1</x:v>
      </x:c>
      <x:c r="O619" s="48" t="str">
        <x:v>0</x:v>
      </x:c>
      <x:c r="P619" s="48" t="str">
        <x:v>0</x:v>
      </x:c>
      <x:c r="Q619" s="48" t="str">
        <x:v>0.800</x:v>
      </x:c>
      <x:c r="R619" s="48" t="str">
        <x:v>INCONCLUSIVE OR CONFOUNDED</x:v>
      </x:c>
      <x:c r="S619" s="48" t="str">
        <x:v>0.200</x:v>
      </x:c>
      <x:c r="T619" s="48" t="str">
        <x:v>CONTROL_BUYOUT:N=19,p=1.000; GROWTH_CONTROL_HYBRID:N=5,p=0.800</x:v>
      </x:c>
      <x:c r="U619" s="48" t="str">
        <x:v>Adequate groups differ, but the maximum-minus-minimum prevalence lies between 0.15 and 0.35.</x:v>
      </x:c>
      <x:c r="V619" s="48" t="str">
        <x:v>At least 5 observable manager families in at least 2 driver groups</x:v>
      </x:c>
      <x:c r="W619" s="48" t="str">
        <x:v>&gt;=0.35 separates; &lt;=0.15 does not separate; intermediate is inconclusive/confounded; direct driver-definition tests are CIRCULAR</x:v>
      </x:c>
      <x:c r="X619" s="48" t="str">
        <x:v>MANAGER_SELF_DESCRIPTION; NOT BEHAVIOURAL FREQUENCY</x:v>
      </x:c>
    </x:row>
    <x:row r="620">
      <x:c r="A620" s="48" t="str">
        <x:v>B_GOVERNANCE_SEGMENTATION</x:v>
      </x:c>
      <x:c r="B620" s="48" t="str">
        <x:v>Tier B v1.1 - N=29 rerun</x:v>
      </x:c>
      <x:c r="C620" s="48" t="str">
        <x:v>2026-07-16</x:v>
      </x:c>
      <x:c r="D620" s="48" t="str">
        <x:v>U09</x:v>
      </x:c>
      <x:c r="E620" s="48" t="str">
        <x:v>UNDERWRITING_DOCUMENTS</x:v>
      </x:c>
      <x:c r="F620" s="48" t="str">
        <x:v>100-day or 180-day plan before or immediately after close</x:v>
      </x:c>
      <x:c r="G620" s="48" t="str">
        <x:v>strategy</x:v>
      </x:c>
      <x:c r="H620" s="48" t="str">
        <x:v>OPPORTUNISTIC_CONTROL</x:v>
      </x:c>
      <x:c r="I620" s="48" t="str">
        <x:v>1</x:v>
      </x:c>
      <x:c r="J620" s="48" t="str">
        <x:v>1</x:v>
      </x:c>
      <x:c r="K620" s="48" t="str">
        <x:v>1</x:v>
      </x:c>
      <x:c r="L620" s="48" t="str">
        <x:v>0</x:v>
      </x:c>
      <x:c r="M620" s="48" t="str">
        <x:v>1</x:v>
      </x:c>
      <x:c r="N620" s="48" t="str">
        <x:v>0</x:v>
      </x:c>
      <x:c r="O620" s="48" t="str">
        <x:v>0</x:v>
      </x:c>
      <x:c r="P620" s="48" t="str">
        <x:v>0</x:v>
      </x:c>
      <x:c r="Q620" s="48" t="str">
        <x:v>1.000</x:v>
      </x:c>
      <x:c r="R620" s="48" t="str">
        <x:v>INCONCLUSIVE OR CONFOUNDED</x:v>
      </x:c>
      <x:c r="S620" s="48" t="str">
        <x:v>0.200</x:v>
      </x:c>
      <x:c r="T620" s="48" t="str">
        <x:v>CONTROL_BUYOUT:N=19,p=1.000; GROWTH_CONTROL_HYBRID:N=5,p=0.800</x:v>
      </x:c>
      <x:c r="U620" s="48" t="str">
        <x:v>Adequate groups differ, but the maximum-minus-minimum prevalence lies between 0.15 and 0.35.</x:v>
      </x:c>
      <x:c r="V620" s="48" t="str">
        <x:v>At least 5 observable manager families in at least 2 driver groups</x:v>
      </x:c>
      <x:c r="W620" s="48" t="str">
        <x:v>&gt;=0.35 separates; &lt;=0.15 does not separate; intermediate is inconclusive/confounded; direct driver-definition tests are CIRCULAR</x:v>
      </x:c>
      <x:c r="X620" s="48" t="str">
        <x:v>MANAGER_SELF_DESCRIPTION; NOT BEHAVIOURAL FREQUENCY</x:v>
      </x:c>
    </x:row>
    <x:row r="621">
      <x:c r="A621" s="48" t="str">
        <x:v>B_GOVERNANCE_SEGMENTATION</x:v>
      </x:c>
      <x:c r="B621" s="48" t="str">
        <x:v>Tier B v1.1 - N=29 rerun</x:v>
      </x:c>
      <x:c r="C621" s="48" t="str">
        <x:v>2026-07-16</x:v>
      </x:c>
      <x:c r="D621" s="48" t="str">
        <x:v>U09</x:v>
      </x:c>
      <x:c r="E621" s="48" t="str">
        <x:v>UNDERWRITING_DOCUMENTS</x:v>
      </x:c>
      <x:c r="F621" s="48" t="str">
        <x:v>100-day or 180-day plan before or immediately after close</x:v>
      </x:c>
      <x:c r="G621" s="48" t="str">
        <x:v>geography</x:v>
      </x:c>
      <x:c r="H621" s="48" t="str">
        <x:v>ASIA_PACIFIC</x:v>
      </x:c>
      <x:c r="I621" s="48" t="str">
        <x:v>4</x:v>
      </x:c>
      <x:c r="J621" s="48" t="str">
        <x:v>3</x:v>
      </x:c>
      <x:c r="K621" s="48" t="str">
        <x:v>1</x:v>
      </x:c>
      <x:c r="L621" s="48" t="str">
        <x:v>0</x:v>
      </x:c>
      <x:c r="M621" s="48" t="str">
        <x:v>3</x:v>
      </x:c>
      <x:c r="N621" s="48" t="str">
        <x:v>1</x:v>
      </x:c>
      <x:c r="O621" s="48" t="str">
        <x:v>0</x:v>
      </x:c>
      <x:c r="P621" s="48" t="str">
        <x:v>0</x:v>
      </x:c>
      <x:c r="Q621" s="48" t="str">
        <x:v>1.000</x:v>
      </x:c>
      <x:c r="R621" s="48" t="str">
        <x:v>DRIVER DOES NOT SEPARATE</x:v>
      </x:c>
      <x:c r="S621" s="48" t="str">
        <x:v>0.083</x:v>
      </x:c>
      <x:c r="T621" s="48" t="str">
        <x:v>GLOBAL_TRANSATLANTIC:N=9,p=1.000; NORTH_AMERICA:N=12,p=0.917</x:v>
      </x:c>
      <x:c r="U621" s="48" t="str">
        <x:v>Maximum-minus-minimum prevalence among adequately observed groups is no more than 0.15.</x:v>
      </x:c>
      <x:c r="V621" s="48" t="str">
        <x:v>At least 5 observable manager families in at least 2 driver groups</x:v>
      </x:c>
      <x:c r="W621" s="48" t="str">
        <x:v>&gt;=0.35 separates; &lt;=0.15 does not separate; intermediate is inconclusive/confounded; direct driver-definition tests are CIRCULAR</x:v>
      </x:c>
      <x:c r="X621" s="48" t="str">
        <x:v>MANAGER_SELF_DESCRIPTION; NOT BEHAVIOURAL FREQUENCY</x:v>
      </x:c>
    </x:row>
    <x:row r="622">
      <x:c r="A622" s="48" t="str">
        <x:v>B_GOVERNANCE_SEGMENTATION</x:v>
      </x:c>
      <x:c r="B622" s="48" t="str">
        <x:v>Tier B v1.1 - N=29 rerun</x:v>
      </x:c>
      <x:c r="C622" s="48" t="str">
        <x:v>2026-07-16</x:v>
      </x:c>
      <x:c r="D622" s="48" t="str">
        <x:v>U09</x:v>
      </x:c>
      <x:c r="E622" s="48" t="str">
        <x:v>UNDERWRITING_DOCUMENTS</x:v>
      </x:c>
      <x:c r="F622" s="48" t="str">
        <x:v>100-day or 180-day plan before or immediately after close</x:v>
      </x:c>
      <x:c r="G622" s="48" t="str">
        <x:v>geography</x:v>
      </x:c>
      <x:c r="H622" s="48" t="str">
        <x:v>EUROPE</x:v>
      </x:c>
      <x:c r="I622" s="48" t="str">
        <x:v>2</x:v>
      </x:c>
      <x:c r="J622" s="48" t="str">
        <x:v>1</x:v>
      </x:c>
      <x:c r="K622" s="48" t="str">
        <x:v>1</x:v>
      </x:c>
      <x:c r="L622" s="48" t="str">
        <x:v>0</x:v>
      </x:c>
      <x:c r="M622" s="48" t="str">
        <x:v>1</x:v>
      </x:c>
      <x:c r="N622" s="48" t="str">
        <x:v>1</x:v>
      </x:c>
      <x:c r="O622" s="48" t="str">
        <x:v>0</x:v>
      </x:c>
      <x:c r="P622" s="48" t="str">
        <x:v>0</x:v>
      </x:c>
      <x:c r="Q622" s="48" t="str">
        <x:v>1.000</x:v>
      </x:c>
      <x:c r="R622" s="48" t="str">
        <x:v>DRIVER DOES NOT SEPARATE</x:v>
      </x:c>
      <x:c r="S622" s="48" t="str">
        <x:v>0.083</x:v>
      </x:c>
      <x:c r="T622" s="48" t="str">
        <x:v>GLOBAL_TRANSATLANTIC:N=9,p=1.000; NORTH_AMERICA:N=12,p=0.917</x:v>
      </x:c>
      <x:c r="U622" s="48" t="str">
        <x:v>Maximum-minus-minimum prevalence among adequately observed groups is no more than 0.15.</x:v>
      </x:c>
      <x:c r="V622" s="48" t="str">
        <x:v>At least 5 observable manager families in at least 2 driver groups</x:v>
      </x:c>
      <x:c r="W622" s="48" t="str">
        <x:v>&gt;=0.35 separates; &lt;=0.15 does not separate; intermediate is inconclusive/confounded; direct driver-definition tests are CIRCULAR</x:v>
      </x:c>
      <x:c r="X622" s="48" t="str">
        <x:v>MANAGER_SELF_DESCRIPTION; NOT BEHAVIOURAL FREQUENCY</x:v>
      </x:c>
    </x:row>
    <x:row r="623">
      <x:c r="A623" s="48" t="str">
        <x:v>B_GOVERNANCE_SEGMENTATION</x:v>
      </x:c>
      <x:c r="B623" s="48" t="str">
        <x:v>Tier B v1.1 - N=29 rerun</x:v>
      </x:c>
      <x:c r="C623" s="48" t="str">
        <x:v>2026-07-16</x:v>
      </x:c>
      <x:c r="D623" s="48" t="str">
        <x:v>U09</x:v>
      </x:c>
      <x:c r="E623" s="48" t="str">
        <x:v>UNDERWRITING_DOCUMENTS</x:v>
      </x:c>
      <x:c r="F623" s="48" t="str">
        <x:v>100-day or 180-day plan before or immediately after close</x:v>
      </x:c>
      <x:c r="G623" s="48" t="str">
        <x:v>geography</x:v>
      </x:c>
      <x:c r="H623" s="48" t="str">
        <x:v>GLOBAL_TRANSATLANTIC</x:v>
      </x:c>
      <x:c r="I623" s="48" t="str">
        <x:v>10</x:v>
      </x:c>
      <x:c r="J623" s="48" t="str">
        <x:v>9</x:v>
      </x:c>
      <x:c r="K623" s="48" t="str">
        <x:v>5</x:v>
      </x:c>
      <x:c r="L623" s="48" t="str">
        <x:v>0</x:v>
      </x:c>
      <x:c r="M623" s="48" t="str">
        <x:v>9</x:v>
      </x:c>
      <x:c r="N623" s="48" t="str">
        <x:v>1</x:v>
      </x:c>
      <x:c r="O623" s="48" t="str">
        <x:v>0</x:v>
      </x:c>
      <x:c r="P623" s="48" t="str">
        <x:v>0</x:v>
      </x:c>
      <x:c r="Q623" s="48" t="str">
        <x:v>1.000</x:v>
      </x:c>
      <x:c r="R623" s="48" t="str">
        <x:v>DRIVER DOES NOT SEPARATE</x:v>
      </x:c>
      <x:c r="S623" s="48" t="str">
        <x:v>0.083</x:v>
      </x:c>
      <x:c r="T623" s="48" t="str">
        <x:v>GLOBAL_TRANSATLANTIC:N=9,p=1.000; NORTH_AMERICA:N=12,p=0.917</x:v>
      </x:c>
      <x:c r="U623" s="48" t="str">
        <x:v>Maximum-minus-minimum prevalence among adequately observed groups is no more than 0.15.</x:v>
      </x:c>
      <x:c r="V623" s="48" t="str">
        <x:v>At least 5 observable manager families in at least 2 driver groups</x:v>
      </x:c>
      <x:c r="W623" s="48" t="str">
        <x:v>&gt;=0.35 separates; &lt;=0.15 does not separate; intermediate is inconclusive/confounded; direct driver-definition tests are CIRCULAR</x:v>
      </x:c>
      <x:c r="X623" s="48" t="str">
        <x:v>MANAGER_SELF_DESCRIPTION; NOT BEHAVIOURAL FREQUENCY</x:v>
      </x:c>
    </x:row>
    <x:row r="624">
      <x:c r="A624" s="48" t="str">
        <x:v>B_GOVERNANCE_SEGMENTATION</x:v>
      </x:c>
      <x:c r="B624" s="48" t="str">
        <x:v>Tier B v1.1 - N=29 rerun</x:v>
      </x:c>
      <x:c r="C624" s="48" t="str">
        <x:v>2026-07-16</x:v>
      </x:c>
      <x:c r="D624" s="48" t="str">
        <x:v>U09</x:v>
      </x:c>
      <x:c r="E624" s="48" t="str">
        <x:v>UNDERWRITING_DOCUMENTS</x:v>
      </x:c>
      <x:c r="F624" s="48" t="str">
        <x:v>100-day or 180-day plan before or immediately after close</x:v>
      </x:c>
      <x:c r="G624" s="48" t="str">
        <x:v>geography</x:v>
      </x:c>
      <x:c r="H624" s="48" t="str">
        <x:v>NORTH_AMERICA</x:v>
      </x:c>
      <x:c r="I624" s="48" t="str">
        <x:v>13</x:v>
      </x:c>
      <x:c r="J624" s="48" t="str">
        <x:v>11</x:v>
      </x:c>
      <x:c r="K624" s="48" t="str">
        <x:v>5</x:v>
      </x:c>
      <x:c r="L624" s="48" t="str">
        <x:v>1</x:v>
      </x:c>
      <x:c r="M624" s="48" t="str">
        <x:v>12</x:v>
      </x:c>
      <x:c r="N624" s="48" t="str">
        <x:v>1</x:v>
      </x:c>
      <x:c r="O624" s="48" t="str">
        <x:v>0</x:v>
      </x:c>
      <x:c r="P624" s="48" t="str">
        <x:v>0</x:v>
      </x:c>
      <x:c r="Q624" s="48" t="str">
        <x:v>0.917</x:v>
      </x:c>
      <x:c r="R624" s="48" t="str">
        <x:v>DRIVER DOES NOT SEPARATE</x:v>
      </x:c>
      <x:c r="S624" s="48" t="str">
        <x:v>0.083</x:v>
      </x:c>
      <x:c r="T624" s="48" t="str">
        <x:v>GLOBAL_TRANSATLANTIC:N=9,p=1.000; NORTH_AMERICA:N=12,p=0.917</x:v>
      </x:c>
      <x:c r="U624" s="48" t="str">
        <x:v>Maximum-minus-minimum prevalence among adequately observed groups is no more than 0.15.</x:v>
      </x:c>
      <x:c r="V624" s="48" t="str">
        <x:v>At least 5 observable manager families in at least 2 driver groups</x:v>
      </x:c>
      <x:c r="W624" s="48" t="str">
        <x:v>&gt;=0.35 separates; &lt;=0.15 does not separate; intermediate is inconclusive/confounded; direct driver-definition tests are CIRCULAR</x:v>
      </x:c>
      <x:c r="X624" s="48" t="str">
        <x:v>MANAGER_SELF_DESCRIPTION; NOT BEHAVIOURAL FREQUENCY</x:v>
      </x:c>
    </x:row>
    <x:row r="625">
      <x:c r="A625" s="48" t="str">
        <x:v>B_GOVERNANCE_SEGMENTATION</x:v>
      </x:c>
      <x:c r="B625" s="48" t="str">
        <x:v>Tier B v1.1 - N=29 rerun</x:v>
      </x:c>
      <x:c r="C625" s="48" t="str">
        <x:v>2026-07-16</x:v>
      </x:c>
      <x:c r="D625" s="48" t="str">
        <x:v>U09</x:v>
      </x:c>
      <x:c r="E625" s="48" t="str">
        <x:v>UNDERWRITING_DOCUMENTS</x:v>
      </x:c>
      <x:c r="F625" s="48" t="str">
        <x:v>100-day or 180-day plan before or immediately after close</x:v>
      </x:c>
      <x:c r="G625" s="48" t="str">
        <x:v>source_vintage_bin</x:v>
      </x:c>
      <x:c r="H625" s="48" t="str">
        <x:v>2018_2020</x:v>
      </x:c>
      <x:c r="I625" s="48" t="str">
        <x:v>6</x:v>
      </x:c>
      <x:c r="J625" s="48" t="str">
        <x:v>6</x:v>
      </x:c>
      <x:c r="K625" s="48" t="str">
        <x:v>2</x:v>
      </x:c>
      <x:c r="L625" s="48" t="str">
        <x:v>0</x:v>
      </x:c>
      <x:c r="M625" s="48" t="str">
        <x:v>6</x:v>
      </x:c>
      <x:c r="N625" s="48" t="str">
        <x:v>0</x:v>
      </x:c>
      <x:c r="O625" s="48" t="str">
        <x:v>0</x:v>
      </x:c>
      <x:c r="P625" s="48" t="str">
        <x:v>0</x:v>
      </x:c>
      <x:c r="Q625" s="48" t="str">
        <x:v>1.000</x:v>
      </x:c>
      <x:c r="R625" s="48" t="str">
        <x:v>DRIVER DOES NOT SEPARATE</x:v>
      </x:c>
      <x:c r="S625" s="48" t="str">
        <x:v>0.100</x:v>
      </x:c>
      <x:c r="T625" s="48" t="str">
        <x:v>2018_2020:N=6,p=1.000; 2021_2023:N=9,p=1.000; 2024_2026:N=10,p=0.900</x:v>
      </x:c>
      <x:c r="U625" s="48" t="str">
        <x:v>Maximum-minus-minimum prevalence among adequately observed groups is no more than 0.15.</x:v>
      </x:c>
      <x:c r="V625" s="48" t="str">
        <x:v>At least 5 observable manager families in at least 2 driver groups</x:v>
      </x:c>
      <x:c r="W625" s="48" t="str">
        <x:v>&gt;=0.35 separates; &lt;=0.15 does not separate; intermediate is inconclusive/confounded; direct driver-definition tests are CIRCULAR</x:v>
      </x:c>
      <x:c r="X625" s="48" t="str">
        <x:v>MANAGER_SELF_DESCRIPTION; NOT BEHAVIOURAL FREQUENCY</x:v>
      </x:c>
    </x:row>
    <x:row r="626">
      <x:c r="A626" s="48" t="str">
        <x:v>B_GOVERNANCE_SEGMENTATION</x:v>
      </x:c>
      <x:c r="B626" s="48" t="str">
        <x:v>Tier B v1.1 - N=29 rerun</x:v>
      </x:c>
      <x:c r="C626" s="48" t="str">
        <x:v>2026-07-16</x:v>
      </x:c>
      <x:c r="D626" s="48" t="str">
        <x:v>U09</x:v>
      </x:c>
      <x:c r="E626" s="48" t="str">
        <x:v>UNDERWRITING_DOCUMENTS</x:v>
      </x:c>
      <x:c r="F626" s="48" t="str">
        <x:v>100-day or 180-day plan before or immediately after close</x:v>
      </x:c>
      <x:c r="G626" s="48" t="str">
        <x:v>source_vintage_bin</x:v>
      </x:c>
      <x:c r="H626" s="48" t="str">
        <x:v>2021_2023</x:v>
      </x:c>
      <x:c r="I626" s="48" t="str">
        <x:v>11</x:v>
      </x:c>
      <x:c r="J626" s="48" t="str">
        <x:v>9</x:v>
      </x:c>
      <x:c r="K626" s="48" t="str">
        <x:v>4</x:v>
      </x:c>
      <x:c r="L626" s="48" t="str">
        <x:v>0</x:v>
      </x:c>
      <x:c r="M626" s="48" t="str">
        <x:v>9</x:v>
      </x:c>
      <x:c r="N626" s="48" t="str">
        <x:v>2</x:v>
      </x:c>
      <x:c r="O626" s="48" t="str">
        <x:v>0</x:v>
      </x:c>
      <x:c r="P626" s="48" t="str">
        <x:v>0</x:v>
      </x:c>
      <x:c r="Q626" s="48" t="str">
        <x:v>1.000</x:v>
      </x:c>
      <x:c r="R626" s="48" t="str">
        <x:v>DRIVER DOES NOT SEPARATE</x:v>
      </x:c>
      <x:c r="S626" s="48" t="str">
        <x:v>0.100</x:v>
      </x:c>
      <x:c r="T626" s="48" t="str">
        <x:v>2018_2020:N=6,p=1.000; 2021_2023:N=9,p=1.000; 2024_2026:N=10,p=0.900</x:v>
      </x:c>
      <x:c r="U626" s="48" t="str">
        <x:v>Maximum-minus-minimum prevalence among adequately observed groups is no more than 0.15.</x:v>
      </x:c>
      <x:c r="V626" s="48" t="str">
        <x:v>At least 5 observable manager families in at least 2 driver groups</x:v>
      </x:c>
      <x:c r="W626" s="48" t="str">
        <x:v>&gt;=0.35 separates; &lt;=0.15 does not separate; intermediate is inconclusive/confounded; direct driver-definition tests are CIRCULAR</x:v>
      </x:c>
      <x:c r="X626" s="48" t="str">
        <x:v>MANAGER_SELF_DESCRIPTION; NOT BEHAVIOURAL FREQUENCY</x:v>
      </x:c>
    </x:row>
    <x:row r="627">
      <x:c r="A627" s="48" t="str">
        <x:v>B_GOVERNANCE_SEGMENTATION</x:v>
      </x:c>
      <x:c r="B627" s="48" t="str">
        <x:v>Tier B v1.1 - N=29 rerun</x:v>
      </x:c>
      <x:c r="C627" s="48" t="str">
        <x:v>2026-07-16</x:v>
      </x:c>
      <x:c r="D627" s="48" t="str">
        <x:v>U09</x:v>
      </x:c>
      <x:c r="E627" s="48" t="str">
        <x:v>UNDERWRITING_DOCUMENTS</x:v>
      </x:c>
      <x:c r="F627" s="48" t="str">
        <x:v>100-day or 180-day plan before or immediately after close</x:v>
      </x:c>
      <x:c r="G627" s="48" t="str">
        <x:v>source_vintage_bin</x:v>
      </x:c>
      <x:c r="H627" s="48" t="str">
        <x:v>2024_2026</x:v>
      </x:c>
      <x:c r="I627" s="48" t="str">
        <x:v>12</x:v>
      </x:c>
      <x:c r="J627" s="48" t="str">
        <x:v>9</x:v>
      </x:c>
      <x:c r="K627" s="48" t="str">
        <x:v>6</x:v>
      </x:c>
      <x:c r="L627" s="48" t="str">
        <x:v>1</x:v>
      </x:c>
      <x:c r="M627" s="48" t="str">
        <x:v>10</x:v>
      </x:c>
      <x:c r="N627" s="48" t="str">
        <x:v>2</x:v>
      </x:c>
      <x:c r="O627" s="48" t="str">
        <x:v>0</x:v>
      </x:c>
      <x:c r="P627" s="48" t="str">
        <x:v>0</x:v>
      </x:c>
      <x:c r="Q627" s="48" t="str">
        <x:v>0.900</x:v>
      </x:c>
      <x:c r="R627" s="48" t="str">
        <x:v>DRIVER DOES NOT SEPARATE</x:v>
      </x:c>
      <x:c r="S627" s="48" t="str">
        <x:v>0.100</x:v>
      </x:c>
      <x:c r="T627" s="48" t="str">
        <x:v>2018_2020:N=6,p=1.000; 2021_2023:N=9,p=1.000; 2024_2026:N=10,p=0.900</x:v>
      </x:c>
      <x:c r="U627" s="48" t="str">
        <x:v>Maximum-minus-minimum prevalence among adequately observed groups is no more than 0.15.</x:v>
      </x:c>
      <x:c r="V627" s="48" t="str">
        <x:v>At least 5 observable manager families in at least 2 driver groups</x:v>
      </x:c>
      <x:c r="W627" s="48" t="str">
        <x:v>&gt;=0.35 separates; &lt;=0.15 does not separate; intermediate is inconclusive/confounded; direct driver-definition tests are CIRCULAR</x:v>
      </x:c>
      <x:c r="X627" s="48" t="str">
        <x:v>MANAGER_SELF_DESCRIPTION; NOT BEHAVIOURAL FREQUENCY</x:v>
      </x:c>
    </x:row>
    <x:row r="628">
      <x:c r="A628" s="48" t="str">
        <x:v>B_GOVERNANCE_SEGMENTATION</x:v>
      </x:c>
      <x:c r="B628" s="48" t="str">
        <x:v>Tier B v1.1 - N=29 rerun</x:v>
      </x:c>
      <x:c r="C628" s="48" t="str">
        <x:v>2026-07-16</x:v>
      </x:c>
      <x:c r="D628" s="48" t="str">
        <x:v>U09</x:v>
      </x:c>
      <x:c r="E628" s="48" t="str">
        <x:v>UNDERWRITING_DOCUMENTS</x:v>
      </x:c>
      <x:c r="F628" s="48" t="str">
        <x:v>100-day or 180-day plan before or immediately after close</x:v>
      </x:c>
      <x:c r="G628" s="48" t="str">
        <x:v>governance_architecture</x:v>
      </x:c>
      <x:c r="H628" s="48" t="str">
        <x:v>IC_FINAL_OR_DE_FACTO</x:v>
      </x:c>
      <x:c r="I628" s="48" t="str">
        <x:v>26</x:v>
      </x:c>
      <x:c r="J628" s="48" t="str">
        <x:v>21</x:v>
      </x:c>
      <x:c r="K628" s="48" t="str">
        <x:v>11</x:v>
      </x:c>
      <x:c r="L628" s="48" t="str">
        <x:v>1</x:v>
      </x:c>
      <x:c r="M628" s="48" t="str">
        <x:v>22</x:v>
      </x:c>
      <x:c r="N628" s="48" t="str">
        <x:v>4</x:v>
      </x:c>
      <x:c r="O628" s="48" t="str">
        <x:v>0</x:v>
      </x:c>
      <x:c r="P628" s="48" t="str">
        <x:v>0</x:v>
      </x:c>
      <x:c r="Q628" s="48" t="str">
        <x:v>0.955</x:v>
      </x:c>
      <x:c r="R628" s="48" t="str">
        <x:v>N TOO SMALL</x:v>
      </x:c>
      <x:c r="S628" s="48" t="str"/>
      <x:c r="T628" s="48" t="str">
        <x:v>IC_FINAL_OR_DE_FACTO:N=22,p=0.955</x:v>
      </x:c>
      <x:c r="U628" s="48" t="str">
        <x:v>Fewer than two driver groups have at least 5 observable manager families.</x:v>
      </x:c>
      <x:c r="V628" s="48" t="str">
        <x:v>At least 5 observable manager families in at least 2 driver groups</x:v>
      </x:c>
      <x:c r="W628" s="48" t="str">
        <x:v>&gt;=0.35 separates; &lt;=0.15 does not separate; intermediate is inconclusive/confounded; direct driver-definition tests are CIRCULAR</x:v>
      </x:c>
      <x:c r="X628" s="48" t="str">
        <x:v>MANAGER_SELF_DESCRIPTION; NOT BEHAVIOURAL FREQUENCY</x:v>
      </x:c>
    </x:row>
    <x:row r="629">
      <x:c r="A629" s="48" t="str">
        <x:v>B_GOVERNANCE_SEGMENTATION</x:v>
      </x:c>
      <x:c r="B629" s="48" t="str">
        <x:v>Tier B v1.1 - N=29 rerun</x:v>
      </x:c>
      <x:c r="C629" s="48" t="str">
        <x:v>2026-07-16</x:v>
      </x:c>
      <x:c r="D629" s="48" t="str">
        <x:v>U09</x:v>
      </x:c>
      <x:c r="E629" s="48" t="str">
        <x:v>UNDERWRITING_DOCUMENTS</x:v>
      </x:c>
      <x:c r="F629" s="48" t="str">
        <x:v>100-day or 180-day plan before or immediately after close</x:v>
      </x:c>
      <x:c r="G629" s="48" t="str">
        <x:v>governance_architecture</x:v>
      </x:c>
      <x:c r="H629" s="48" t="str">
        <x:v>IC_RECOMMENDS_SEPARATE_FINAL_AUTHORITY</x:v>
      </x:c>
      <x:c r="I629" s="48" t="str">
        <x:v>3</x:v>
      </x:c>
      <x:c r="J629" s="48" t="str">
        <x:v>3</x:v>
      </x:c>
      <x:c r="K629" s="48" t="str">
        <x:v>1</x:v>
      </x:c>
      <x:c r="L629" s="48" t="str">
        <x:v>0</x:v>
      </x:c>
      <x:c r="M629" s="48" t="str">
        <x:v>3</x:v>
      </x:c>
      <x:c r="N629" s="48" t="str">
        <x:v>0</x:v>
      </x:c>
      <x:c r="O629" s="48" t="str">
        <x:v>0</x:v>
      </x:c>
      <x:c r="P629" s="48" t="str">
        <x:v>0</x:v>
      </x:c>
      <x:c r="Q629" s="48" t="str">
        <x:v>1.000</x:v>
      </x:c>
      <x:c r="R629" s="48" t="str">
        <x:v>N TOO SMALL</x:v>
      </x:c>
      <x:c r="S629" s="48" t="str"/>
      <x:c r="T629" s="48" t="str">
        <x:v>IC_FINAL_OR_DE_FACTO:N=22,p=0.955</x:v>
      </x:c>
      <x:c r="U629" s="48" t="str">
        <x:v>Fewer than two driver groups have at least 5 observable manager families.</x:v>
      </x:c>
      <x:c r="V629" s="48" t="str">
        <x:v>At least 5 observable manager families in at least 2 driver groups</x:v>
      </x:c>
      <x:c r="W629" s="48" t="str">
        <x:v>&gt;=0.35 separates; &lt;=0.15 does not separate; intermediate is inconclusive/confounded; direct driver-definition tests are CIRCULAR</x:v>
      </x:c>
      <x:c r="X629" s="48" t="str">
        <x:v>MANAGER_SELF_DESCRIPTION; NOT BEHAVIOURAL FREQUENCY</x:v>
      </x:c>
    </x:row>
    <x:row r="630">
      <x:c r="A630" s="48" t="str">
        <x:v>B_GOVERNANCE_SEGMENTATION</x:v>
      </x:c>
      <x:c r="B630" s="48" t="str">
        <x:v>Tier B v1.1 - N=29 rerun</x:v>
      </x:c>
      <x:c r="C630" s="48" t="str">
        <x:v>2026-07-16</x:v>
      </x:c>
      <x:c r="D630" s="48" t="str">
        <x:v>U09</x:v>
      </x:c>
      <x:c r="E630" s="48" t="str">
        <x:v>UNDERWRITING_DOCUMENTS</x:v>
      </x:c>
      <x:c r="F630" s="48" t="str">
        <x:v>100-day or 180-day plan before or immediately after close</x:v>
      </x:c>
      <x:c r="G630" s="48" t="str">
        <x:v>dedicated_operating_team</x:v>
      </x:c>
      <x:c r="H630" s="48" t="str">
        <x:v>NO_OR_LIMITED</x:v>
      </x:c>
      <x:c r="I630" s="48" t="str">
        <x:v>6</x:v>
      </x:c>
      <x:c r="J630" s="48" t="str">
        <x:v>3</x:v>
      </x:c>
      <x:c r="K630" s="48" t="str">
        <x:v>1</x:v>
      </x:c>
      <x:c r="L630" s="48" t="str">
        <x:v>1</x:v>
      </x:c>
      <x:c r="M630" s="48" t="str">
        <x:v>4</x:v>
      </x:c>
      <x:c r="N630" s="48" t="str">
        <x:v>2</x:v>
      </x:c>
      <x:c r="O630" s="48" t="str">
        <x:v>0</x:v>
      </x:c>
      <x:c r="P630" s="48" t="str">
        <x:v>0</x:v>
      </x:c>
      <x:c r="Q630" s="48" t="str">
        <x:v>0.750</x:v>
      </x:c>
      <x:c r="R630" s="48" t="str">
        <x:v>N TOO SMALL</x:v>
      </x:c>
      <x:c r="S630" s="48" t="str"/>
      <x:c r="T630" s="48" t="str">
        <x:v>YES_DEDICATED:N=21,p=1.000</x:v>
      </x:c>
      <x:c r="U630" s="48" t="str">
        <x:v>Fewer than two driver groups have at least 5 observable manager families.</x:v>
      </x:c>
      <x:c r="V630" s="48" t="str">
        <x:v>At least 5 observable manager families in at least 2 driver groups</x:v>
      </x:c>
      <x:c r="W630" s="48" t="str">
        <x:v>&gt;=0.35 separates; &lt;=0.15 does not separate; intermediate is inconclusive/confounded; direct driver-definition tests are CIRCULAR</x:v>
      </x:c>
      <x:c r="X630" s="48" t="str">
        <x:v>MANAGER_SELF_DESCRIPTION; NOT BEHAVIOURAL FREQUENCY</x:v>
      </x:c>
    </x:row>
    <x:row r="631">
      <x:c r="A631" s="48" t="str">
        <x:v>B_GOVERNANCE_SEGMENTATION</x:v>
      </x:c>
      <x:c r="B631" s="48" t="str">
        <x:v>Tier B v1.1 - N=29 rerun</x:v>
      </x:c>
      <x:c r="C631" s="48" t="str">
        <x:v>2026-07-16</x:v>
      </x:c>
      <x:c r="D631" s="48" t="str">
        <x:v>U09</x:v>
      </x:c>
      <x:c r="E631" s="48" t="str">
        <x:v>UNDERWRITING_DOCUMENTS</x:v>
      </x:c>
      <x:c r="F631" s="48" t="str">
        <x:v>100-day or 180-day plan before or immediately after close</x:v>
      </x:c>
      <x:c r="G631" s="48" t="str">
        <x:v>dedicated_operating_team</x:v>
      </x:c>
      <x:c r="H631" s="48" t="str">
        <x:v>YES_DEDICATED</x:v>
      </x:c>
      <x:c r="I631" s="48" t="str">
        <x:v>23</x:v>
      </x:c>
      <x:c r="J631" s="48" t="str">
        <x:v>21</x:v>
      </x:c>
      <x:c r="K631" s="48" t="str">
        <x:v>11</x:v>
      </x:c>
      <x:c r="L631" s="48" t="str">
        <x:v>0</x:v>
      </x:c>
      <x:c r="M631" s="48" t="str">
        <x:v>21</x:v>
      </x:c>
      <x:c r="N631" s="48" t="str">
        <x:v>2</x:v>
      </x:c>
      <x:c r="O631" s="48" t="str">
        <x:v>0</x:v>
      </x:c>
      <x:c r="P631" s="48" t="str">
        <x:v>0</x:v>
      </x:c>
      <x:c r="Q631" s="48" t="str">
        <x:v>1.000</x:v>
      </x:c>
      <x:c r="R631" s="48" t="str">
        <x:v>N TOO SMALL</x:v>
      </x:c>
      <x:c r="S631" s="48" t="str"/>
      <x:c r="T631" s="48" t="str">
        <x:v>YES_DEDICATED:N=21,p=1.000</x:v>
      </x:c>
      <x:c r="U631" s="48" t="str">
        <x:v>Fewer than two driver groups have at least 5 observable manager families.</x:v>
      </x:c>
      <x:c r="V631" s="48" t="str">
        <x:v>At least 5 observable manager families in at least 2 driver groups</x:v>
      </x:c>
      <x:c r="W631" s="48" t="str">
        <x:v>&gt;=0.35 separates; &lt;=0.15 does not separate; intermediate is inconclusive/confounded; direct driver-definition tests are CIRCULAR</x:v>
      </x:c>
      <x:c r="X631" s="48" t="str">
        <x:v>MANAGER_SELF_DESCRIPTION; NOT BEHAVIOURAL FREQUENCY</x:v>
      </x:c>
    </x:row>
    <x:row r="632">
      <x:c r="A632" s="48" t="str">
        <x:v>B_GOVERNANCE_SEGMENTATION</x:v>
      </x:c>
      <x:c r="B632" s="48" t="str">
        <x:v>Tier B v1.1 - N=29 rerun</x:v>
      </x:c>
      <x:c r="C632" s="48" t="str">
        <x:v>2026-07-16</x:v>
      </x:c>
      <x:c r="D632" s="48" t="str">
        <x:v>O01</x:v>
      </x:c>
      <x:c r="E632" s="48" t="str">
        <x:v>OWNERSHIP_MONITORING</x:v>
      </x:c>
      <x:c r="F632" s="48" t="str">
        <x:v>Same deal team remains involved through ownership or exit</x:v>
      </x:c>
      <x:c r="G632" s="48" t="str">
        <x:v>fund_size_archetype</x:v>
      </x:c>
      <x:c r="H632" s="48" t="str">
        <x:v>LARGE_2_TO_LT_5B</x:v>
      </x:c>
      <x:c r="I632" s="48" t="str">
        <x:v>9</x:v>
      </x:c>
      <x:c r="J632" s="48" t="str">
        <x:v>4</x:v>
      </x:c>
      <x:c r="K632" s="48" t="str">
        <x:v>0</x:v>
      </x:c>
      <x:c r="L632" s="48" t="str">
        <x:v>0</x:v>
      </x:c>
      <x:c r="M632" s="48" t="str">
        <x:v>4</x:v>
      </x:c>
      <x:c r="N632" s="48" t="str">
        <x:v>5</x:v>
      </x:c>
      <x:c r="O632" s="48" t="str">
        <x:v>0</x:v>
      </x:c>
      <x:c r="P632" s="48" t="str">
        <x:v>0</x:v>
      </x:c>
      <x:c r="Q632" s="48" t="str">
        <x:v>1.000</x:v>
      </x:c>
      <x:c r="R632" s="48" t="str">
        <x:v>N TOO SMALL</x:v>
      </x:c>
      <x:c r="S632" s="48" t="str"/>
      <x:c r="T632" s="48" t="str"/>
      <x:c r="U632" s="48" t="str">
        <x:v>Fewer than two driver groups have at least 5 observable manager families.</x:v>
      </x:c>
      <x:c r="V632" s="48" t="str">
        <x:v>At least 5 observable manager families in at least 2 driver groups</x:v>
      </x:c>
      <x:c r="W632" s="48" t="str">
        <x:v>&gt;=0.35 separates; &lt;=0.15 does not separate; intermediate is inconclusive/confounded; direct driver-definition tests are CIRCULAR</x:v>
      </x:c>
      <x:c r="X632" s="48" t="str">
        <x:v>MANAGER_SELF_DESCRIPTION; NOT BEHAVIOURAL FREQUENCY</x:v>
      </x:c>
    </x:row>
    <x:row r="633">
      <x:c r="A633" s="48" t="str">
        <x:v>B_GOVERNANCE_SEGMENTATION</x:v>
      </x:c>
      <x:c r="B633" s="48" t="str">
        <x:v>Tier B v1.1 - N=29 rerun</x:v>
      </x:c>
      <x:c r="C633" s="48" t="str">
        <x:v>2026-07-16</x:v>
      </x:c>
      <x:c r="D633" s="48" t="str">
        <x:v>O01</x:v>
      </x:c>
      <x:c r="E633" s="48" t="str">
        <x:v>OWNERSHIP_MONITORING</x:v>
      </x:c>
      <x:c r="F633" s="48" t="str">
        <x:v>Same deal team remains involved through ownership or exit</x:v>
      </x:c>
      <x:c r="G633" s="48" t="str">
        <x:v>fund_size_archetype</x:v>
      </x:c>
      <x:c r="H633" s="48" t="str">
        <x:v>LOWER_MID_LT_2B</x:v>
      </x:c>
      <x:c r="I633" s="48" t="str">
        <x:v>8</x:v>
      </x:c>
      <x:c r="J633" s="48" t="str">
        <x:v>4</x:v>
      </x:c>
      <x:c r="K633" s="48" t="str">
        <x:v>0</x:v>
      </x:c>
      <x:c r="L633" s="48" t="str">
        <x:v>0</x:v>
      </x:c>
      <x:c r="M633" s="48" t="str">
        <x:v>4</x:v>
      </x:c>
      <x:c r="N633" s="48" t="str">
        <x:v>4</x:v>
      </x:c>
      <x:c r="O633" s="48" t="str">
        <x:v>0</x:v>
      </x:c>
      <x:c r="P633" s="48" t="str">
        <x:v>0</x:v>
      </x:c>
      <x:c r="Q633" s="48" t="str">
        <x:v>1.000</x:v>
      </x:c>
      <x:c r="R633" s="48" t="str">
        <x:v>N TOO SMALL</x:v>
      </x:c>
      <x:c r="S633" s="48" t="str"/>
      <x:c r="T633" s="48" t="str"/>
      <x:c r="U633" s="48" t="str">
        <x:v>Fewer than two driver groups have at least 5 observable manager families.</x:v>
      </x:c>
      <x:c r="V633" s="48" t="str">
        <x:v>At least 5 observable manager families in at least 2 driver groups</x:v>
      </x:c>
      <x:c r="W633" s="48" t="str">
        <x:v>&gt;=0.35 separates; &lt;=0.15 does not separate; intermediate is inconclusive/confounded; direct driver-definition tests are CIRCULAR</x:v>
      </x:c>
      <x:c r="X633" s="48" t="str">
        <x:v>MANAGER_SELF_DESCRIPTION; NOT BEHAVIOURAL FREQUENCY</x:v>
      </x:c>
    </x:row>
    <x:row r="634">
      <x:c r="A634" s="48" t="str">
        <x:v>B_GOVERNANCE_SEGMENTATION</x:v>
      </x:c>
      <x:c r="B634" s="48" t="str">
        <x:v>Tier B v1.1 - N=29 rerun</x:v>
      </x:c>
      <x:c r="C634" s="48" t="str">
        <x:v>2026-07-16</x:v>
      </x:c>
      <x:c r="D634" s="48" t="str">
        <x:v>O01</x:v>
      </x:c>
      <x:c r="E634" s="48" t="str">
        <x:v>OWNERSHIP_MONITORING</x:v>
      </x:c>
      <x:c r="F634" s="48" t="str">
        <x:v>Same deal team remains involved through ownership or exit</x:v>
      </x:c>
      <x:c r="G634" s="48" t="str">
        <x:v>fund_size_archetype</x:v>
      </x:c>
      <x:c r="H634" s="48" t="str">
        <x:v>MEGA_GE_5B</x:v>
      </x:c>
      <x:c r="I634" s="48" t="str">
        <x:v>11</x:v>
      </x:c>
      <x:c r="J634" s="48" t="str">
        <x:v>4</x:v>
      </x:c>
      <x:c r="K634" s="48" t="str">
        <x:v>0</x:v>
      </x:c>
      <x:c r="L634" s="48" t="str">
        <x:v>0</x:v>
      </x:c>
      <x:c r="M634" s="48" t="str">
        <x:v>4</x:v>
      </x:c>
      <x:c r="N634" s="48" t="str">
        <x:v>7</x:v>
      </x:c>
      <x:c r="O634" s="48" t="str">
        <x:v>0</x:v>
      </x:c>
      <x:c r="P634" s="48" t="str">
        <x:v>0</x:v>
      </x:c>
      <x:c r="Q634" s="48" t="str">
        <x:v>1.000</x:v>
      </x:c>
      <x:c r="R634" s="48" t="str">
        <x:v>N TOO SMALL</x:v>
      </x:c>
      <x:c r="S634" s="48" t="str"/>
      <x:c r="T634" s="48" t="str"/>
      <x:c r="U634" s="48" t="str">
        <x:v>Fewer than two driver groups have at least 5 observable manager families.</x:v>
      </x:c>
      <x:c r="V634" s="48" t="str">
        <x:v>At least 5 observable manager families in at least 2 driver groups</x:v>
      </x:c>
      <x:c r="W634" s="48" t="str">
        <x:v>&gt;=0.35 separates; &lt;=0.15 does not separate; intermediate is inconclusive/confounded; direct driver-definition tests are CIRCULAR</x:v>
      </x:c>
      <x:c r="X634" s="48" t="str">
        <x:v>MANAGER_SELF_DESCRIPTION; NOT BEHAVIOURAL FREQUENCY</x:v>
      </x:c>
    </x:row>
    <x:row r="635">
      <x:c r="A635" s="48" t="str">
        <x:v>B_GOVERNANCE_SEGMENTATION</x:v>
      </x:c>
      <x:c r="B635" s="48" t="str">
        <x:v>Tier B v1.1 - N=29 rerun</x:v>
      </x:c>
      <x:c r="C635" s="48" t="str">
        <x:v>2026-07-16</x:v>
      </x:c>
      <x:c r="D635" s="48" t="str">
        <x:v>O01</x:v>
      </x:c>
      <x:c r="E635" s="48" t="str">
        <x:v>OWNERSHIP_MONITORING</x:v>
      </x:c>
      <x:c r="F635" s="48" t="str">
        <x:v>Same deal team remains involved through ownership or exit</x:v>
      </x:c>
      <x:c r="G635" s="48" t="str">
        <x:v>fund_size_archetype</x:v>
      </x:c>
      <x:c r="H635" s="48" t="str">
        <x:v>NOT_APPLICABLE</x:v>
      </x:c>
      <x:c r="I635" s="48" t="str">
        <x:v>1</x:v>
      </x:c>
      <x:c r="J635" s="48" t="str">
        <x:v>1</x:v>
      </x:c>
      <x:c r="K635" s="48" t="str">
        <x:v>0</x:v>
      </x:c>
      <x:c r="L635" s="48" t="str">
        <x:v>0</x:v>
      </x:c>
      <x:c r="M635" s="48" t="str">
        <x:v>1</x:v>
      </x:c>
      <x:c r="N635" s="48" t="str">
        <x:v>0</x:v>
      </x:c>
      <x:c r="O635" s="48" t="str">
        <x:v>0</x:v>
      </x:c>
      <x:c r="P635" s="48" t="str">
        <x:v>0</x:v>
      </x:c>
      <x:c r="Q635" s="48" t="str">
        <x:v>1.000</x:v>
      </x:c>
      <x:c r="R635" s="48" t="str">
        <x:v>N TOO SMALL</x:v>
      </x:c>
      <x:c r="S635" s="48" t="str"/>
      <x:c r="T635" s="48" t="str"/>
      <x:c r="U635" s="48" t="str">
        <x:v>Fewer than two driver groups have at least 5 observable manager families.</x:v>
      </x:c>
      <x:c r="V635" s="48" t="str">
        <x:v>At least 5 observable manager families in at least 2 driver groups</x:v>
      </x:c>
      <x:c r="W635" s="48" t="str">
        <x:v>&gt;=0.35 separates; &lt;=0.15 does not separate; intermediate is inconclusive/confounded; direct driver-definition tests are CIRCULAR</x:v>
      </x:c>
      <x:c r="X635" s="48" t="str">
        <x:v>MANAGER_SELF_DESCRIPTION; NOT BEHAVIOURAL FREQUENCY</x:v>
      </x:c>
    </x:row>
    <x:row r="636">
      <x:c r="A636" s="48" t="str">
        <x:v>B_GOVERNANCE_SEGMENTATION</x:v>
      </x:c>
      <x:c r="B636" s="48" t="str">
        <x:v>Tier B v1.1 - N=29 rerun</x:v>
      </x:c>
      <x:c r="C636" s="48" t="str">
        <x:v>2026-07-16</x:v>
      </x:c>
      <x:c r="D636" s="48" t="str">
        <x:v>O01</x:v>
      </x:c>
      <x:c r="E636" s="48" t="str">
        <x:v>OWNERSHIP_MONITORING</x:v>
      </x:c>
      <x:c r="F636" s="48" t="str">
        <x:v>Same deal team remains involved through ownership or exit</x:v>
      </x:c>
      <x:c r="G636" s="48" t="str">
        <x:v>strategy</x:v>
      </x:c>
      <x:c r="H636" s="48" t="str">
        <x:v>CONTROL_BUYOUT</x:v>
      </x:c>
      <x:c r="I636" s="48" t="str">
        <x:v>22</x:v>
      </x:c>
      <x:c r="J636" s="48" t="str">
        <x:v>8</x:v>
      </x:c>
      <x:c r="K636" s="48" t="str">
        <x:v>0</x:v>
      </x:c>
      <x:c r="L636" s="48" t="str">
        <x:v>0</x:v>
      </x:c>
      <x:c r="M636" s="48" t="str">
        <x:v>8</x:v>
      </x:c>
      <x:c r="N636" s="48" t="str">
        <x:v>14</x:v>
      </x:c>
      <x:c r="O636" s="48" t="str">
        <x:v>0</x:v>
      </x:c>
      <x:c r="P636" s="48" t="str">
        <x:v>0</x:v>
      </x:c>
      <x:c r="Q636" s="48" t="str">
        <x:v>1.000</x:v>
      </x:c>
      <x:c r="R636" s="48" t="str">
        <x:v>N TOO SMALL</x:v>
      </x:c>
      <x:c r="S636" s="48" t="str"/>
      <x:c r="T636" s="48" t="str">
        <x:v>CONTROL_BUYOUT:N=8,p=1.000</x:v>
      </x:c>
      <x:c r="U636" s="48" t="str">
        <x:v>Fewer than two driver groups have at least 5 observable manager families.</x:v>
      </x:c>
      <x:c r="V636" s="48" t="str">
        <x:v>At least 5 observable manager families in at least 2 driver groups</x:v>
      </x:c>
      <x:c r="W636" s="48" t="str">
        <x:v>&gt;=0.35 separates; &lt;=0.15 does not separate; intermediate is inconclusive/confounded; direct driver-definition tests are CIRCULAR</x:v>
      </x:c>
      <x:c r="X636" s="48" t="str">
        <x:v>MANAGER_SELF_DESCRIPTION; NOT BEHAVIOURAL FREQUENCY</x:v>
      </x:c>
    </x:row>
    <x:row r="637">
      <x:c r="A637" s="48" t="str">
        <x:v>B_GOVERNANCE_SEGMENTATION</x:v>
      </x:c>
      <x:c r="B637" s="48" t="str">
        <x:v>Tier B v1.1 - N=29 rerun</x:v>
      </x:c>
      <x:c r="C637" s="48" t="str">
        <x:v>2026-07-16</x:v>
      </x:c>
      <x:c r="D637" s="48" t="str">
        <x:v>O01</x:v>
      </x:c>
      <x:c r="E637" s="48" t="str">
        <x:v>OWNERSHIP_MONITORING</x:v>
      </x:c>
      <x:c r="F637" s="48" t="str">
        <x:v>Same deal team remains involved through ownership or exit</x:v>
      </x:c>
      <x:c r="G637" s="48" t="str">
        <x:v>strategy</x:v>
      </x:c>
      <x:c r="H637" s="48" t="str">
        <x:v>GROWTH_CONTROL_HYBRID</x:v>
      </x:c>
      <x:c r="I637" s="48" t="str">
        <x:v>6</x:v>
      </x:c>
      <x:c r="J637" s="48" t="str">
        <x:v>4</x:v>
      </x:c>
      <x:c r="K637" s="48" t="str">
        <x:v>0</x:v>
      </x:c>
      <x:c r="L637" s="48" t="str">
        <x:v>0</x:v>
      </x:c>
      <x:c r="M637" s="48" t="str">
        <x:v>4</x:v>
      </x:c>
      <x:c r="N637" s="48" t="str">
        <x:v>2</x:v>
      </x:c>
      <x:c r="O637" s="48" t="str">
        <x:v>0</x:v>
      </x:c>
      <x:c r="P637" s="48" t="str">
        <x:v>0</x:v>
      </x:c>
      <x:c r="Q637" s="48" t="str">
        <x:v>1.000</x:v>
      </x:c>
      <x:c r="R637" s="48" t="str">
        <x:v>N TOO SMALL</x:v>
      </x:c>
      <x:c r="S637" s="48" t="str"/>
      <x:c r="T637" s="48" t="str">
        <x:v>CONTROL_BUYOUT:N=8,p=1.000</x:v>
      </x:c>
      <x:c r="U637" s="48" t="str">
        <x:v>Fewer than two driver groups have at least 5 observable manager families.</x:v>
      </x:c>
      <x:c r="V637" s="48" t="str">
        <x:v>At least 5 observable manager families in at least 2 driver groups</x:v>
      </x:c>
      <x:c r="W637" s="48" t="str">
        <x:v>&gt;=0.35 separates; &lt;=0.15 does not separate; intermediate is inconclusive/confounded; direct driver-definition tests are CIRCULAR</x:v>
      </x:c>
      <x:c r="X637" s="48" t="str">
        <x:v>MANAGER_SELF_DESCRIPTION; NOT BEHAVIOURAL FREQUENCY</x:v>
      </x:c>
    </x:row>
    <x:row r="638">
      <x:c r="A638" s="48" t="str">
        <x:v>B_GOVERNANCE_SEGMENTATION</x:v>
      </x:c>
      <x:c r="B638" s="48" t="str">
        <x:v>Tier B v1.1 - N=29 rerun</x:v>
      </x:c>
      <x:c r="C638" s="48" t="str">
        <x:v>2026-07-16</x:v>
      </x:c>
      <x:c r="D638" s="48" t="str">
        <x:v>O01</x:v>
      </x:c>
      <x:c r="E638" s="48" t="str">
        <x:v>OWNERSHIP_MONITORING</x:v>
      </x:c>
      <x:c r="F638" s="48" t="str">
        <x:v>Same deal team remains involved through ownership or exit</x:v>
      </x:c>
      <x:c r="G638" s="48" t="str">
        <x:v>strategy</x:v>
      </x:c>
      <x:c r="H638" s="48" t="str">
        <x:v>OPPORTUNISTIC_CONTROL</x:v>
      </x:c>
      <x:c r="I638" s="48" t="str">
        <x:v>1</x:v>
      </x:c>
      <x:c r="J638" s="48" t="str">
        <x:v>1</x:v>
      </x:c>
      <x:c r="K638" s="48" t="str">
        <x:v>0</x:v>
      </x:c>
      <x:c r="L638" s="48" t="str">
        <x:v>0</x:v>
      </x:c>
      <x:c r="M638" s="48" t="str">
        <x:v>1</x:v>
      </x:c>
      <x:c r="N638" s="48" t="str">
        <x:v>0</x:v>
      </x:c>
      <x:c r="O638" s="48" t="str">
        <x:v>0</x:v>
      </x:c>
      <x:c r="P638" s="48" t="str">
        <x:v>0</x:v>
      </x:c>
      <x:c r="Q638" s="48" t="str">
        <x:v>1.000</x:v>
      </x:c>
      <x:c r="R638" s="48" t="str">
        <x:v>N TOO SMALL</x:v>
      </x:c>
      <x:c r="S638" s="48" t="str"/>
      <x:c r="T638" s="48" t="str">
        <x:v>CONTROL_BUYOUT:N=8,p=1.000</x:v>
      </x:c>
      <x:c r="U638" s="48" t="str">
        <x:v>Fewer than two driver groups have at least 5 observable manager families.</x:v>
      </x:c>
      <x:c r="V638" s="48" t="str">
        <x:v>At least 5 observable manager families in at least 2 driver groups</x:v>
      </x:c>
      <x:c r="W638" s="48" t="str">
        <x:v>&gt;=0.35 separates; &lt;=0.15 does not separate; intermediate is inconclusive/confounded; direct driver-definition tests are CIRCULAR</x:v>
      </x:c>
      <x:c r="X638" s="48" t="str">
        <x:v>MANAGER_SELF_DESCRIPTION; NOT BEHAVIOURAL FREQUENCY</x:v>
      </x:c>
    </x:row>
    <x:row r="639">
      <x:c r="A639" s="48" t="str">
        <x:v>B_GOVERNANCE_SEGMENTATION</x:v>
      </x:c>
      <x:c r="B639" s="48" t="str">
        <x:v>Tier B v1.1 - N=29 rerun</x:v>
      </x:c>
      <x:c r="C639" s="48" t="str">
        <x:v>2026-07-16</x:v>
      </x:c>
      <x:c r="D639" s="48" t="str">
        <x:v>O01</x:v>
      </x:c>
      <x:c r="E639" s="48" t="str">
        <x:v>OWNERSHIP_MONITORING</x:v>
      </x:c>
      <x:c r="F639" s="48" t="str">
        <x:v>Same deal team remains involved through ownership or exit</x:v>
      </x:c>
      <x:c r="G639" s="48" t="str">
        <x:v>geography</x:v>
      </x:c>
      <x:c r="H639" s="48" t="str">
        <x:v>ASIA_PACIFIC</x:v>
      </x:c>
      <x:c r="I639" s="48" t="str">
        <x:v>4</x:v>
      </x:c>
      <x:c r="J639" s="48" t="str">
        <x:v>1</x:v>
      </x:c>
      <x:c r="K639" s="48" t="str">
        <x:v>0</x:v>
      </x:c>
      <x:c r="L639" s="48" t="str">
        <x:v>0</x:v>
      </x:c>
      <x:c r="M639" s="48" t="str">
        <x:v>1</x:v>
      </x:c>
      <x:c r="N639" s="48" t="str">
        <x:v>3</x:v>
      </x:c>
      <x:c r="O639" s="48" t="str">
        <x:v>0</x:v>
      </x:c>
      <x:c r="P639" s="48" t="str">
        <x:v>0</x:v>
      </x:c>
      <x:c r="Q639" s="48" t="str">
        <x:v>1.000</x:v>
      </x:c>
      <x:c r="R639" s="48" t="str">
        <x:v>DRIVER DOES NOT SEPARATE</x:v>
      </x:c>
      <x:c r="S639" s="48" t="str">
        <x:v>0.000</x:v>
      </x:c>
      <x:c r="T639" s="48" t="str">
        <x:v>GLOBAL_TRANSATLANTIC:N=5,p=1.000; NORTH_AMERICA:N=6,p=1.000</x:v>
      </x:c>
      <x:c r="U639" s="48" t="str">
        <x:v>Maximum-minus-minimum prevalence among adequately observed groups is no more than 0.15.</x:v>
      </x:c>
      <x:c r="V639" s="48" t="str">
        <x:v>At least 5 observable manager families in at least 2 driver groups</x:v>
      </x:c>
      <x:c r="W639" s="48" t="str">
        <x:v>&gt;=0.35 separates; &lt;=0.15 does not separate; intermediate is inconclusive/confounded; direct driver-definition tests are CIRCULAR</x:v>
      </x:c>
      <x:c r="X639" s="48" t="str">
        <x:v>MANAGER_SELF_DESCRIPTION; NOT BEHAVIOURAL FREQUENCY</x:v>
      </x:c>
    </x:row>
    <x:row r="640">
      <x:c r="A640" s="48" t="str">
        <x:v>B_GOVERNANCE_SEGMENTATION</x:v>
      </x:c>
      <x:c r="B640" s="48" t="str">
        <x:v>Tier B v1.1 - N=29 rerun</x:v>
      </x:c>
      <x:c r="C640" s="48" t="str">
        <x:v>2026-07-16</x:v>
      </x:c>
      <x:c r="D640" s="48" t="str">
        <x:v>O01</x:v>
      </x:c>
      <x:c r="E640" s="48" t="str">
        <x:v>OWNERSHIP_MONITORING</x:v>
      </x:c>
      <x:c r="F640" s="48" t="str">
        <x:v>Same deal team remains involved through ownership or exit</x:v>
      </x:c>
      <x:c r="G640" s="48" t="str">
        <x:v>geography</x:v>
      </x:c>
      <x:c r="H640" s="48" t="str">
        <x:v>EUROPE</x:v>
      </x:c>
      <x:c r="I640" s="48" t="str">
        <x:v>2</x:v>
      </x:c>
      <x:c r="J640" s="48" t="str">
        <x:v>1</x:v>
      </x:c>
      <x:c r="K640" s="48" t="str">
        <x:v>0</x:v>
      </x:c>
      <x:c r="L640" s="48" t="str">
        <x:v>0</x:v>
      </x:c>
      <x:c r="M640" s="48" t="str">
        <x:v>1</x:v>
      </x:c>
      <x:c r="N640" s="48" t="str">
        <x:v>1</x:v>
      </x:c>
      <x:c r="O640" s="48" t="str">
        <x:v>0</x:v>
      </x:c>
      <x:c r="P640" s="48" t="str">
        <x:v>0</x:v>
      </x:c>
      <x:c r="Q640" s="48" t="str">
        <x:v>1.000</x:v>
      </x:c>
      <x:c r="R640" s="48" t="str">
        <x:v>DRIVER DOES NOT SEPARATE</x:v>
      </x:c>
      <x:c r="S640" s="48" t="str">
        <x:v>0.000</x:v>
      </x:c>
      <x:c r="T640" s="48" t="str">
        <x:v>GLOBAL_TRANSATLANTIC:N=5,p=1.000; NORTH_AMERICA:N=6,p=1.000</x:v>
      </x:c>
      <x:c r="U640" s="48" t="str">
        <x:v>Maximum-minus-minimum prevalence among adequately observed groups is no more than 0.15.</x:v>
      </x:c>
      <x:c r="V640" s="48" t="str">
        <x:v>At least 5 observable manager families in at least 2 driver groups</x:v>
      </x:c>
      <x:c r="W640" s="48" t="str">
        <x:v>&gt;=0.35 separates; &lt;=0.15 does not separate; intermediate is inconclusive/confounded; direct driver-definition tests are CIRCULAR</x:v>
      </x:c>
      <x:c r="X640" s="48" t="str">
        <x:v>MANAGER_SELF_DESCRIPTION; NOT BEHAVIOURAL FREQUENCY</x:v>
      </x:c>
    </x:row>
    <x:row r="641">
      <x:c r="A641" s="48" t="str">
        <x:v>B_GOVERNANCE_SEGMENTATION</x:v>
      </x:c>
      <x:c r="B641" s="48" t="str">
        <x:v>Tier B v1.1 - N=29 rerun</x:v>
      </x:c>
      <x:c r="C641" s="48" t="str">
        <x:v>2026-07-16</x:v>
      </x:c>
      <x:c r="D641" s="48" t="str">
        <x:v>O01</x:v>
      </x:c>
      <x:c r="E641" s="48" t="str">
        <x:v>OWNERSHIP_MONITORING</x:v>
      </x:c>
      <x:c r="F641" s="48" t="str">
        <x:v>Same deal team remains involved through ownership or exit</x:v>
      </x:c>
      <x:c r="G641" s="48" t="str">
        <x:v>geography</x:v>
      </x:c>
      <x:c r="H641" s="48" t="str">
        <x:v>GLOBAL_TRANSATLANTIC</x:v>
      </x:c>
      <x:c r="I641" s="48" t="str">
        <x:v>10</x:v>
      </x:c>
      <x:c r="J641" s="48" t="str">
        <x:v>5</x:v>
      </x:c>
      <x:c r="K641" s="48" t="str">
        <x:v>0</x:v>
      </x:c>
      <x:c r="L641" s="48" t="str">
        <x:v>0</x:v>
      </x:c>
      <x:c r="M641" s="48" t="str">
        <x:v>5</x:v>
      </x:c>
      <x:c r="N641" s="48" t="str">
        <x:v>5</x:v>
      </x:c>
      <x:c r="O641" s="48" t="str">
        <x:v>0</x:v>
      </x:c>
      <x:c r="P641" s="48" t="str">
        <x:v>0</x:v>
      </x:c>
      <x:c r="Q641" s="48" t="str">
        <x:v>1.000</x:v>
      </x:c>
      <x:c r="R641" s="48" t="str">
        <x:v>DRIVER DOES NOT SEPARATE</x:v>
      </x:c>
      <x:c r="S641" s="48" t="str">
        <x:v>0.000</x:v>
      </x:c>
      <x:c r="T641" s="48" t="str">
        <x:v>GLOBAL_TRANSATLANTIC:N=5,p=1.000; NORTH_AMERICA:N=6,p=1.000</x:v>
      </x:c>
      <x:c r="U641" s="48" t="str">
        <x:v>Maximum-minus-minimum prevalence among adequately observed groups is no more than 0.15.</x:v>
      </x:c>
      <x:c r="V641" s="48" t="str">
        <x:v>At least 5 observable manager families in at least 2 driver groups</x:v>
      </x:c>
      <x:c r="W641" s="48" t="str">
        <x:v>&gt;=0.35 separates; &lt;=0.15 does not separate; intermediate is inconclusive/confounded; direct driver-definition tests are CIRCULAR</x:v>
      </x:c>
      <x:c r="X641" s="48" t="str">
        <x:v>MANAGER_SELF_DESCRIPTION; NOT BEHAVIOURAL FREQUENCY</x:v>
      </x:c>
    </x:row>
    <x:row r="642">
      <x:c r="A642" s="48" t="str">
        <x:v>B_GOVERNANCE_SEGMENTATION</x:v>
      </x:c>
      <x:c r="B642" s="48" t="str">
        <x:v>Tier B v1.1 - N=29 rerun</x:v>
      </x:c>
      <x:c r="C642" s="48" t="str">
        <x:v>2026-07-16</x:v>
      </x:c>
      <x:c r="D642" s="48" t="str">
        <x:v>O01</x:v>
      </x:c>
      <x:c r="E642" s="48" t="str">
        <x:v>OWNERSHIP_MONITORING</x:v>
      </x:c>
      <x:c r="F642" s="48" t="str">
        <x:v>Same deal team remains involved through ownership or exit</x:v>
      </x:c>
      <x:c r="G642" s="48" t="str">
        <x:v>geography</x:v>
      </x:c>
      <x:c r="H642" s="48" t="str">
        <x:v>NORTH_AMERICA</x:v>
      </x:c>
      <x:c r="I642" s="48" t="str">
        <x:v>13</x:v>
      </x:c>
      <x:c r="J642" s="48" t="str">
        <x:v>6</x:v>
      </x:c>
      <x:c r="K642" s="48" t="str">
        <x:v>0</x:v>
      </x:c>
      <x:c r="L642" s="48" t="str">
        <x:v>0</x:v>
      </x:c>
      <x:c r="M642" s="48" t="str">
        <x:v>6</x:v>
      </x:c>
      <x:c r="N642" s="48" t="str">
        <x:v>7</x:v>
      </x:c>
      <x:c r="O642" s="48" t="str">
        <x:v>0</x:v>
      </x:c>
      <x:c r="P642" s="48" t="str">
        <x:v>0</x:v>
      </x:c>
      <x:c r="Q642" s="48" t="str">
        <x:v>1.000</x:v>
      </x:c>
      <x:c r="R642" s="48" t="str">
        <x:v>DRIVER DOES NOT SEPARATE</x:v>
      </x:c>
      <x:c r="S642" s="48" t="str">
        <x:v>0.000</x:v>
      </x:c>
      <x:c r="T642" s="48" t="str">
        <x:v>GLOBAL_TRANSATLANTIC:N=5,p=1.000; NORTH_AMERICA:N=6,p=1.000</x:v>
      </x:c>
      <x:c r="U642" s="48" t="str">
        <x:v>Maximum-minus-minimum prevalence among adequately observed groups is no more than 0.15.</x:v>
      </x:c>
      <x:c r="V642" s="48" t="str">
        <x:v>At least 5 observable manager families in at least 2 driver groups</x:v>
      </x:c>
      <x:c r="W642" s="48" t="str">
        <x:v>&gt;=0.35 separates; &lt;=0.15 does not separate; intermediate is inconclusive/confounded; direct driver-definition tests are CIRCULAR</x:v>
      </x:c>
      <x:c r="X642" s="48" t="str">
        <x:v>MANAGER_SELF_DESCRIPTION; NOT BEHAVIOURAL FREQUENCY</x:v>
      </x:c>
    </x:row>
    <x:row r="643">
      <x:c r="A643" s="48" t="str">
        <x:v>B_GOVERNANCE_SEGMENTATION</x:v>
      </x:c>
      <x:c r="B643" s="48" t="str">
        <x:v>Tier B v1.1 - N=29 rerun</x:v>
      </x:c>
      <x:c r="C643" s="48" t="str">
        <x:v>2026-07-16</x:v>
      </x:c>
      <x:c r="D643" s="48" t="str">
        <x:v>O01</x:v>
      </x:c>
      <x:c r="E643" s="48" t="str">
        <x:v>OWNERSHIP_MONITORING</x:v>
      </x:c>
      <x:c r="F643" s="48" t="str">
        <x:v>Same deal team remains involved through ownership or exit</x:v>
      </x:c>
      <x:c r="G643" s="48" t="str">
        <x:v>source_vintage_bin</x:v>
      </x:c>
      <x:c r="H643" s="48" t="str">
        <x:v>2018_2020</x:v>
      </x:c>
      <x:c r="I643" s="48" t="str">
        <x:v>6</x:v>
      </x:c>
      <x:c r="J643" s="48" t="str">
        <x:v>3</x:v>
      </x:c>
      <x:c r="K643" s="48" t="str">
        <x:v>0</x:v>
      </x:c>
      <x:c r="L643" s="48" t="str">
        <x:v>0</x:v>
      </x:c>
      <x:c r="M643" s="48" t="str">
        <x:v>3</x:v>
      </x:c>
      <x:c r="N643" s="48" t="str">
        <x:v>3</x:v>
      </x:c>
      <x:c r="O643" s="48" t="str">
        <x:v>0</x:v>
      </x:c>
      <x:c r="P643" s="48" t="str">
        <x:v>0</x:v>
      </x:c>
      <x:c r="Q643" s="48" t="str">
        <x:v>1.000</x:v>
      </x:c>
      <x:c r="R643" s="48" t="str">
        <x:v>DRIVER DOES NOT SEPARATE</x:v>
      </x:c>
      <x:c r="S643" s="48" t="str">
        <x:v>0.000</x:v>
      </x:c>
      <x:c r="T643" s="48" t="str">
        <x:v>2021_2023:N=5,p=1.000; 2024_2026:N=5,p=1.000</x:v>
      </x:c>
      <x:c r="U643" s="48" t="str">
        <x:v>Maximum-minus-minimum prevalence among adequately observed groups is no more than 0.15.</x:v>
      </x:c>
      <x:c r="V643" s="48" t="str">
        <x:v>At least 5 observable manager families in at least 2 driver groups</x:v>
      </x:c>
      <x:c r="W643" s="48" t="str">
        <x:v>&gt;=0.35 separates; &lt;=0.15 does not separate; intermediate is inconclusive/confounded; direct driver-definition tests are CIRCULAR</x:v>
      </x:c>
      <x:c r="X643" s="48" t="str">
        <x:v>MANAGER_SELF_DESCRIPTION; NOT BEHAVIOURAL FREQUENCY</x:v>
      </x:c>
    </x:row>
    <x:row r="644">
      <x:c r="A644" s="48" t="str">
        <x:v>B_GOVERNANCE_SEGMENTATION</x:v>
      </x:c>
      <x:c r="B644" s="48" t="str">
        <x:v>Tier B v1.1 - N=29 rerun</x:v>
      </x:c>
      <x:c r="C644" s="48" t="str">
        <x:v>2026-07-16</x:v>
      </x:c>
      <x:c r="D644" s="48" t="str">
        <x:v>O01</x:v>
      </x:c>
      <x:c r="E644" s="48" t="str">
        <x:v>OWNERSHIP_MONITORING</x:v>
      </x:c>
      <x:c r="F644" s="48" t="str">
        <x:v>Same deal team remains involved through ownership or exit</x:v>
      </x:c>
      <x:c r="G644" s="48" t="str">
        <x:v>source_vintage_bin</x:v>
      </x:c>
      <x:c r="H644" s="48" t="str">
        <x:v>2021_2023</x:v>
      </x:c>
      <x:c r="I644" s="48" t="str">
        <x:v>11</x:v>
      </x:c>
      <x:c r="J644" s="48" t="str">
        <x:v>5</x:v>
      </x:c>
      <x:c r="K644" s="48" t="str">
        <x:v>0</x:v>
      </x:c>
      <x:c r="L644" s="48" t="str">
        <x:v>0</x:v>
      </x:c>
      <x:c r="M644" s="48" t="str">
        <x:v>5</x:v>
      </x:c>
      <x:c r="N644" s="48" t="str">
        <x:v>6</x:v>
      </x:c>
      <x:c r="O644" s="48" t="str">
        <x:v>0</x:v>
      </x:c>
      <x:c r="P644" s="48" t="str">
        <x:v>0</x:v>
      </x:c>
      <x:c r="Q644" s="48" t="str">
        <x:v>1.000</x:v>
      </x:c>
      <x:c r="R644" s="48" t="str">
        <x:v>DRIVER DOES NOT SEPARATE</x:v>
      </x:c>
      <x:c r="S644" s="48" t="str">
        <x:v>0.000</x:v>
      </x:c>
      <x:c r="T644" s="48" t="str">
        <x:v>2021_2023:N=5,p=1.000; 2024_2026:N=5,p=1.000</x:v>
      </x:c>
      <x:c r="U644" s="48" t="str">
        <x:v>Maximum-minus-minimum prevalence among adequately observed groups is no more than 0.15.</x:v>
      </x:c>
      <x:c r="V644" s="48" t="str">
        <x:v>At least 5 observable manager families in at least 2 driver groups</x:v>
      </x:c>
      <x:c r="W644" s="48" t="str">
        <x:v>&gt;=0.35 separates; &lt;=0.15 does not separate; intermediate is inconclusive/confounded; direct driver-definition tests are CIRCULAR</x:v>
      </x:c>
      <x:c r="X644" s="48" t="str">
        <x:v>MANAGER_SELF_DESCRIPTION; NOT BEHAVIOURAL FREQUENCY</x:v>
      </x:c>
    </x:row>
    <x:row r="645">
      <x:c r="A645" s="48" t="str">
        <x:v>B_GOVERNANCE_SEGMENTATION</x:v>
      </x:c>
      <x:c r="B645" s="48" t="str">
        <x:v>Tier B v1.1 - N=29 rerun</x:v>
      </x:c>
      <x:c r="C645" s="48" t="str">
        <x:v>2026-07-16</x:v>
      </x:c>
      <x:c r="D645" s="48" t="str">
        <x:v>O01</x:v>
      </x:c>
      <x:c r="E645" s="48" t="str">
        <x:v>OWNERSHIP_MONITORING</x:v>
      </x:c>
      <x:c r="F645" s="48" t="str">
        <x:v>Same deal team remains involved through ownership or exit</x:v>
      </x:c>
      <x:c r="G645" s="48" t="str">
        <x:v>source_vintage_bin</x:v>
      </x:c>
      <x:c r="H645" s="48" t="str">
        <x:v>2024_2026</x:v>
      </x:c>
      <x:c r="I645" s="48" t="str">
        <x:v>12</x:v>
      </x:c>
      <x:c r="J645" s="48" t="str">
        <x:v>5</x:v>
      </x:c>
      <x:c r="K645" s="48" t="str">
        <x:v>0</x:v>
      </x:c>
      <x:c r="L645" s="48" t="str">
        <x:v>0</x:v>
      </x:c>
      <x:c r="M645" s="48" t="str">
        <x:v>5</x:v>
      </x:c>
      <x:c r="N645" s="48" t="str">
        <x:v>7</x:v>
      </x:c>
      <x:c r="O645" s="48" t="str">
        <x:v>0</x:v>
      </x:c>
      <x:c r="P645" s="48" t="str">
        <x:v>0</x:v>
      </x:c>
      <x:c r="Q645" s="48" t="str">
        <x:v>1.000</x:v>
      </x:c>
      <x:c r="R645" s="48" t="str">
        <x:v>DRIVER DOES NOT SEPARATE</x:v>
      </x:c>
      <x:c r="S645" s="48" t="str">
        <x:v>0.000</x:v>
      </x:c>
      <x:c r="T645" s="48" t="str">
        <x:v>2021_2023:N=5,p=1.000; 2024_2026:N=5,p=1.000</x:v>
      </x:c>
      <x:c r="U645" s="48" t="str">
        <x:v>Maximum-minus-minimum prevalence among adequately observed groups is no more than 0.15.</x:v>
      </x:c>
      <x:c r="V645" s="48" t="str">
        <x:v>At least 5 observable manager families in at least 2 driver groups</x:v>
      </x:c>
      <x:c r="W645" s="48" t="str">
        <x:v>&gt;=0.35 separates; &lt;=0.15 does not separate; intermediate is inconclusive/confounded; direct driver-definition tests are CIRCULAR</x:v>
      </x:c>
      <x:c r="X645" s="48" t="str">
        <x:v>MANAGER_SELF_DESCRIPTION; NOT BEHAVIOURAL FREQUENCY</x:v>
      </x:c>
    </x:row>
    <x:row r="646">
      <x:c r="A646" s="48" t="str">
        <x:v>B_GOVERNANCE_SEGMENTATION</x:v>
      </x:c>
      <x:c r="B646" s="48" t="str">
        <x:v>Tier B v1.1 - N=29 rerun</x:v>
      </x:c>
      <x:c r="C646" s="48" t="str">
        <x:v>2026-07-16</x:v>
      </x:c>
      <x:c r="D646" s="48" t="str">
        <x:v>O01</x:v>
      </x:c>
      <x:c r="E646" s="48" t="str">
        <x:v>OWNERSHIP_MONITORING</x:v>
      </x:c>
      <x:c r="F646" s="48" t="str">
        <x:v>Same deal team remains involved through ownership or exit</x:v>
      </x:c>
      <x:c r="G646" s="48" t="str">
        <x:v>governance_architecture</x:v>
      </x:c>
      <x:c r="H646" s="48" t="str">
        <x:v>IC_FINAL_OR_DE_FACTO</x:v>
      </x:c>
      <x:c r="I646" s="48" t="str">
        <x:v>26</x:v>
      </x:c>
      <x:c r="J646" s="48" t="str">
        <x:v>12</x:v>
      </x:c>
      <x:c r="K646" s="48" t="str">
        <x:v>0</x:v>
      </x:c>
      <x:c r="L646" s="48" t="str">
        <x:v>0</x:v>
      </x:c>
      <x:c r="M646" s="48" t="str">
        <x:v>12</x:v>
      </x:c>
      <x:c r="N646" s="48" t="str">
        <x:v>14</x:v>
      </x:c>
      <x:c r="O646" s="48" t="str">
        <x:v>0</x:v>
      </x:c>
      <x:c r="P646" s="48" t="str">
        <x:v>0</x:v>
      </x:c>
      <x:c r="Q646" s="48" t="str">
        <x:v>1.000</x:v>
      </x:c>
      <x:c r="R646" s="48" t="str">
        <x:v>N TOO SMALL</x:v>
      </x:c>
      <x:c r="S646" s="48" t="str"/>
      <x:c r="T646" s="48" t="str">
        <x:v>IC_FINAL_OR_DE_FACTO:N=12,p=1.000</x:v>
      </x:c>
      <x:c r="U646" s="48" t="str">
        <x:v>Fewer than two driver groups have at least 5 observable manager families.</x:v>
      </x:c>
      <x:c r="V646" s="48" t="str">
        <x:v>At least 5 observable manager families in at least 2 driver groups</x:v>
      </x:c>
      <x:c r="W646" s="48" t="str">
        <x:v>&gt;=0.35 separates; &lt;=0.15 does not separate; intermediate is inconclusive/confounded; direct driver-definition tests are CIRCULAR</x:v>
      </x:c>
      <x:c r="X646" s="48" t="str">
        <x:v>MANAGER_SELF_DESCRIPTION; NOT BEHAVIOURAL FREQUENCY</x:v>
      </x:c>
    </x:row>
    <x:row r="647">
      <x:c r="A647" s="48" t="str">
        <x:v>B_GOVERNANCE_SEGMENTATION</x:v>
      </x:c>
      <x:c r="B647" s="48" t="str">
        <x:v>Tier B v1.1 - N=29 rerun</x:v>
      </x:c>
      <x:c r="C647" s="48" t="str">
        <x:v>2026-07-16</x:v>
      </x:c>
      <x:c r="D647" s="48" t="str">
        <x:v>O01</x:v>
      </x:c>
      <x:c r="E647" s="48" t="str">
        <x:v>OWNERSHIP_MONITORING</x:v>
      </x:c>
      <x:c r="F647" s="48" t="str">
        <x:v>Same deal team remains involved through ownership or exit</x:v>
      </x:c>
      <x:c r="G647" s="48" t="str">
        <x:v>governance_architecture</x:v>
      </x:c>
      <x:c r="H647" s="48" t="str">
        <x:v>IC_RECOMMENDS_SEPARATE_FINAL_AUTHORITY</x:v>
      </x:c>
      <x:c r="I647" s="48" t="str">
        <x:v>3</x:v>
      </x:c>
      <x:c r="J647" s="48" t="str">
        <x:v>1</x:v>
      </x:c>
      <x:c r="K647" s="48" t="str">
        <x:v>0</x:v>
      </x:c>
      <x:c r="L647" s="48" t="str">
        <x:v>0</x:v>
      </x:c>
      <x:c r="M647" s="48" t="str">
        <x:v>1</x:v>
      </x:c>
      <x:c r="N647" s="48" t="str">
        <x:v>2</x:v>
      </x:c>
      <x:c r="O647" s="48" t="str">
        <x:v>0</x:v>
      </x:c>
      <x:c r="P647" s="48" t="str">
        <x:v>0</x:v>
      </x:c>
      <x:c r="Q647" s="48" t="str">
        <x:v>1.000</x:v>
      </x:c>
      <x:c r="R647" s="48" t="str">
        <x:v>N TOO SMALL</x:v>
      </x:c>
      <x:c r="S647" s="48" t="str"/>
      <x:c r="T647" s="48" t="str">
        <x:v>IC_FINAL_OR_DE_FACTO:N=12,p=1.000</x:v>
      </x:c>
      <x:c r="U647" s="48" t="str">
        <x:v>Fewer than two driver groups have at least 5 observable manager families.</x:v>
      </x:c>
      <x:c r="V647" s="48" t="str">
        <x:v>At least 5 observable manager families in at least 2 driver groups</x:v>
      </x:c>
      <x:c r="W647" s="48" t="str">
        <x:v>&gt;=0.35 separates; &lt;=0.15 does not separate; intermediate is inconclusive/confounded; direct driver-definition tests are CIRCULAR</x:v>
      </x:c>
      <x:c r="X647" s="48" t="str">
        <x:v>MANAGER_SELF_DESCRIPTION; NOT BEHAVIOURAL FREQUENCY</x:v>
      </x:c>
    </x:row>
    <x:row r="648">
      <x:c r="A648" s="48" t="str">
        <x:v>B_GOVERNANCE_SEGMENTATION</x:v>
      </x:c>
      <x:c r="B648" s="48" t="str">
        <x:v>Tier B v1.1 - N=29 rerun</x:v>
      </x:c>
      <x:c r="C648" s="48" t="str">
        <x:v>2026-07-16</x:v>
      </x:c>
      <x:c r="D648" s="48" t="str">
        <x:v>O01</x:v>
      </x:c>
      <x:c r="E648" s="48" t="str">
        <x:v>OWNERSHIP_MONITORING</x:v>
      </x:c>
      <x:c r="F648" s="48" t="str">
        <x:v>Same deal team remains involved through ownership or exit</x:v>
      </x:c>
      <x:c r="G648" s="48" t="str">
        <x:v>dedicated_operating_team</x:v>
      </x:c>
      <x:c r="H648" s="48" t="str">
        <x:v>NO_OR_LIMITED</x:v>
      </x:c>
      <x:c r="I648" s="48" t="str">
        <x:v>6</x:v>
      </x:c>
      <x:c r="J648" s="48" t="str">
        <x:v>5</x:v>
      </x:c>
      <x:c r="K648" s="48" t="str">
        <x:v>0</x:v>
      </x:c>
      <x:c r="L648" s="48" t="str">
        <x:v>0</x:v>
      </x:c>
      <x:c r="M648" s="48" t="str">
        <x:v>5</x:v>
      </x:c>
      <x:c r="N648" s="48" t="str">
        <x:v>1</x:v>
      </x:c>
      <x:c r="O648" s="48" t="str">
        <x:v>0</x:v>
      </x:c>
      <x:c r="P648" s="48" t="str">
        <x:v>0</x:v>
      </x:c>
      <x:c r="Q648" s="48" t="str">
        <x:v>1.000</x:v>
      </x:c>
      <x:c r="R648" s="48" t="str">
        <x:v>DRIVER DOES NOT SEPARATE</x:v>
      </x:c>
      <x:c r="S648" s="48" t="str">
        <x:v>0.000</x:v>
      </x:c>
      <x:c r="T648" s="48" t="str">
        <x:v>NO_OR_LIMITED:N=5,p=1.000; YES_DEDICATED:N=8,p=1.000</x:v>
      </x:c>
      <x:c r="U648" s="48" t="str">
        <x:v>Maximum-minus-minimum prevalence among adequately observed groups is no more than 0.15.</x:v>
      </x:c>
      <x:c r="V648" s="48" t="str">
        <x:v>At least 5 observable manager families in at least 2 driver groups</x:v>
      </x:c>
      <x:c r="W648" s="48" t="str">
        <x:v>&gt;=0.35 separates; &lt;=0.15 does not separate; intermediate is inconclusive/confounded; direct driver-definition tests are CIRCULAR</x:v>
      </x:c>
      <x:c r="X648" s="48" t="str">
        <x:v>MANAGER_SELF_DESCRIPTION; NOT BEHAVIOURAL FREQUENCY</x:v>
      </x:c>
    </x:row>
    <x:row r="649">
      <x:c r="A649" s="48" t="str">
        <x:v>B_GOVERNANCE_SEGMENTATION</x:v>
      </x:c>
      <x:c r="B649" s="48" t="str">
        <x:v>Tier B v1.1 - N=29 rerun</x:v>
      </x:c>
      <x:c r="C649" s="48" t="str">
        <x:v>2026-07-16</x:v>
      </x:c>
      <x:c r="D649" s="48" t="str">
        <x:v>O01</x:v>
      </x:c>
      <x:c r="E649" s="48" t="str">
        <x:v>OWNERSHIP_MONITORING</x:v>
      </x:c>
      <x:c r="F649" s="48" t="str">
        <x:v>Same deal team remains involved through ownership or exit</x:v>
      </x:c>
      <x:c r="G649" s="48" t="str">
        <x:v>dedicated_operating_team</x:v>
      </x:c>
      <x:c r="H649" s="48" t="str">
        <x:v>YES_DEDICATED</x:v>
      </x:c>
      <x:c r="I649" s="48" t="str">
        <x:v>23</x:v>
      </x:c>
      <x:c r="J649" s="48" t="str">
        <x:v>8</x:v>
      </x:c>
      <x:c r="K649" s="48" t="str">
        <x:v>0</x:v>
      </x:c>
      <x:c r="L649" s="48" t="str">
        <x:v>0</x:v>
      </x:c>
      <x:c r="M649" s="48" t="str">
        <x:v>8</x:v>
      </x:c>
      <x:c r="N649" s="48" t="str">
        <x:v>15</x:v>
      </x:c>
      <x:c r="O649" s="48" t="str">
        <x:v>0</x:v>
      </x:c>
      <x:c r="P649" s="48" t="str">
        <x:v>0</x:v>
      </x:c>
      <x:c r="Q649" s="48" t="str">
        <x:v>1.000</x:v>
      </x:c>
      <x:c r="R649" s="48" t="str">
        <x:v>DRIVER DOES NOT SEPARATE</x:v>
      </x:c>
      <x:c r="S649" s="48" t="str">
        <x:v>0.000</x:v>
      </x:c>
      <x:c r="T649" s="48" t="str">
        <x:v>NO_OR_LIMITED:N=5,p=1.000; YES_DEDICATED:N=8,p=1.000</x:v>
      </x:c>
      <x:c r="U649" s="48" t="str">
        <x:v>Maximum-minus-minimum prevalence among adequately observed groups is no more than 0.15.</x:v>
      </x:c>
      <x:c r="V649" s="48" t="str">
        <x:v>At least 5 observable manager families in at least 2 driver groups</x:v>
      </x:c>
      <x:c r="W649" s="48" t="str">
        <x:v>&gt;=0.35 separates; &lt;=0.15 does not separate; intermediate is inconclusive/confounded; direct driver-definition tests are CIRCULAR</x:v>
      </x:c>
      <x:c r="X649" s="48" t="str">
        <x:v>MANAGER_SELF_DESCRIPTION; NOT BEHAVIOURAL FREQUENCY</x:v>
      </x:c>
    </x:row>
    <x:row r="650">
      <x:c r="A650" s="48" t="str">
        <x:v>B_GOVERNANCE_SEGMENTATION</x:v>
      </x:c>
      <x:c r="B650" s="48" t="str">
        <x:v>Tier B v1.1 - N=29 rerun</x:v>
      </x:c>
      <x:c r="C650" s="48" t="str">
        <x:v>2026-07-16</x:v>
      </x:c>
      <x:c r="D650" s="48" t="str">
        <x:v>O02</x:v>
      </x:c>
      <x:c r="E650" s="48" t="str">
        <x:v>OWNERSHIP_MONITORING</x:v>
      </x:c>
      <x:c r="F650" s="48" t="str">
        <x:v>Formal post-close KPI or re-underwriting system</x:v>
      </x:c>
      <x:c r="G650" s="48" t="str">
        <x:v>fund_size_archetype</x:v>
      </x:c>
      <x:c r="H650" s="48" t="str">
        <x:v>LARGE_2_TO_LT_5B</x:v>
      </x:c>
      <x:c r="I650" s="48" t="str">
        <x:v>9</x:v>
      </x:c>
      <x:c r="J650" s="48" t="str">
        <x:v>9</x:v>
      </x:c>
      <x:c r="K650" s="48" t="str">
        <x:v>0</x:v>
      </x:c>
      <x:c r="L650" s="48" t="str">
        <x:v>0</x:v>
      </x:c>
      <x:c r="M650" s="48" t="str">
        <x:v>9</x:v>
      </x:c>
      <x:c r="N650" s="48" t="str">
        <x:v>0</x:v>
      </x:c>
      <x:c r="O650" s="48" t="str">
        <x:v>0</x:v>
      </x:c>
      <x:c r="P650" s="48" t="str">
        <x:v>0</x:v>
      </x:c>
      <x:c r="Q650" s="48" t="str">
        <x:v>1.000</x:v>
      </x:c>
      <x:c r="R650" s="48" t="str">
        <x:v>DRIVER DOES NOT SEPARATE</x:v>
      </x:c>
      <x:c r="S650" s="48" t="str">
        <x:v>0.000</x:v>
      </x:c>
      <x:c r="T650" s="48" t="str">
        <x:v>LARGE_2_TO_LT_5B:N=9,p=1.000; LOWER_MID_LT_2B:N=8,p=1.000; MEGA_GE_5B:N=11,p=1.000</x:v>
      </x:c>
      <x:c r="U650" s="48" t="str">
        <x:v>Maximum-minus-minimum prevalence among adequately observed groups is no more than 0.15.</x:v>
      </x:c>
      <x:c r="V650" s="48" t="str">
        <x:v>At least 5 observable manager families in at least 2 driver groups</x:v>
      </x:c>
      <x:c r="W650" s="48" t="str">
        <x:v>&gt;=0.35 separates; &lt;=0.15 does not separate; intermediate is inconclusive/confounded; direct driver-definition tests are CIRCULAR</x:v>
      </x:c>
      <x:c r="X650" s="48" t="str">
        <x:v>MANAGER_SELF_DESCRIPTION; NOT BEHAVIOURAL FREQUENCY</x:v>
      </x:c>
    </x:row>
    <x:row r="651">
      <x:c r="A651" s="48" t="str">
        <x:v>B_GOVERNANCE_SEGMENTATION</x:v>
      </x:c>
      <x:c r="B651" s="48" t="str">
        <x:v>Tier B v1.1 - N=29 rerun</x:v>
      </x:c>
      <x:c r="C651" s="48" t="str">
        <x:v>2026-07-16</x:v>
      </x:c>
      <x:c r="D651" s="48" t="str">
        <x:v>O02</x:v>
      </x:c>
      <x:c r="E651" s="48" t="str">
        <x:v>OWNERSHIP_MONITORING</x:v>
      </x:c>
      <x:c r="F651" s="48" t="str">
        <x:v>Formal post-close KPI or re-underwriting system</x:v>
      </x:c>
      <x:c r="G651" s="48" t="str">
        <x:v>fund_size_archetype</x:v>
      </x:c>
      <x:c r="H651" s="48" t="str">
        <x:v>LOWER_MID_LT_2B</x:v>
      </x:c>
      <x:c r="I651" s="48" t="str">
        <x:v>8</x:v>
      </x:c>
      <x:c r="J651" s="48" t="str">
        <x:v>8</x:v>
      </x:c>
      <x:c r="K651" s="48" t="str">
        <x:v>0</x:v>
      </x:c>
      <x:c r="L651" s="48" t="str">
        <x:v>0</x:v>
      </x:c>
      <x:c r="M651" s="48" t="str">
        <x:v>8</x:v>
      </x:c>
      <x:c r="N651" s="48" t="str">
        <x:v>0</x:v>
      </x:c>
      <x:c r="O651" s="48" t="str">
        <x:v>0</x:v>
      </x:c>
      <x:c r="P651" s="48" t="str">
        <x:v>0</x:v>
      </x:c>
      <x:c r="Q651" s="48" t="str">
        <x:v>1.000</x:v>
      </x:c>
      <x:c r="R651" s="48" t="str">
        <x:v>DRIVER DOES NOT SEPARATE</x:v>
      </x:c>
      <x:c r="S651" s="48" t="str">
        <x:v>0.000</x:v>
      </x:c>
      <x:c r="T651" s="48" t="str">
        <x:v>LARGE_2_TO_LT_5B:N=9,p=1.000; LOWER_MID_LT_2B:N=8,p=1.000; MEGA_GE_5B:N=11,p=1.000</x:v>
      </x:c>
      <x:c r="U651" s="48" t="str">
        <x:v>Maximum-minus-minimum prevalence among adequately observed groups is no more than 0.15.</x:v>
      </x:c>
      <x:c r="V651" s="48" t="str">
        <x:v>At least 5 observable manager families in at least 2 driver groups</x:v>
      </x:c>
      <x:c r="W651" s="48" t="str">
        <x:v>&gt;=0.35 separates; &lt;=0.15 does not separate; intermediate is inconclusive/confounded; direct driver-definition tests are CIRCULAR</x:v>
      </x:c>
      <x:c r="X651" s="48" t="str">
        <x:v>MANAGER_SELF_DESCRIPTION; NOT BEHAVIOURAL FREQUENCY</x:v>
      </x:c>
    </x:row>
    <x:row r="652">
      <x:c r="A652" s="48" t="str">
        <x:v>B_GOVERNANCE_SEGMENTATION</x:v>
      </x:c>
      <x:c r="B652" s="48" t="str">
        <x:v>Tier B v1.1 - N=29 rerun</x:v>
      </x:c>
      <x:c r="C652" s="48" t="str">
        <x:v>2026-07-16</x:v>
      </x:c>
      <x:c r="D652" s="48" t="str">
        <x:v>O02</x:v>
      </x:c>
      <x:c r="E652" s="48" t="str">
        <x:v>OWNERSHIP_MONITORING</x:v>
      </x:c>
      <x:c r="F652" s="48" t="str">
        <x:v>Formal post-close KPI or re-underwriting system</x:v>
      </x:c>
      <x:c r="G652" s="48" t="str">
        <x:v>fund_size_archetype</x:v>
      </x:c>
      <x:c r="H652" s="48" t="str">
        <x:v>MEGA_GE_5B</x:v>
      </x:c>
      <x:c r="I652" s="48" t="str">
        <x:v>11</x:v>
      </x:c>
      <x:c r="J652" s="48" t="str">
        <x:v>11</x:v>
      </x:c>
      <x:c r="K652" s="48" t="str">
        <x:v>0</x:v>
      </x:c>
      <x:c r="L652" s="48" t="str">
        <x:v>0</x:v>
      </x:c>
      <x:c r="M652" s="48" t="str">
        <x:v>11</x:v>
      </x:c>
      <x:c r="N652" s="48" t="str">
        <x:v>0</x:v>
      </x:c>
      <x:c r="O652" s="48" t="str">
        <x:v>0</x:v>
      </x:c>
      <x:c r="P652" s="48" t="str">
        <x:v>0</x:v>
      </x:c>
      <x:c r="Q652" s="48" t="str">
        <x:v>1.000</x:v>
      </x:c>
      <x:c r="R652" s="48" t="str">
        <x:v>DRIVER DOES NOT SEPARATE</x:v>
      </x:c>
      <x:c r="S652" s="48" t="str">
        <x:v>0.000</x:v>
      </x:c>
      <x:c r="T652" s="48" t="str">
        <x:v>LARGE_2_TO_LT_5B:N=9,p=1.000; LOWER_MID_LT_2B:N=8,p=1.000; MEGA_GE_5B:N=11,p=1.000</x:v>
      </x:c>
      <x:c r="U652" s="48" t="str">
        <x:v>Maximum-minus-minimum prevalence among adequately observed groups is no more than 0.15.</x:v>
      </x:c>
      <x:c r="V652" s="48" t="str">
        <x:v>At least 5 observable manager families in at least 2 driver groups</x:v>
      </x:c>
      <x:c r="W652" s="48" t="str">
        <x:v>&gt;=0.35 separates; &lt;=0.15 does not separate; intermediate is inconclusive/confounded; direct driver-definition tests are CIRCULAR</x:v>
      </x:c>
      <x:c r="X652" s="48" t="str">
        <x:v>MANAGER_SELF_DESCRIPTION; NOT BEHAVIOURAL FREQUENCY</x:v>
      </x:c>
    </x:row>
    <x:row r="653">
      <x:c r="A653" s="48" t="str">
        <x:v>B_GOVERNANCE_SEGMENTATION</x:v>
      </x:c>
      <x:c r="B653" s="48" t="str">
        <x:v>Tier B v1.1 - N=29 rerun</x:v>
      </x:c>
      <x:c r="C653" s="48" t="str">
        <x:v>2026-07-16</x:v>
      </x:c>
      <x:c r="D653" s="48" t="str">
        <x:v>O02</x:v>
      </x:c>
      <x:c r="E653" s="48" t="str">
        <x:v>OWNERSHIP_MONITORING</x:v>
      </x:c>
      <x:c r="F653" s="48" t="str">
        <x:v>Formal post-close KPI or re-underwriting system</x:v>
      </x:c>
      <x:c r="G653" s="48" t="str">
        <x:v>fund_size_archetype</x:v>
      </x:c>
      <x:c r="H653" s="48" t="str">
        <x:v>NOT_APPLICABLE</x:v>
      </x:c>
      <x:c r="I653" s="48" t="str">
        <x:v>1</x:v>
      </x:c>
      <x:c r="J653" s="48" t="str">
        <x:v>1</x:v>
      </x:c>
      <x:c r="K653" s="48" t="str">
        <x:v>0</x:v>
      </x:c>
      <x:c r="L653" s="48" t="str">
        <x:v>0</x:v>
      </x:c>
      <x:c r="M653" s="48" t="str">
        <x:v>1</x:v>
      </x:c>
      <x:c r="N653" s="48" t="str">
        <x:v>0</x:v>
      </x:c>
      <x:c r="O653" s="48" t="str">
        <x:v>0</x:v>
      </x:c>
      <x:c r="P653" s="48" t="str">
        <x:v>0</x:v>
      </x:c>
      <x:c r="Q653" s="48" t="str">
        <x:v>1.000</x:v>
      </x:c>
      <x:c r="R653" s="48" t="str">
        <x:v>DRIVER DOES NOT SEPARATE</x:v>
      </x:c>
      <x:c r="S653" s="48" t="str">
        <x:v>0.000</x:v>
      </x:c>
      <x:c r="T653" s="48" t="str">
        <x:v>LARGE_2_TO_LT_5B:N=9,p=1.000; LOWER_MID_LT_2B:N=8,p=1.000; MEGA_GE_5B:N=11,p=1.000</x:v>
      </x:c>
      <x:c r="U653" s="48" t="str">
        <x:v>Maximum-minus-minimum prevalence among adequately observed groups is no more than 0.15.</x:v>
      </x:c>
      <x:c r="V653" s="48" t="str">
        <x:v>At least 5 observable manager families in at least 2 driver groups</x:v>
      </x:c>
      <x:c r="W653" s="48" t="str">
        <x:v>&gt;=0.35 separates; &lt;=0.15 does not separate; intermediate is inconclusive/confounded; direct driver-definition tests are CIRCULAR</x:v>
      </x:c>
      <x:c r="X653" s="48" t="str">
        <x:v>MANAGER_SELF_DESCRIPTION; NOT BEHAVIOURAL FREQUENCY</x:v>
      </x:c>
    </x:row>
    <x:row r="654">
      <x:c r="A654" s="48" t="str">
        <x:v>B_GOVERNANCE_SEGMENTATION</x:v>
      </x:c>
      <x:c r="B654" s="48" t="str">
        <x:v>Tier B v1.1 - N=29 rerun</x:v>
      </x:c>
      <x:c r="C654" s="48" t="str">
        <x:v>2026-07-16</x:v>
      </x:c>
      <x:c r="D654" s="48" t="str">
        <x:v>O02</x:v>
      </x:c>
      <x:c r="E654" s="48" t="str">
        <x:v>OWNERSHIP_MONITORING</x:v>
      </x:c>
      <x:c r="F654" s="48" t="str">
        <x:v>Formal post-close KPI or re-underwriting system</x:v>
      </x:c>
      <x:c r="G654" s="48" t="str">
        <x:v>strategy</x:v>
      </x:c>
      <x:c r="H654" s="48" t="str">
        <x:v>CONTROL_BUYOUT</x:v>
      </x:c>
      <x:c r="I654" s="48" t="str">
        <x:v>22</x:v>
      </x:c>
      <x:c r="J654" s="48" t="str">
        <x:v>22</x:v>
      </x:c>
      <x:c r="K654" s="48" t="str">
        <x:v>0</x:v>
      </x:c>
      <x:c r="L654" s="48" t="str">
        <x:v>0</x:v>
      </x:c>
      <x:c r="M654" s="48" t="str">
        <x:v>22</x:v>
      </x:c>
      <x:c r="N654" s="48" t="str">
        <x:v>0</x:v>
      </x:c>
      <x:c r="O654" s="48" t="str">
        <x:v>0</x:v>
      </x:c>
      <x:c r="P654" s="48" t="str">
        <x:v>0</x:v>
      </x:c>
      <x:c r="Q654" s="48" t="str">
        <x:v>1.000</x:v>
      </x:c>
      <x:c r="R654" s="48" t="str">
        <x:v>DRIVER DOES NOT SEPARATE</x:v>
      </x:c>
      <x:c r="S654" s="48" t="str">
        <x:v>0.000</x:v>
      </x:c>
      <x:c r="T654" s="48" t="str">
        <x:v>CONTROL_BUYOUT:N=22,p=1.000; GROWTH_CONTROL_HYBRID:N=6,p=1.000</x:v>
      </x:c>
      <x:c r="U654" s="48" t="str">
        <x:v>Maximum-minus-minimum prevalence among adequately observed groups is no more than 0.15.</x:v>
      </x:c>
      <x:c r="V654" s="48" t="str">
        <x:v>At least 5 observable manager families in at least 2 driver groups</x:v>
      </x:c>
      <x:c r="W654" s="48" t="str">
        <x:v>&gt;=0.35 separates; &lt;=0.15 does not separate; intermediate is inconclusive/confounded; direct driver-definition tests are CIRCULAR</x:v>
      </x:c>
      <x:c r="X654" s="48" t="str">
        <x:v>MANAGER_SELF_DESCRIPTION; NOT BEHAVIOURAL FREQUENCY</x:v>
      </x:c>
    </x:row>
    <x:row r="655">
      <x:c r="A655" s="48" t="str">
        <x:v>B_GOVERNANCE_SEGMENTATION</x:v>
      </x:c>
      <x:c r="B655" s="48" t="str">
        <x:v>Tier B v1.1 - N=29 rerun</x:v>
      </x:c>
      <x:c r="C655" s="48" t="str">
        <x:v>2026-07-16</x:v>
      </x:c>
      <x:c r="D655" s="48" t="str">
        <x:v>O02</x:v>
      </x:c>
      <x:c r="E655" s="48" t="str">
        <x:v>OWNERSHIP_MONITORING</x:v>
      </x:c>
      <x:c r="F655" s="48" t="str">
        <x:v>Formal post-close KPI or re-underwriting system</x:v>
      </x:c>
      <x:c r="G655" s="48" t="str">
        <x:v>strategy</x:v>
      </x:c>
      <x:c r="H655" s="48" t="str">
        <x:v>GROWTH_CONTROL_HYBRID</x:v>
      </x:c>
      <x:c r="I655" s="48" t="str">
        <x:v>6</x:v>
      </x:c>
      <x:c r="J655" s="48" t="str">
        <x:v>6</x:v>
      </x:c>
      <x:c r="K655" s="48" t="str">
        <x:v>0</x:v>
      </x:c>
      <x:c r="L655" s="48" t="str">
        <x:v>0</x:v>
      </x:c>
      <x:c r="M655" s="48" t="str">
        <x:v>6</x:v>
      </x:c>
      <x:c r="N655" s="48" t="str">
        <x:v>0</x:v>
      </x:c>
      <x:c r="O655" s="48" t="str">
        <x:v>0</x:v>
      </x:c>
      <x:c r="P655" s="48" t="str">
        <x:v>0</x:v>
      </x:c>
      <x:c r="Q655" s="48" t="str">
        <x:v>1.000</x:v>
      </x:c>
      <x:c r="R655" s="48" t="str">
        <x:v>DRIVER DOES NOT SEPARATE</x:v>
      </x:c>
      <x:c r="S655" s="48" t="str">
        <x:v>0.000</x:v>
      </x:c>
      <x:c r="T655" s="48" t="str">
        <x:v>CONTROL_BUYOUT:N=22,p=1.000; GROWTH_CONTROL_HYBRID:N=6,p=1.000</x:v>
      </x:c>
      <x:c r="U655" s="48" t="str">
        <x:v>Maximum-minus-minimum prevalence among adequately observed groups is no more than 0.15.</x:v>
      </x:c>
      <x:c r="V655" s="48" t="str">
        <x:v>At least 5 observable manager families in at least 2 driver groups</x:v>
      </x:c>
      <x:c r="W655" s="48" t="str">
        <x:v>&gt;=0.35 separates; &lt;=0.15 does not separate; intermediate is inconclusive/confounded; direct driver-definition tests are CIRCULAR</x:v>
      </x:c>
      <x:c r="X655" s="48" t="str">
        <x:v>MANAGER_SELF_DESCRIPTION; NOT BEHAVIOURAL FREQUENCY</x:v>
      </x:c>
    </x:row>
    <x:row r="656">
      <x:c r="A656" s="48" t="str">
        <x:v>B_GOVERNANCE_SEGMENTATION</x:v>
      </x:c>
      <x:c r="B656" s="48" t="str">
        <x:v>Tier B v1.1 - N=29 rerun</x:v>
      </x:c>
      <x:c r="C656" s="48" t="str">
        <x:v>2026-07-16</x:v>
      </x:c>
      <x:c r="D656" s="48" t="str">
        <x:v>O02</x:v>
      </x:c>
      <x:c r="E656" s="48" t="str">
        <x:v>OWNERSHIP_MONITORING</x:v>
      </x:c>
      <x:c r="F656" s="48" t="str">
        <x:v>Formal post-close KPI or re-underwriting system</x:v>
      </x:c>
      <x:c r="G656" s="48" t="str">
        <x:v>strategy</x:v>
      </x:c>
      <x:c r="H656" s="48" t="str">
        <x:v>OPPORTUNISTIC_CONTROL</x:v>
      </x:c>
      <x:c r="I656" s="48" t="str">
        <x:v>1</x:v>
      </x:c>
      <x:c r="J656" s="48" t="str">
        <x:v>1</x:v>
      </x:c>
      <x:c r="K656" s="48" t="str">
        <x:v>0</x:v>
      </x:c>
      <x:c r="L656" s="48" t="str">
        <x:v>0</x:v>
      </x:c>
      <x:c r="M656" s="48" t="str">
        <x:v>1</x:v>
      </x:c>
      <x:c r="N656" s="48" t="str">
        <x:v>0</x:v>
      </x:c>
      <x:c r="O656" s="48" t="str">
        <x:v>0</x:v>
      </x:c>
      <x:c r="P656" s="48" t="str">
        <x:v>0</x:v>
      </x:c>
      <x:c r="Q656" s="48" t="str">
        <x:v>1.000</x:v>
      </x:c>
      <x:c r="R656" s="48" t="str">
        <x:v>DRIVER DOES NOT SEPARATE</x:v>
      </x:c>
      <x:c r="S656" s="48" t="str">
        <x:v>0.000</x:v>
      </x:c>
      <x:c r="T656" s="48" t="str">
        <x:v>CONTROL_BUYOUT:N=22,p=1.000; GROWTH_CONTROL_HYBRID:N=6,p=1.000</x:v>
      </x:c>
      <x:c r="U656" s="48" t="str">
        <x:v>Maximum-minus-minimum prevalence among adequately observed groups is no more than 0.15.</x:v>
      </x:c>
      <x:c r="V656" s="48" t="str">
        <x:v>At least 5 observable manager families in at least 2 driver groups</x:v>
      </x:c>
      <x:c r="W656" s="48" t="str">
        <x:v>&gt;=0.35 separates; &lt;=0.15 does not separate; intermediate is inconclusive/confounded; direct driver-definition tests are CIRCULAR</x:v>
      </x:c>
      <x:c r="X656" s="48" t="str">
        <x:v>MANAGER_SELF_DESCRIPTION; NOT BEHAVIOURAL FREQUENCY</x:v>
      </x:c>
    </x:row>
    <x:row r="657">
      <x:c r="A657" s="48" t="str">
        <x:v>B_GOVERNANCE_SEGMENTATION</x:v>
      </x:c>
      <x:c r="B657" s="48" t="str">
        <x:v>Tier B v1.1 - N=29 rerun</x:v>
      </x:c>
      <x:c r="C657" s="48" t="str">
        <x:v>2026-07-16</x:v>
      </x:c>
      <x:c r="D657" s="48" t="str">
        <x:v>O02</x:v>
      </x:c>
      <x:c r="E657" s="48" t="str">
        <x:v>OWNERSHIP_MONITORING</x:v>
      </x:c>
      <x:c r="F657" s="48" t="str">
        <x:v>Formal post-close KPI or re-underwriting system</x:v>
      </x:c>
      <x:c r="G657" s="48" t="str">
        <x:v>geography</x:v>
      </x:c>
      <x:c r="H657" s="48" t="str">
        <x:v>ASIA_PACIFIC</x:v>
      </x:c>
      <x:c r="I657" s="48" t="str">
        <x:v>4</x:v>
      </x:c>
      <x:c r="J657" s="48" t="str">
        <x:v>4</x:v>
      </x:c>
      <x:c r="K657" s="48" t="str">
        <x:v>0</x:v>
      </x:c>
      <x:c r="L657" s="48" t="str">
        <x:v>0</x:v>
      </x:c>
      <x:c r="M657" s="48" t="str">
        <x:v>4</x:v>
      </x:c>
      <x:c r="N657" s="48" t="str">
        <x:v>0</x:v>
      </x:c>
      <x:c r="O657" s="48" t="str">
        <x:v>0</x:v>
      </x:c>
      <x:c r="P657" s="48" t="str">
        <x:v>0</x:v>
      </x:c>
      <x:c r="Q657" s="48" t="str">
        <x:v>1.000</x:v>
      </x:c>
      <x:c r="R657" s="48" t="str">
        <x:v>DRIVER DOES NOT SEPARATE</x:v>
      </x:c>
      <x:c r="S657" s="48" t="str">
        <x:v>0.000</x:v>
      </x:c>
      <x:c r="T657" s="48" t="str">
        <x:v>GLOBAL_TRANSATLANTIC:N=10,p=1.000; NORTH_AMERICA:N=13,p=1.000</x:v>
      </x:c>
      <x:c r="U657" s="48" t="str">
        <x:v>Maximum-minus-minimum prevalence among adequately observed groups is no more than 0.15.</x:v>
      </x:c>
      <x:c r="V657" s="48" t="str">
        <x:v>At least 5 observable manager families in at least 2 driver groups</x:v>
      </x:c>
      <x:c r="W657" s="48" t="str">
        <x:v>&gt;=0.35 separates; &lt;=0.15 does not separate; intermediate is inconclusive/confounded; direct driver-definition tests are CIRCULAR</x:v>
      </x:c>
      <x:c r="X657" s="48" t="str">
        <x:v>MANAGER_SELF_DESCRIPTION; NOT BEHAVIOURAL FREQUENCY</x:v>
      </x:c>
    </x:row>
    <x:row r="658">
      <x:c r="A658" s="48" t="str">
        <x:v>B_GOVERNANCE_SEGMENTATION</x:v>
      </x:c>
      <x:c r="B658" s="48" t="str">
        <x:v>Tier B v1.1 - N=29 rerun</x:v>
      </x:c>
      <x:c r="C658" s="48" t="str">
        <x:v>2026-07-16</x:v>
      </x:c>
      <x:c r="D658" s="48" t="str">
        <x:v>O02</x:v>
      </x:c>
      <x:c r="E658" s="48" t="str">
        <x:v>OWNERSHIP_MONITORING</x:v>
      </x:c>
      <x:c r="F658" s="48" t="str">
        <x:v>Formal post-close KPI or re-underwriting system</x:v>
      </x:c>
      <x:c r="G658" s="48" t="str">
        <x:v>geography</x:v>
      </x:c>
      <x:c r="H658" s="48" t="str">
        <x:v>EUROPE</x:v>
      </x:c>
      <x:c r="I658" s="48" t="str">
        <x:v>2</x:v>
      </x:c>
      <x:c r="J658" s="48" t="str">
        <x:v>2</x:v>
      </x:c>
      <x:c r="K658" s="48" t="str">
        <x:v>0</x:v>
      </x:c>
      <x:c r="L658" s="48" t="str">
        <x:v>0</x:v>
      </x:c>
      <x:c r="M658" s="48" t="str">
        <x:v>2</x:v>
      </x:c>
      <x:c r="N658" s="48" t="str">
        <x:v>0</x:v>
      </x:c>
      <x:c r="O658" s="48" t="str">
        <x:v>0</x:v>
      </x:c>
      <x:c r="P658" s="48" t="str">
        <x:v>0</x:v>
      </x:c>
      <x:c r="Q658" s="48" t="str">
        <x:v>1.000</x:v>
      </x:c>
      <x:c r="R658" s="48" t="str">
        <x:v>DRIVER DOES NOT SEPARATE</x:v>
      </x:c>
      <x:c r="S658" s="48" t="str">
        <x:v>0.000</x:v>
      </x:c>
      <x:c r="T658" s="48" t="str">
        <x:v>GLOBAL_TRANSATLANTIC:N=10,p=1.000; NORTH_AMERICA:N=13,p=1.000</x:v>
      </x:c>
      <x:c r="U658" s="48" t="str">
        <x:v>Maximum-minus-minimum prevalence among adequately observed groups is no more than 0.15.</x:v>
      </x:c>
      <x:c r="V658" s="48" t="str">
        <x:v>At least 5 observable manager families in at least 2 driver groups</x:v>
      </x:c>
      <x:c r="W658" s="48" t="str">
        <x:v>&gt;=0.35 separates; &lt;=0.15 does not separate; intermediate is inconclusive/confounded; direct driver-definition tests are CIRCULAR</x:v>
      </x:c>
      <x:c r="X658" s="48" t="str">
        <x:v>MANAGER_SELF_DESCRIPTION; NOT BEHAVIOURAL FREQUENCY</x:v>
      </x:c>
    </x:row>
    <x:row r="659">
      <x:c r="A659" s="48" t="str">
        <x:v>B_GOVERNANCE_SEGMENTATION</x:v>
      </x:c>
      <x:c r="B659" s="48" t="str">
        <x:v>Tier B v1.1 - N=29 rerun</x:v>
      </x:c>
      <x:c r="C659" s="48" t="str">
        <x:v>2026-07-16</x:v>
      </x:c>
      <x:c r="D659" s="48" t="str">
        <x:v>O02</x:v>
      </x:c>
      <x:c r="E659" s="48" t="str">
        <x:v>OWNERSHIP_MONITORING</x:v>
      </x:c>
      <x:c r="F659" s="48" t="str">
        <x:v>Formal post-close KPI or re-underwriting system</x:v>
      </x:c>
      <x:c r="G659" s="48" t="str">
        <x:v>geography</x:v>
      </x:c>
      <x:c r="H659" s="48" t="str">
        <x:v>GLOBAL_TRANSATLANTIC</x:v>
      </x:c>
      <x:c r="I659" s="48" t="str">
        <x:v>10</x:v>
      </x:c>
      <x:c r="J659" s="48" t="str">
        <x:v>10</x:v>
      </x:c>
      <x:c r="K659" s="48" t="str">
        <x:v>0</x:v>
      </x:c>
      <x:c r="L659" s="48" t="str">
        <x:v>0</x:v>
      </x:c>
      <x:c r="M659" s="48" t="str">
        <x:v>10</x:v>
      </x:c>
      <x:c r="N659" s="48" t="str">
        <x:v>0</x:v>
      </x:c>
      <x:c r="O659" s="48" t="str">
        <x:v>0</x:v>
      </x:c>
      <x:c r="P659" s="48" t="str">
        <x:v>0</x:v>
      </x:c>
      <x:c r="Q659" s="48" t="str">
        <x:v>1.000</x:v>
      </x:c>
      <x:c r="R659" s="48" t="str">
        <x:v>DRIVER DOES NOT SEPARATE</x:v>
      </x:c>
      <x:c r="S659" s="48" t="str">
        <x:v>0.000</x:v>
      </x:c>
      <x:c r="T659" s="48" t="str">
        <x:v>GLOBAL_TRANSATLANTIC:N=10,p=1.000; NORTH_AMERICA:N=13,p=1.000</x:v>
      </x:c>
      <x:c r="U659" s="48" t="str">
        <x:v>Maximum-minus-minimum prevalence among adequately observed groups is no more than 0.15.</x:v>
      </x:c>
      <x:c r="V659" s="48" t="str">
        <x:v>At least 5 observable manager families in at least 2 driver groups</x:v>
      </x:c>
      <x:c r="W659" s="48" t="str">
        <x:v>&gt;=0.35 separates; &lt;=0.15 does not separate; intermediate is inconclusive/confounded; direct driver-definition tests are CIRCULAR</x:v>
      </x:c>
      <x:c r="X659" s="48" t="str">
        <x:v>MANAGER_SELF_DESCRIPTION; NOT BEHAVIOURAL FREQUENCY</x:v>
      </x:c>
    </x:row>
    <x:row r="660">
      <x:c r="A660" s="48" t="str">
        <x:v>B_GOVERNANCE_SEGMENTATION</x:v>
      </x:c>
      <x:c r="B660" s="48" t="str">
        <x:v>Tier B v1.1 - N=29 rerun</x:v>
      </x:c>
      <x:c r="C660" s="48" t="str">
        <x:v>2026-07-16</x:v>
      </x:c>
      <x:c r="D660" s="48" t="str">
        <x:v>O02</x:v>
      </x:c>
      <x:c r="E660" s="48" t="str">
        <x:v>OWNERSHIP_MONITORING</x:v>
      </x:c>
      <x:c r="F660" s="48" t="str">
        <x:v>Formal post-close KPI or re-underwriting system</x:v>
      </x:c>
      <x:c r="G660" s="48" t="str">
        <x:v>geography</x:v>
      </x:c>
      <x:c r="H660" s="48" t="str">
        <x:v>NORTH_AMERICA</x:v>
      </x:c>
      <x:c r="I660" s="48" t="str">
        <x:v>13</x:v>
      </x:c>
      <x:c r="J660" s="48" t="str">
        <x:v>13</x:v>
      </x:c>
      <x:c r="K660" s="48" t="str">
        <x:v>0</x:v>
      </x:c>
      <x:c r="L660" s="48" t="str">
        <x:v>0</x:v>
      </x:c>
      <x:c r="M660" s="48" t="str">
        <x:v>13</x:v>
      </x:c>
      <x:c r="N660" s="48" t="str">
        <x:v>0</x:v>
      </x:c>
      <x:c r="O660" s="48" t="str">
        <x:v>0</x:v>
      </x:c>
      <x:c r="P660" s="48" t="str">
        <x:v>0</x:v>
      </x:c>
      <x:c r="Q660" s="48" t="str">
        <x:v>1.000</x:v>
      </x:c>
      <x:c r="R660" s="48" t="str">
        <x:v>DRIVER DOES NOT SEPARATE</x:v>
      </x:c>
      <x:c r="S660" s="48" t="str">
        <x:v>0.000</x:v>
      </x:c>
      <x:c r="T660" s="48" t="str">
        <x:v>GLOBAL_TRANSATLANTIC:N=10,p=1.000; NORTH_AMERICA:N=13,p=1.000</x:v>
      </x:c>
      <x:c r="U660" s="48" t="str">
        <x:v>Maximum-minus-minimum prevalence among adequately observed groups is no more than 0.15.</x:v>
      </x:c>
      <x:c r="V660" s="48" t="str">
        <x:v>At least 5 observable manager families in at least 2 driver groups</x:v>
      </x:c>
      <x:c r="W660" s="48" t="str">
        <x:v>&gt;=0.35 separates; &lt;=0.15 does not separate; intermediate is inconclusive/confounded; direct driver-definition tests are CIRCULAR</x:v>
      </x:c>
      <x:c r="X660" s="48" t="str">
        <x:v>MANAGER_SELF_DESCRIPTION; NOT BEHAVIOURAL FREQUENCY</x:v>
      </x:c>
    </x:row>
    <x:row r="661">
      <x:c r="A661" s="48" t="str">
        <x:v>B_GOVERNANCE_SEGMENTATION</x:v>
      </x:c>
      <x:c r="B661" s="48" t="str">
        <x:v>Tier B v1.1 - N=29 rerun</x:v>
      </x:c>
      <x:c r="C661" s="48" t="str">
        <x:v>2026-07-16</x:v>
      </x:c>
      <x:c r="D661" s="48" t="str">
        <x:v>O02</x:v>
      </x:c>
      <x:c r="E661" s="48" t="str">
        <x:v>OWNERSHIP_MONITORING</x:v>
      </x:c>
      <x:c r="F661" s="48" t="str">
        <x:v>Formal post-close KPI or re-underwriting system</x:v>
      </x:c>
      <x:c r="G661" s="48" t="str">
        <x:v>source_vintage_bin</x:v>
      </x:c>
      <x:c r="H661" s="48" t="str">
        <x:v>2018_2020</x:v>
      </x:c>
      <x:c r="I661" s="48" t="str">
        <x:v>6</x:v>
      </x:c>
      <x:c r="J661" s="48" t="str">
        <x:v>6</x:v>
      </x:c>
      <x:c r="K661" s="48" t="str">
        <x:v>0</x:v>
      </x:c>
      <x:c r="L661" s="48" t="str">
        <x:v>0</x:v>
      </x:c>
      <x:c r="M661" s="48" t="str">
        <x:v>6</x:v>
      </x:c>
      <x:c r="N661" s="48" t="str">
        <x:v>0</x:v>
      </x:c>
      <x:c r="O661" s="48" t="str">
        <x:v>0</x:v>
      </x:c>
      <x:c r="P661" s="48" t="str">
        <x:v>0</x:v>
      </x:c>
      <x:c r="Q661" s="48" t="str">
        <x:v>1.000</x:v>
      </x:c>
      <x:c r="R661" s="48" t="str">
        <x:v>DRIVER DOES NOT SEPARATE</x:v>
      </x:c>
      <x:c r="S661" s="48" t="str">
        <x:v>0.000</x:v>
      </x:c>
      <x:c r="T661" s="48" t="str">
        <x:v>2018_2020:N=6,p=1.000; 2021_2023:N=11,p=1.000; 2024_2026:N=12,p=1.000</x:v>
      </x:c>
      <x:c r="U661" s="48" t="str">
        <x:v>Maximum-minus-minimum prevalence among adequately observed groups is no more than 0.15.</x:v>
      </x:c>
      <x:c r="V661" s="48" t="str">
        <x:v>At least 5 observable manager families in at least 2 driver groups</x:v>
      </x:c>
      <x:c r="W661" s="48" t="str">
        <x:v>&gt;=0.35 separates; &lt;=0.15 does not separate; intermediate is inconclusive/confounded; direct driver-definition tests are CIRCULAR</x:v>
      </x:c>
      <x:c r="X661" s="48" t="str">
        <x:v>MANAGER_SELF_DESCRIPTION; NOT BEHAVIOURAL FREQUENCY</x:v>
      </x:c>
    </x:row>
    <x:row r="662">
      <x:c r="A662" s="48" t="str">
        <x:v>B_GOVERNANCE_SEGMENTATION</x:v>
      </x:c>
      <x:c r="B662" s="48" t="str">
        <x:v>Tier B v1.1 - N=29 rerun</x:v>
      </x:c>
      <x:c r="C662" s="48" t="str">
        <x:v>2026-07-16</x:v>
      </x:c>
      <x:c r="D662" s="48" t="str">
        <x:v>O02</x:v>
      </x:c>
      <x:c r="E662" s="48" t="str">
        <x:v>OWNERSHIP_MONITORING</x:v>
      </x:c>
      <x:c r="F662" s="48" t="str">
        <x:v>Formal post-close KPI or re-underwriting system</x:v>
      </x:c>
      <x:c r="G662" s="48" t="str">
        <x:v>source_vintage_bin</x:v>
      </x:c>
      <x:c r="H662" s="48" t="str">
        <x:v>2021_2023</x:v>
      </x:c>
      <x:c r="I662" s="48" t="str">
        <x:v>11</x:v>
      </x:c>
      <x:c r="J662" s="48" t="str">
        <x:v>11</x:v>
      </x:c>
      <x:c r="K662" s="48" t="str">
        <x:v>0</x:v>
      </x:c>
      <x:c r="L662" s="48" t="str">
        <x:v>0</x:v>
      </x:c>
      <x:c r="M662" s="48" t="str">
        <x:v>11</x:v>
      </x:c>
      <x:c r="N662" s="48" t="str">
        <x:v>0</x:v>
      </x:c>
      <x:c r="O662" s="48" t="str">
        <x:v>0</x:v>
      </x:c>
      <x:c r="P662" s="48" t="str">
        <x:v>0</x:v>
      </x:c>
      <x:c r="Q662" s="48" t="str">
        <x:v>1.000</x:v>
      </x:c>
      <x:c r="R662" s="48" t="str">
        <x:v>DRIVER DOES NOT SEPARATE</x:v>
      </x:c>
      <x:c r="S662" s="48" t="str">
        <x:v>0.000</x:v>
      </x:c>
      <x:c r="T662" s="48" t="str">
        <x:v>2018_2020:N=6,p=1.000; 2021_2023:N=11,p=1.000; 2024_2026:N=12,p=1.000</x:v>
      </x:c>
      <x:c r="U662" s="48" t="str">
        <x:v>Maximum-minus-minimum prevalence among adequately observed groups is no more than 0.15.</x:v>
      </x:c>
      <x:c r="V662" s="48" t="str">
        <x:v>At least 5 observable manager families in at least 2 driver groups</x:v>
      </x:c>
      <x:c r="W662" s="48" t="str">
        <x:v>&gt;=0.35 separates; &lt;=0.15 does not separate; intermediate is inconclusive/confounded; direct driver-definition tests are CIRCULAR</x:v>
      </x:c>
      <x:c r="X662" s="48" t="str">
        <x:v>MANAGER_SELF_DESCRIPTION; NOT BEHAVIOURAL FREQUENCY</x:v>
      </x:c>
    </x:row>
    <x:row r="663">
      <x:c r="A663" s="48" t="str">
        <x:v>B_GOVERNANCE_SEGMENTATION</x:v>
      </x:c>
      <x:c r="B663" s="48" t="str">
        <x:v>Tier B v1.1 - N=29 rerun</x:v>
      </x:c>
      <x:c r="C663" s="48" t="str">
        <x:v>2026-07-16</x:v>
      </x:c>
      <x:c r="D663" s="48" t="str">
        <x:v>O02</x:v>
      </x:c>
      <x:c r="E663" s="48" t="str">
        <x:v>OWNERSHIP_MONITORING</x:v>
      </x:c>
      <x:c r="F663" s="48" t="str">
        <x:v>Formal post-close KPI or re-underwriting system</x:v>
      </x:c>
      <x:c r="G663" s="48" t="str">
        <x:v>source_vintage_bin</x:v>
      </x:c>
      <x:c r="H663" s="48" t="str">
        <x:v>2024_2026</x:v>
      </x:c>
      <x:c r="I663" s="48" t="str">
        <x:v>12</x:v>
      </x:c>
      <x:c r="J663" s="48" t="str">
        <x:v>12</x:v>
      </x:c>
      <x:c r="K663" s="48" t="str">
        <x:v>0</x:v>
      </x:c>
      <x:c r="L663" s="48" t="str">
        <x:v>0</x:v>
      </x:c>
      <x:c r="M663" s="48" t="str">
        <x:v>12</x:v>
      </x:c>
      <x:c r="N663" s="48" t="str">
        <x:v>0</x:v>
      </x:c>
      <x:c r="O663" s="48" t="str">
        <x:v>0</x:v>
      </x:c>
      <x:c r="P663" s="48" t="str">
        <x:v>0</x:v>
      </x:c>
      <x:c r="Q663" s="48" t="str">
        <x:v>1.000</x:v>
      </x:c>
      <x:c r="R663" s="48" t="str">
        <x:v>DRIVER DOES NOT SEPARATE</x:v>
      </x:c>
      <x:c r="S663" s="48" t="str">
        <x:v>0.000</x:v>
      </x:c>
      <x:c r="T663" s="48" t="str">
        <x:v>2018_2020:N=6,p=1.000; 2021_2023:N=11,p=1.000; 2024_2026:N=12,p=1.000</x:v>
      </x:c>
      <x:c r="U663" s="48" t="str">
        <x:v>Maximum-minus-minimum prevalence among adequately observed groups is no more than 0.15.</x:v>
      </x:c>
      <x:c r="V663" s="48" t="str">
        <x:v>At least 5 observable manager families in at least 2 driver groups</x:v>
      </x:c>
      <x:c r="W663" s="48" t="str">
        <x:v>&gt;=0.35 separates; &lt;=0.15 does not separate; intermediate is inconclusive/confounded; direct driver-definition tests are CIRCULAR</x:v>
      </x:c>
      <x:c r="X663" s="48" t="str">
        <x:v>MANAGER_SELF_DESCRIPTION; NOT BEHAVIOURAL FREQUENCY</x:v>
      </x:c>
    </x:row>
    <x:row r="664">
      <x:c r="A664" s="48" t="str">
        <x:v>B_GOVERNANCE_SEGMENTATION</x:v>
      </x:c>
      <x:c r="B664" s="48" t="str">
        <x:v>Tier B v1.1 - N=29 rerun</x:v>
      </x:c>
      <x:c r="C664" s="48" t="str">
        <x:v>2026-07-16</x:v>
      </x:c>
      <x:c r="D664" s="48" t="str">
        <x:v>O02</x:v>
      </x:c>
      <x:c r="E664" s="48" t="str">
        <x:v>OWNERSHIP_MONITORING</x:v>
      </x:c>
      <x:c r="F664" s="48" t="str">
        <x:v>Formal post-close KPI or re-underwriting system</x:v>
      </x:c>
      <x:c r="G664" s="48" t="str">
        <x:v>governance_architecture</x:v>
      </x:c>
      <x:c r="H664" s="48" t="str">
        <x:v>IC_FINAL_OR_DE_FACTO</x:v>
      </x:c>
      <x:c r="I664" s="48" t="str">
        <x:v>26</x:v>
      </x:c>
      <x:c r="J664" s="48" t="str">
        <x:v>26</x:v>
      </x:c>
      <x:c r="K664" s="48" t="str">
        <x:v>0</x:v>
      </x:c>
      <x:c r="L664" s="48" t="str">
        <x:v>0</x:v>
      </x:c>
      <x:c r="M664" s="48" t="str">
        <x:v>26</x:v>
      </x:c>
      <x:c r="N664" s="48" t="str">
        <x:v>0</x:v>
      </x:c>
      <x:c r="O664" s="48" t="str">
        <x:v>0</x:v>
      </x:c>
      <x:c r="P664" s="48" t="str">
        <x:v>0</x:v>
      </x:c>
      <x:c r="Q664" s="48" t="str">
        <x:v>1.000</x:v>
      </x:c>
      <x:c r="R664" s="48" t="str">
        <x:v>N TOO SMALL</x:v>
      </x:c>
      <x:c r="S664" s="48" t="str"/>
      <x:c r="T664" s="48" t="str">
        <x:v>IC_FINAL_OR_DE_FACTO:N=26,p=1.000</x:v>
      </x:c>
      <x:c r="U664" s="48" t="str">
        <x:v>Fewer than two driver groups have at least 5 observable manager families.</x:v>
      </x:c>
      <x:c r="V664" s="48" t="str">
        <x:v>At least 5 observable manager families in at least 2 driver groups</x:v>
      </x:c>
      <x:c r="W664" s="48" t="str">
        <x:v>&gt;=0.35 separates; &lt;=0.15 does not separate; intermediate is inconclusive/confounded; direct driver-definition tests are CIRCULAR</x:v>
      </x:c>
      <x:c r="X664" s="48" t="str">
        <x:v>MANAGER_SELF_DESCRIPTION; NOT BEHAVIOURAL FREQUENCY</x:v>
      </x:c>
    </x:row>
    <x:row r="665">
      <x:c r="A665" s="48" t="str">
        <x:v>B_GOVERNANCE_SEGMENTATION</x:v>
      </x:c>
      <x:c r="B665" s="48" t="str">
        <x:v>Tier B v1.1 - N=29 rerun</x:v>
      </x:c>
      <x:c r="C665" s="48" t="str">
        <x:v>2026-07-16</x:v>
      </x:c>
      <x:c r="D665" s="48" t="str">
        <x:v>O02</x:v>
      </x:c>
      <x:c r="E665" s="48" t="str">
        <x:v>OWNERSHIP_MONITORING</x:v>
      </x:c>
      <x:c r="F665" s="48" t="str">
        <x:v>Formal post-close KPI or re-underwriting system</x:v>
      </x:c>
      <x:c r="G665" s="48" t="str">
        <x:v>governance_architecture</x:v>
      </x:c>
      <x:c r="H665" s="48" t="str">
        <x:v>IC_RECOMMENDS_SEPARATE_FINAL_AUTHORITY</x:v>
      </x:c>
      <x:c r="I665" s="48" t="str">
        <x:v>3</x:v>
      </x:c>
      <x:c r="J665" s="48" t="str">
        <x:v>3</x:v>
      </x:c>
      <x:c r="K665" s="48" t="str">
        <x:v>0</x:v>
      </x:c>
      <x:c r="L665" s="48" t="str">
        <x:v>0</x:v>
      </x:c>
      <x:c r="M665" s="48" t="str">
        <x:v>3</x:v>
      </x:c>
      <x:c r="N665" s="48" t="str">
        <x:v>0</x:v>
      </x:c>
      <x:c r="O665" s="48" t="str">
        <x:v>0</x:v>
      </x:c>
      <x:c r="P665" s="48" t="str">
        <x:v>0</x:v>
      </x:c>
      <x:c r="Q665" s="48" t="str">
        <x:v>1.000</x:v>
      </x:c>
      <x:c r="R665" s="48" t="str">
        <x:v>N TOO SMALL</x:v>
      </x:c>
      <x:c r="S665" s="48" t="str"/>
      <x:c r="T665" s="48" t="str">
        <x:v>IC_FINAL_OR_DE_FACTO:N=26,p=1.000</x:v>
      </x:c>
      <x:c r="U665" s="48" t="str">
        <x:v>Fewer than two driver groups have at least 5 observable manager families.</x:v>
      </x:c>
      <x:c r="V665" s="48" t="str">
        <x:v>At least 5 observable manager families in at least 2 driver groups</x:v>
      </x:c>
      <x:c r="W665" s="48" t="str">
        <x:v>&gt;=0.35 separates; &lt;=0.15 does not separate; intermediate is inconclusive/confounded; direct driver-definition tests are CIRCULAR</x:v>
      </x:c>
      <x:c r="X665" s="48" t="str">
        <x:v>MANAGER_SELF_DESCRIPTION; NOT BEHAVIOURAL FREQUENCY</x:v>
      </x:c>
    </x:row>
    <x:row r="666">
      <x:c r="A666" s="48" t="str">
        <x:v>B_GOVERNANCE_SEGMENTATION</x:v>
      </x:c>
      <x:c r="B666" s="48" t="str">
        <x:v>Tier B v1.1 - N=29 rerun</x:v>
      </x:c>
      <x:c r="C666" s="48" t="str">
        <x:v>2026-07-16</x:v>
      </x:c>
      <x:c r="D666" s="48" t="str">
        <x:v>O02</x:v>
      </x:c>
      <x:c r="E666" s="48" t="str">
        <x:v>OWNERSHIP_MONITORING</x:v>
      </x:c>
      <x:c r="F666" s="48" t="str">
        <x:v>Formal post-close KPI or re-underwriting system</x:v>
      </x:c>
      <x:c r="G666" s="48" t="str">
        <x:v>dedicated_operating_team</x:v>
      </x:c>
      <x:c r="H666" s="48" t="str">
        <x:v>NO_OR_LIMITED</x:v>
      </x:c>
      <x:c r="I666" s="48" t="str">
        <x:v>6</x:v>
      </x:c>
      <x:c r="J666" s="48" t="str">
        <x:v>6</x:v>
      </x:c>
      <x:c r="K666" s="48" t="str">
        <x:v>0</x:v>
      </x:c>
      <x:c r="L666" s="48" t="str">
        <x:v>0</x:v>
      </x:c>
      <x:c r="M666" s="48" t="str">
        <x:v>6</x:v>
      </x:c>
      <x:c r="N666" s="48" t="str">
        <x:v>0</x:v>
      </x:c>
      <x:c r="O666" s="48" t="str">
        <x:v>0</x:v>
      </x:c>
      <x:c r="P666" s="48" t="str">
        <x:v>0</x:v>
      </x:c>
      <x:c r="Q666" s="48" t="str">
        <x:v>1.000</x:v>
      </x:c>
      <x:c r="R666" s="48" t="str">
        <x:v>DRIVER DOES NOT SEPARATE</x:v>
      </x:c>
      <x:c r="S666" s="48" t="str">
        <x:v>0.000</x:v>
      </x:c>
      <x:c r="T666" s="48" t="str">
        <x:v>NO_OR_LIMITED:N=6,p=1.000; YES_DEDICATED:N=23,p=1.000</x:v>
      </x:c>
      <x:c r="U666" s="48" t="str">
        <x:v>Maximum-minus-minimum prevalence among adequately observed groups is no more than 0.15.</x:v>
      </x:c>
      <x:c r="V666" s="48" t="str">
        <x:v>At least 5 observable manager families in at least 2 driver groups</x:v>
      </x:c>
      <x:c r="W666" s="48" t="str">
        <x:v>&gt;=0.35 separates; &lt;=0.15 does not separate; intermediate is inconclusive/confounded; direct driver-definition tests are CIRCULAR</x:v>
      </x:c>
      <x:c r="X666" s="48" t="str">
        <x:v>MANAGER_SELF_DESCRIPTION; NOT BEHAVIOURAL FREQUENCY</x:v>
      </x:c>
    </x:row>
    <x:row r="667">
      <x:c r="A667" s="48" t="str">
        <x:v>B_GOVERNANCE_SEGMENTATION</x:v>
      </x:c>
      <x:c r="B667" s="48" t="str">
        <x:v>Tier B v1.1 - N=29 rerun</x:v>
      </x:c>
      <x:c r="C667" s="48" t="str">
        <x:v>2026-07-16</x:v>
      </x:c>
      <x:c r="D667" s="48" t="str">
        <x:v>O02</x:v>
      </x:c>
      <x:c r="E667" s="48" t="str">
        <x:v>OWNERSHIP_MONITORING</x:v>
      </x:c>
      <x:c r="F667" s="48" t="str">
        <x:v>Formal post-close KPI or re-underwriting system</x:v>
      </x:c>
      <x:c r="G667" s="48" t="str">
        <x:v>dedicated_operating_team</x:v>
      </x:c>
      <x:c r="H667" s="48" t="str">
        <x:v>YES_DEDICATED</x:v>
      </x:c>
      <x:c r="I667" s="48" t="str">
        <x:v>23</x:v>
      </x:c>
      <x:c r="J667" s="48" t="str">
        <x:v>23</x:v>
      </x:c>
      <x:c r="K667" s="48" t="str">
        <x:v>0</x:v>
      </x:c>
      <x:c r="L667" s="48" t="str">
        <x:v>0</x:v>
      </x:c>
      <x:c r="M667" s="48" t="str">
        <x:v>23</x:v>
      </x:c>
      <x:c r="N667" s="48" t="str">
        <x:v>0</x:v>
      </x:c>
      <x:c r="O667" s="48" t="str">
        <x:v>0</x:v>
      </x:c>
      <x:c r="P667" s="48" t="str">
        <x:v>0</x:v>
      </x:c>
      <x:c r="Q667" s="48" t="str">
        <x:v>1.000</x:v>
      </x:c>
      <x:c r="R667" s="48" t="str">
        <x:v>DRIVER DOES NOT SEPARATE</x:v>
      </x:c>
      <x:c r="S667" s="48" t="str">
        <x:v>0.000</x:v>
      </x:c>
      <x:c r="T667" s="48" t="str">
        <x:v>NO_OR_LIMITED:N=6,p=1.000; YES_DEDICATED:N=23,p=1.000</x:v>
      </x:c>
      <x:c r="U667" s="48" t="str">
        <x:v>Maximum-minus-minimum prevalence among adequately observed groups is no more than 0.15.</x:v>
      </x:c>
      <x:c r="V667" s="48" t="str">
        <x:v>At least 5 observable manager families in at least 2 driver groups</x:v>
      </x:c>
      <x:c r="W667" s="48" t="str">
        <x:v>&gt;=0.35 separates; &lt;=0.15 does not separate; intermediate is inconclusive/confounded; direct driver-definition tests are CIRCULAR</x:v>
      </x:c>
      <x:c r="X667" s="48" t="str">
        <x:v>MANAGER_SELF_DESCRIPTION; NOT BEHAVIOURAL FREQUENCY</x:v>
      </x:c>
    </x:row>
    <x:row r="668">
      <x:c r="A668" s="48" t="str">
        <x:v>B_GOVERNANCE_SEGMENTATION</x:v>
      </x:c>
      <x:c r="B668" s="48" t="str">
        <x:v>Tier B v1.1 - N=29 rerun</x:v>
      </x:c>
      <x:c r="C668" s="48" t="str">
        <x:v>2026-07-16</x:v>
      </x:c>
      <x:c r="D668" s="48" t="str">
        <x:v>O03</x:v>
      </x:c>
      <x:c r="E668" s="48" t="str">
        <x:v>OWNERSHIP_MONITORING</x:v>
      </x:c>
      <x:c r="F668" s="48" t="str">
        <x:v>Separate portfolio committee from investment committee</x:v>
      </x:c>
      <x:c r="G668" s="48" t="str">
        <x:v>fund_size_archetype</x:v>
      </x:c>
      <x:c r="H668" s="48" t="str">
        <x:v>LARGE_2_TO_LT_5B</x:v>
      </x:c>
      <x:c r="I668" s="48" t="str">
        <x:v>9</x:v>
      </x:c>
      <x:c r="J668" s="48" t="str">
        <x:v>1</x:v>
      </x:c>
      <x:c r="K668" s="48" t="str">
        <x:v>0</x:v>
      </x:c>
      <x:c r="L668" s="48" t="str">
        <x:v>0</x:v>
      </x:c>
      <x:c r="M668" s="48" t="str">
        <x:v>1</x:v>
      </x:c>
      <x:c r="N668" s="48" t="str">
        <x:v>8</x:v>
      </x:c>
      <x:c r="O668" s="48" t="str">
        <x:v>0</x:v>
      </x:c>
      <x:c r="P668" s="48" t="str">
        <x:v>0</x:v>
      </x:c>
      <x:c r="Q668" s="48" t="str">
        <x:v>1.000</x:v>
      </x:c>
      <x:c r="R668" s="48" t="str">
        <x:v>N TOO SMALL</x:v>
      </x:c>
      <x:c r="S668" s="48" t="str"/>
      <x:c r="T668" s="48" t="str"/>
      <x:c r="U668" s="48" t="str">
        <x:v>Fewer than two driver groups have at least 5 observable manager families.</x:v>
      </x:c>
      <x:c r="V668" s="48" t="str">
        <x:v>At least 5 observable manager families in at least 2 driver groups</x:v>
      </x:c>
      <x:c r="W668" s="48" t="str">
        <x:v>&gt;=0.35 separates; &lt;=0.15 does not separate; intermediate is inconclusive/confounded; direct driver-definition tests are CIRCULAR</x:v>
      </x:c>
      <x:c r="X668" s="48" t="str">
        <x:v>MANAGER_SELF_DESCRIPTION; NOT BEHAVIOURAL FREQUENCY</x:v>
      </x:c>
    </x:row>
    <x:row r="669">
      <x:c r="A669" s="48" t="str">
        <x:v>B_GOVERNANCE_SEGMENTATION</x:v>
      </x:c>
      <x:c r="B669" s="48" t="str">
        <x:v>Tier B v1.1 - N=29 rerun</x:v>
      </x:c>
      <x:c r="C669" s="48" t="str">
        <x:v>2026-07-16</x:v>
      </x:c>
      <x:c r="D669" s="48" t="str">
        <x:v>O03</x:v>
      </x:c>
      <x:c r="E669" s="48" t="str">
        <x:v>OWNERSHIP_MONITORING</x:v>
      </x:c>
      <x:c r="F669" s="48" t="str">
        <x:v>Separate portfolio committee from investment committee</x:v>
      </x:c>
      <x:c r="G669" s="48" t="str">
        <x:v>fund_size_archetype</x:v>
      </x:c>
      <x:c r="H669" s="48" t="str">
        <x:v>LOWER_MID_LT_2B</x:v>
      </x:c>
      <x:c r="I669" s="48" t="str">
        <x:v>8</x:v>
      </x:c>
      <x:c r="J669" s="48" t="str">
        <x:v>1</x:v>
      </x:c>
      <x:c r="K669" s="48" t="str">
        <x:v>0</x:v>
      </x:c>
      <x:c r="L669" s="48" t="str">
        <x:v>0</x:v>
      </x:c>
      <x:c r="M669" s="48" t="str">
        <x:v>1</x:v>
      </x:c>
      <x:c r="N669" s="48" t="str">
        <x:v>7</x:v>
      </x:c>
      <x:c r="O669" s="48" t="str">
        <x:v>0</x:v>
      </x:c>
      <x:c r="P669" s="48" t="str">
        <x:v>0</x:v>
      </x:c>
      <x:c r="Q669" s="48" t="str">
        <x:v>1.000</x:v>
      </x:c>
      <x:c r="R669" s="48" t="str">
        <x:v>N TOO SMALL</x:v>
      </x:c>
      <x:c r="S669" s="48" t="str"/>
      <x:c r="T669" s="48" t="str"/>
      <x:c r="U669" s="48" t="str">
        <x:v>Fewer than two driver groups have at least 5 observable manager families.</x:v>
      </x:c>
      <x:c r="V669" s="48" t="str">
        <x:v>At least 5 observable manager families in at least 2 driver groups</x:v>
      </x:c>
      <x:c r="W669" s="48" t="str">
        <x:v>&gt;=0.35 separates; &lt;=0.15 does not separate; intermediate is inconclusive/confounded; direct driver-definition tests are CIRCULAR</x:v>
      </x:c>
      <x:c r="X669" s="48" t="str">
        <x:v>MANAGER_SELF_DESCRIPTION; NOT BEHAVIOURAL FREQUENCY</x:v>
      </x:c>
    </x:row>
    <x:row r="670">
      <x:c r="A670" s="48" t="str">
        <x:v>B_GOVERNANCE_SEGMENTATION</x:v>
      </x:c>
      <x:c r="B670" s="48" t="str">
        <x:v>Tier B v1.1 - N=29 rerun</x:v>
      </x:c>
      <x:c r="C670" s="48" t="str">
        <x:v>2026-07-16</x:v>
      </x:c>
      <x:c r="D670" s="48" t="str">
        <x:v>O03</x:v>
      </x:c>
      <x:c r="E670" s="48" t="str">
        <x:v>OWNERSHIP_MONITORING</x:v>
      </x:c>
      <x:c r="F670" s="48" t="str">
        <x:v>Separate portfolio committee from investment committee</x:v>
      </x:c>
      <x:c r="G670" s="48" t="str">
        <x:v>fund_size_archetype</x:v>
      </x:c>
      <x:c r="H670" s="48" t="str">
        <x:v>MEGA_GE_5B</x:v>
      </x:c>
      <x:c r="I670" s="48" t="str">
        <x:v>11</x:v>
      </x:c>
      <x:c r="J670" s="48" t="str">
        <x:v>2</x:v>
      </x:c>
      <x:c r="K670" s="48" t="str">
        <x:v>0</x:v>
      </x:c>
      <x:c r="L670" s="48" t="str">
        <x:v>0</x:v>
      </x:c>
      <x:c r="M670" s="48" t="str">
        <x:v>2</x:v>
      </x:c>
      <x:c r="N670" s="48" t="str">
        <x:v>9</x:v>
      </x:c>
      <x:c r="O670" s="48" t="str">
        <x:v>0</x:v>
      </x:c>
      <x:c r="P670" s="48" t="str">
        <x:v>0</x:v>
      </x:c>
      <x:c r="Q670" s="48" t="str">
        <x:v>1.000</x:v>
      </x:c>
      <x:c r="R670" s="48" t="str">
        <x:v>N TOO SMALL</x:v>
      </x:c>
      <x:c r="S670" s="48" t="str"/>
      <x:c r="T670" s="48" t="str"/>
      <x:c r="U670" s="48" t="str">
        <x:v>Fewer than two driver groups have at least 5 observable manager families.</x:v>
      </x:c>
      <x:c r="V670" s="48" t="str">
        <x:v>At least 5 observable manager families in at least 2 driver groups</x:v>
      </x:c>
      <x:c r="W670" s="48" t="str">
        <x:v>&gt;=0.35 separates; &lt;=0.15 does not separate; intermediate is inconclusive/confounded; direct driver-definition tests are CIRCULAR</x:v>
      </x:c>
      <x:c r="X670" s="48" t="str">
        <x:v>MANAGER_SELF_DESCRIPTION; NOT BEHAVIOURAL FREQUENCY</x:v>
      </x:c>
    </x:row>
    <x:row r="671">
      <x:c r="A671" s="48" t="str">
        <x:v>B_GOVERNANCE_SEGMENTATION</x:v>
      </x:c>
      <x:c r="B671" s="48" t="str">
        <x:v>Tier B v1.1 - N=29 rerun</x:v>
      </x:c>
      <x:c r="C671" s="48" t="str">
        <x:v>2026-07-16</x:v>
      </x:c>
      <x:c r="D671" s="48" t="str">
        <x:v>O03</x:v>
      </x:c>
      <x:c r="E671" s="48" t="str">
        <x:v>OWNERSHIP_MONITORING</x:v>
      </x:c>
      <x:c r="F671" s="48" t="str">
        <x:v>Separate portfolio committee from investment committee</x:v>
      </x:c>
      <x:c r="G671" s="48" t="str">
        <x:v>fund_size_archetype</x:v>
      </x:c>
      <x:c r="H671" s="48" t="str">
        <x:v>NOT_APPLICABLE</x:v>
      </x:c>
      <x:c r="I671" s="48" t="str">
        <x:v>1</x:v>
      </x:c>
      <x:c r="J671" s="48" t="str">
        <x:v>0</x:v>
      </x:c>
      <x:c r="K671" s="48" t="str">
        <x:v>0</x:v>
      </x:c>
      <x:c r="L671" s="48" t="str">
        <x:v>0</x:v>
      </x:c>
      <x:c r="M671" s="48" t="str">
        <x:v>0</x:v>
      </x:c>
      <x:c r="N671" s="48" t="str">
        <x:v>1</x:v>
      </x:c>
      <x:c r="O671" s="48" t="str">
        <x:v>0</x:v>
      </x:c>
      <x:c r="P671" s="48" t="str">
        <x:v>0</x:v>
      </x:c>
      <x:c r="Q671" s="48" t="str"/>
      <x:c r="R671" s="48" t="str">
        <x:v>N TOO SMALL</x:v>
      </x:c>
      <x:c r="S671" s="48" t="str"/>
      <x:c r="T671" s="48" t="str"/>
      <x:c r="U671" s="48" t="str">
        <x:v>Fewer than two driver groups have at least 5 observable manager families.</x:v>
      </x:c>
      <x:c r="V671" s="48" t="str">
        <x:v>At least 5 observable manager families in at least 2 driver groups</x:v>
      </x:c>
      <x:c r="W671" s="48" t="str">
        <x:v>&gt;=0.35 separates; &lt;=0.15 does not separate; intermediate is inconclusive/confounded; direct driver-definition tests are CIRCULAR</x:v>
      </x:c>
      <x:c r="X671" s="48" t="str">
        <x:v>MANAGER_SELF_DESCRIPTION; NOT BEHAVIOURAL FREQUENCY</x:v>
      </x:c>
    </x:row>
    <x:row r="672">
      <x:c r="A672" s="48" t="str">
        <x:v>B_GOVERNANCE_SEGMENTATION</x:v>
      </x:c>
      <x:c r="B672" s="48" t="str">
        <x:v>Tier B v1.1 - N=29 rerun</x:v>
      </x:c>
      <x:c r="C672" s="48" t="str">
        <x:v>2026-07-16</x:v>
      </x:c>
      <x:c r="D672" s="48" t="str">
        <x:v>O03</x:v>
      </x:c>
      <x:c r="E672" s="48" t="str">
        <x:v>OWNERSHIP_MONITORING</x:v>
      </x:c>
      <x:c r="F672" s="48" t="str">
        <x:v>Separate portfolio committee from investment committee</x:v>
      </x:c>
      <x:c r="G672" s="48" t="str">
        <x:v>strategy</x:v>
      </x:c>
      <x:c r="H672" s="48" t="str">
        <x:v>CONTROL_BUYOUT</x:v>
      </x:c>
      <x:c r="I672" s="48" t="str">
        <x:v>22</x:v>
      </x:c>
      <x:c r="J672" s="48" t="str">
        <x:v>3</x:v>
      </x:c>
      <x:c r="K672" s="48" t="str">
        <x:v>0</x:v>
      </x:c>
      <x:c r="L672" s="48" t="str">
        <x:v>0</x:v>
      </x:c>
      <x:c r="M672" s="48" t="str">
        <x:v>3</x:v>
      </x:c>
      <x:c r="N672" s="48" t="str">
        <x:v>19</x:v>
      </x:c>
      <x:c r="O672" s="48" t="str">
        <x:v>0</x:v>
      </x:c>
      <x:c r="P672" s="48" t="str">
        <x:v>0</x:v>
      </x:c>
      <x:c r="Q672" s="48" t="str">
        <x:v>1.000</x:v>
      </x:c>
      <x:c r="R672" s="48" t="str">
        <x:v>N TOO SMALL</x:v>
      </x:c>
      <x:c r="S672" s="48" t="str"/>
      <x:c r="T672" s="48" t="str"/>
      <x:c r="U672" s="48" t="str">
        <x:v>Fewer than two driver groups have at least 5 observable manager families.</x:v>
      </x:c>
      <x:c r="V672" s="48" t="str">
        <x:v>At least 5 observable manager families in at least 2 driver groups</x:v>
      </x:c>
      <x:c r="W672" s="48" t="str">
        <x:v>&gt;=0.35 separates; &lt;=0.15 does not separate; intermediate is inconclusive/confounded; direct driver-definition tests are CIRCULAR</x:v>
      </x:c>
      <x:c r="X672" s="48" t="str">
        <x:v>MANAGER_SELF_DESCRIPTION; NOT BEHAVIOURAL FREQUENCY</x:v>
      </x:c>
    </x:row>
    <x:row r="673">
      <x:c r="A673" s="48" t="str">
        <x:v>B_GOVERNANCE_SEGMENTATION</x:v>
      </x:c>
      <x:c r="B673" s="48" t="str">
        <x:v>Tier B v1.1 - N=29 rerun</x:v>
      </x:c>
      <x:c r="C673" s="48" t="str">
        <x:v>2026-07-16</x:v>
      </x:c>
      <x:c r="D673" s="48" t="str">
        <x:v>O03</x:v>
      </x:c>
      <x:c r="E673" s="48" t="str">
        <x:v>OWNERSHIP_MONITORING</x:v>
      </x:c>
      <x:c r="F673" s="48" t="str">
        <x:v>Separate portfolio committee from investment committee</x:v>
      </x:c>
      <x:c r="G673" s="48" t="str">
        <x:v>strategy</x:v>
      </x:c>
      <x:c r="H673" s="48" t="str">
        <x:v>GROWTH_CONTROL_HYBRID</x:v>
      </x:c>
      <x:c r="I673" s="48" t="str">
        <x:v>6</x:v>
      </x:c>
      <x:c r="J673" s="48" t="str">
        <x:v>1</x:v>
      </x:c>
      <x:c r="K673" s="48" t="str">
        <x:v>0</x:v>
      </x:c>
      <x:c r="L673" s="48" t="str">
        <x:v>0</x:v>
      </x:c>
      <x:c r="M673" s="48" t="str">
        <x:v>1</x:v>
      </x:c>
      <x:c r="N673" s="48" t="str">
        <x:v>5</x:v>
      </x:c>
      <x:c r="O673" s="48" t="str">
        <x:v>0</x:v>
      </x:c>
      <x:c r="P673" s="48" t="str">
        <x:v>0</x:v>
      </x:c>
      <x:c r="Q673" s="48" t="str">
        <x:v>1.000</x:v>
      </x:c>
      <x:c r="R673" s="48" t="str">
        <x:v>N TOO SMALL</x:v>
      </x:c>
      <x:c r="S673" s="48" t="str"/>
      <x:c r="T673" s="48" t="str"/>
      <x:c r="U673" s="48" t="str">
        <x:v>Fewer than two driver groups have at least 5 observable manager families.</x:v>
      </x:c>
      <x:c r="V673" s="48" t="str">
        <x:v>At least 5 observable manager families in at least 2 driver groups</x:v>
      </x:c>
      <x:c r="W673" s="48" t="str">
        <x:v>&gt;=0.35 separates; &lt;=0.15 does not separate; intermediate is inconclusive/confounded; direct driver-definition tests are CIRCULAR</x:v>
      </x:c>
      <x:c r="X673" s="48" t="str">
        <x:v>MANAGER_SELF_DESCRIPTION; NOT BEHAVIOURAL FREQUENCY</x:v>
      </x:c>
    </x:row>
    <x:row r="674">
      <x:c r="A674" s="48" t="str">
        <x:v>B_GOVERNANCE_SEGMENTATION</x:v>
      </x:c>
      <x:c r="B674" s="48" t="str">
        <x:v>Tier B v1.1 - N=29 rerun</x:v>
      </x:c>
      <x:c r="C674" s="48" t="str">
        <x:v>2026-07-16</x:v>
      </x:c>
      <x:c r="D674" s="48" t="str">
        <x:v>O03</x:v>
      </x:c>
      <x:c r="E674" s="48" t="str">
        <x:v>OWNERSHIP_MONITORING</x:v>
      </x:c>
      <x:c r="F674" s="48" t="str">
        <x:v>Separate portfolio committee from investment committee</x:v>
      </x:c>
      <x:c r="G674" s="48" t="str">
        <x:v>strategy</x:v>
      </x:c>
      <x:c r="H674" s="48" t="str">
        <x:v>OPPORTUNISTIC_CONTROL</x:v>
      </x:c>
      <x:c r="I674" s="48" t="str">
        <x:v>1</x:v>
      </x:c>
      <x:c r="J674" s="48" t="str">
        <x:v>0</x:v>
      </x:c>
      <x:c r="K674" s="48" t="str">
        <x:v>0</x:v>
      </x:c>
      <x:c r="L674" s="48" t="str">
        <x:v>0</x:v>
      </x:c>
      <x:c r="M674" s="48" t="str">
        <x:v>0</x:v>
      </x:c>
      <x:c r="N674" s="48" t="str">
        <x:v>1</x:v>
      </x:c>
      <x:c r="O674" s="48" t="str">
        <x:v>0</x:v>
      </x:c>
      <x:c r="P674" s="48" t="str">
        <x:v>0</x:v>
      </x:c>
      <x:c r="Q674" s="48" t="str"/>
      <x:c r="R674" s="48" t="str">
        <x:v>N TOO SMALL</x:v>
      </x:c>
      <x:c r="S674" s="48" t="str"/>
      <x:c r="T674" s="48" t="str"/>
      <x:c r="U674" s="48" t="str">
        <x:v>Fewer than two driver groups have at least 5 observable manager families.</x:v>
      </x:c>
      <x:c r="V674" s="48" t="str">
        <x:v>At least 5 observable manager families in at least 2 driver groups</x:v>
      </x:c>
      <x:c r="W674" s="48" t="str">
        <x:v>&gt;=0.35 separates; &lt;=0.15 does not separate; intermediate is inconclusive/confounded; direct driver-definition tests are CIRCULAR</x:v>
      </x:c>
      <x:c r="X674" s="48" t="str">
        <x:v>MANAGER_SELF_DESCRIPTION; NOT BEHAVIOURAL FREQUENCY</x:v>
      </x:c>
    </x:row>
    <x:row r="675">
      <x:c r="A675" s="48" t="str">
        <x:v>B_GOVERNANCE_SEGMENTATION</x:v>
      </x:c>
      <x:c r="B675" s="48" t="str">
        <x:v>Tier B v1.1 - N=29 rerun</x:v>
      </x:c>
      <x:c r="C675" s="48" t="str">
        <x:v>2026-07-16</x:v>
      </x:c>
      <x:c r="D675" s="48" t="str">
        <x:v>O03</x:v>
      </x:c>
      <x:c r="E675" s="48" t="str">
        <x:v>OWNERSHIP_MONITORING</x:v>
      </x:c>
      <x:c r="F675" s="48" t="str">
        <x:v>Separate portfolio committee from investment committee</x:v>
      </x:c>
      <x:c r="G675" s="48" t="str">
        <x:v>geography</x:v>
      </x:c>
      <x:c r="H675" s="48" t="str">
        <x:v>ASIA_PACIFIC</x:v>
      </x:c>
      <x:c r="I675" s="48" t="str">
        <x:v>4</x:v>
      </x:c>
      <x:c r="J675" s="48" t="str">
        <x:v>1</x:v>
      </x:c>
      <x:c r="K675" s="48" t="str">
        <x:v>0</x:v>
      </x:c>
      <x:c r="L675" s="48" t="str">
        <x:v>0</x:v>
      </x:c>
      <x:c r="M675" s="48" t="str">
        <x:v>1</x:v>
      </x:c>
      <x:c r="N675" s="48" t="str">
        <x:v>3</x:v>
      </x:c>
      <x:c r="O675" s="48" t="str">
        <x:v>0</x:v>
      </x:c>
      <x:c r="P675" s="48" t="str">
        <x:v>0</x:v>
      </x:c>
      <x:c r="Q675" s="48" t="str">
        <x:v>1.000</x:v>
      </x:c>
      <x:c r="R675" s="48" t="str">
        <x:v>N TOO SMALL</x:v>
      </x:c>
      <x:c r="S675" s="48" t="str"/>
      <x:c r="T675" s="48" t="str"/>
      <x:c r="U675" s="48" t="str">
        <x:v>Fewer than two driver groups have at least 5 observable manager families.</x:v>
      </x:c>
      <x:c r="V675" s="48" t="str">
        <x:v>At least 5 observable manager families in at least 2 driver groups</x:v>
      </x:c>
      <x:c r="W675" s="48" t="str">
        <x:v>&gt;=0.35 separates; &lt;=0.15 does not separate; intermediate is inconclusive/confounded; direct driver-definition tests are CIRCULAR</x:v>
      </x:c>
      <x:c r="X675" s="48" t="str">
        <x:v>MANAGER_SELF_DESCRIPTION; NOT BEHAVIOURAL FREQUENCY</x:v>
      </x:c>
    </x:row>
    <x:row r="676">
      <x:c r="A676" s="48" t="str">
        <x:v>B_GOVERNANCE_SEGMENTATION</x:v>
      </x:c>
      <x:c r="B676" s="48" t="str">
        <x:v>Tier B v1.1 - N=29 rerun</x:v>
      </x:c>
      <x:c r="C676" s="48" t="str">
        <x:v>2026-07-16</x:v>
      </x:c>
      <x:c r="D676" s="48" t="str">
        <x:v>O03</x:v>
      </x:c>
      <x:c r="E676" s="48" t="str">
        <x:v>OWNERSHIP_MONITORING</x:v>
      </x:c>
      <x:c r="F676" s="48" t="str">
        <x:v>Separate portfolio committee from investment committee</x:v>
      </x:c>
      <x:c r="G676" s="48" t="str">
        <x:v>geography</x:v>
      </x:c>
      <x:c r="H676" s="48" t="str">
        <x:v>EUROPE</x:v>
      </x:c>
      <x:c r="I676" s="48" t="str">
        <x:v>2</x:v>
      </x:c>
      <x:c r="J676" s="48" t="str">
        <x:v>1</x:v>
      </x:c>
      <x:c r="K676" s="48" t="str">
        <x:v>0</x:v>
      </x:c>
      <x:c r="L676" s="48" t="str">
        <x:v>0</x:v>
      </x:c>
      <x:c r="M676" s="48" t="str">
        <x:v>1</x:v>
      </x:c>
      <x:c r="N676" s="48" t="str">
        <x:v>1</x:v>
      </x:c>
      <x:c r="O676" s="48" t="str">
        <x:v>0</x:v>
      </x:c>
      <x:c r="P676" s="48" t="str">
        <x:v>0</x:v>
      </x:c>
      <x:c r="Q676" s="48" t="str">
        <x:v>1.000</x:v>
      </x:c>
      <x:c r="R676" s="48" t="str">
        <x:v>N TOO SMALL</x:v>
      </x:c>
      <x:c r="S676" s="48" t="str"/>
      <x:c r="T676" s="48" t="str"/>
      <x:c r="U676" s="48" t="str">
        <x:v>Fewer than two driver groups have at least 5 observable manager families.</x:v>
      </x:c>
      <x:c r="V676" s="48" t="str">
        <x:v>At least 5 observable manager families in at least 2 driver groups</x:v>
      </x:c>
      <x:c r="W676" s="48" t="str">
        <x:v>&gt;=0.35 separates; &lt;=0.15 does not separate; intermediate is inconclusive/confounded; direct driver-definition tests are CIRCULAR</x:v>
      </x:c>
      <x:c r="X676" s="48" t="str">
        <x:v>MANAGER_SELF_DESCRIPTION; NOT BEHAVIOURAL FREQUENCY</x:v>
      </x:c>
    </x:row>
    <x:row r="677">
      <x:c r="A677" s="48" t="str">
        <x:v>B_GOVERNANCE_SEGMENTATION</x:v>
      </x:c>
      <x:c r="B677" s="48" t="str">
        <x:v>Tier B v1.1 - N=29 rerun</x:v>
      </x:c>
      <x:c r="C677" s="48" t="str">
        <x:v>2026-07-16</x:v>
      </x:c>
      <x:c r="D677" s="48" t="str">
        <x:v>O03</x:v>
      </x:c>
      <x:c r="E677" s="48" t="str">
        <x:v>OWNERSHIP_MONITORING</x:v>
      </x:c>
      <x:c r="F677" s="48" t="str">
        <x:v>Separate portfolio committee from investment committee</x:v>
      </x:c>
      <x:c r="G677" s="48" t="str">
        <x:v>geography</x:v>
      </x:c>
      <x:c r="H677" s="48" t="str">
        <x:v>GLOBAL_TRANSATLANTIC</x:v>
      </x:c>
      <x:c r="I677" s="48" t="str">
        <x:v>10</x:v>
      </x:c>
      <x:c r="J677" s="48" t="str">
        <x:v>2</x:v>
      </x:c>
      <x:c r="K677" s="48" t="str">
        <x:v>0</x:v>
      </x:c>
      <x:c r="L677" s="48" t="str">
        <x:v>0</x:v>
      </x:c>
      <x:c r="M677" s="48" t="str">
        <x:v>2</x:v>
      </x:c>
      <x:c r="N677" s="48" t="str">
        <x:v>8</x:v>
      </x:c>
      <x:c r="O677" s="48" t="str">
        <x:v>0</x:v>
      </x:c>
      <x:c r="P677" s="48" t="str">
        <x:v>0</x:v>
      </x:c>
      <x:c r="Q677" s="48" t="str">
        <x:v>1.000</x:v>
      </x:c>
      <x:c r="R677" s="48" t="str">
        <x:v>N TOO SMALL</x:v>
      </x:c>
      <x:c r="S677" s="48" t="str"/>
      <x:c r="T677" s="48" t="str"/>
      <x:c r="U677" s="48" t="str">
        <x:v>Fewer than two driver groups have at least 5 observable manager families.</x:v>
      </x:c>
      <x:c r="V677" s="48" t="str">
        <x:v>At least 5 observable manager families in at least 2 driver groups</x:v>
      </x:c>
      <x:c r="W677" s="48" t="str">
        <x:v>&gt;=0.35 separates; &lt;=0.15 does not separate; intermediate is inconclusive/confounded; direct driver-definition tests are CIRCULAR</x:v>
      </x:c>
      <x:c r="X677" s="48" t="str">
        <x:v>MANAGER_SELF_DESCRIPTION; NOT BEHAVIOURAL FREQUENCY</x:v>
      </x:c>
    </x:row>
    <x:row r="678">
      <x:c r="A678" s="48" t="str">
        <x:v>B_GOVERNANCE_SEGMENTATION</x:v>
      </x:c>
      <x:c r="B678" s="48" t="str">
        <x:v>Tier B v1.1 - N=29 rerun</x:v>
      </x:c>
      <x:c r="C678" s="48" t="str">
        <x:v>2026-07-16</x:v>
      </x:c>
      <x:c r="D678" s="48" t="str">
        <x:v>O03</x:v>
      </x:c>
      <x:c r="E678" s="48" t="str">
        <x:v>OWNERSHIP_MONITORING</x:v>
      </x:c>
      <x:c r="F678" s="48" t="str">
        <x:v>Separate portfolio committee from investment committee</x:v>
      </x:c>
      <x:c r="G678" s="48" t="str">
        <x:v>geography</x:v>
      </x:c>
      <x:c r="H678" s="48" t="str">
        <x:v>NORTH_AMERICA</x:v>
      </x:c>
      <x:c r="I678" s="48" t="str">
        <x:v>13</x:v>
      </x:c>
      <x:c r="J678" s="48" t="str">
        <x:v>0</x:v>
      </x:c>
      <x:c r="K678" s="48" t="str">
        <x:v>0</x:v>
      </x:c>
      <x:c r="L678" s="48" t="str">
        <x:v>0</x:v>
      </x:c>
      <x:c r="M678" s="48" t="str">
        <x:v>0</x:v>
      </x:c>
      <x:c r="N678" s="48" t="str">
        <x:v>13</x:v>
      </x:c>
      <x:c r="O678" s="48" t="str">
        <x:v>0</x:v>
      </x:c>
      <x:c r="P678" s="48" t="str">
        <x:v>0</x:v>
      </x:c>
      <x:c r="Q678" s="48" t="str"/>
      <x:c r="R678" s="48" t="str">
        <x:v>N TOO SMALL</x:v>
      </x:c>
      <x:c r="S678" s="48" t="str"/>
      <x:c r="T678" s="48" t="str"/>
      <x:c r="U678" s="48" t="str">
        <x:v>Fewer than two driver groups have at least 5 observable manager families.</x:v>
      </x:c>
      <x:c r="V678" s="48" t="str">
        <x:v>At least 5 observable manager families in at least 2 driver groups</x:v>
      </x:c>
      <x:c r="W678" s="48" t="str">
        <x:v>&gt;=0.35 separates; &lt;=0.15 does not separate; intermediate is inconclusive/confounded; direct driver-definition tests are CIRCULAR</x:v>
      </x:c>
      <x:c r="X678" s="48" t="str">
        <x:v>MANAGER_SELF_DESCRIPTION; NOT BEHAVIOURAL FREQUENCY</x:v>
      </x:c>
    </x:row>
    <x:row r="679">
      <x:c r="A679" s="48" t="str">
        <x:v>B_GOVERNANCE_SEGMENTATION</x:v>
      </x:c>
      <x:c r="B679" s="48" t="str">
        <x:v>Tier B v1.1 - N=29 rerun</x:v>
      </x:c>
      <x:c r="C679" s="48" t="str">
        <x:v>2026-07-16</x:v>
      </x:c>
      <x:c r="D679" s="48" t="str">
        <x:v>O03</x:v>
      </x:c>
      <x:c r="E679" s="48" t="str">
        <x:v>OWNERSHIP_MONITORING</x:v>
      </x:c>
      <x:c r="F679" s="48" t="str">
        <x:v>Separate portfolio committee from investment committee</x:v>
      </x:c>
      <x:c r="G679" s="48" t="str">
        <x:v>source_vintage_bin</x:v>
      </x:c>
      <x:c r="H679" s="48" t="str">
        <x:v>2018_2020</x:v>
      </x:c>
      <x:c r="I679" s="48" t="str">
        <x:v>6</x:v>
      </x:c>
      <x:c r="J679" s="48" t="str">
        <x:v>1</x:v>
      </x:c>
      <x:c r="K679" s="48" t="str">
        <x:v>0</x:v>
      </x:c>
      <x:c r="L679" s="48" t="str">
        <x:v>0</x:v>
      </x:c>
      <x:c r="M679" s="48" t="str">
        <x:v>1</x:v>
      </x:c>
      <x:c r="N679" s="48" t="str">
        <x:v>5</x:v>
      </x:c>
      <x:c r="O679" s="48" t="str">
        <x:v>0</x:v>
      </x:c>
      <x:c r="P679" s="48" t="str">
        <x:v>0</x:v>
      </x:c>
      <x:c r="Q679" s="48" t="str">
        <x:v>1.000</x:v>
      </x:c>
      <x:c r="R679" s="48" t="str">
        <x:v>N TOO SMALL</x:v>
      </x:c>
      <x:c r="S679" s="48" t="str"/>
      <x:c r="T679" s="48" t="str"/>
      <x:c r="U679" s="48" t="str">
        <x:v>Fewer than two driver groups have at least 5 observable manager families.</x:v>
      </x:c>
      <x:c r="V679" s="48" t="str">
        <x:v>At least 5 observable manager families in at least 2 driver groups</x:v>
      </x:c>
      <x:c r="W679" s="48" t="str">
        <x:v>&gt;=0.35 separates; &lt;=0.15 does not separate; intermediate is inconclusive/confounded; direct driver-definition tests are CIRCULAR</x:v>
      </x:c>
      <x:c r="X679" s="48" t="str">
        <x:v>MANAGER_SELF_DESCRIPTION; NOT BEHAVIOURAL FREQUENCY</x:v>
      </x:c>
    </x:row>
    <x:row r="680">
      <x:c r="A680" s="48" t="str">
        <x:v>B_GOVERNANCE_SEGMENTATION</x:v>
      </x:c>
      <x:c r="B680" s="48" t="str">
        <x:v>Tier B v1.1 - N=29 rerun</x:v>
      </x:c>
      <x:c r="C680" s="48" t="str">
        <x:v>2026-07-16</x:v>
      </x:c>
      <x:c r="D680" s="48" t="str">
        <x:v>O03</x:v>
      </x:c>
      <x:c r="E680" s="48" t="str">
        <x:v>OWNERSHIP_MONITORING</x:v>
      </x:c>
      <x:c r="F680" s="48" t="str">
        <x:v>Separate portfolio committee from investment committee</x:v>
      </x:c>
      <x:c r="G680" s="48" t="str">
        <x:v>source_vintage_bin</x:v>
      </x:c>
      <x:c r="H680" s="48" t="str">
        <x:v>2021_2023</x:v>
      </x:c>
      <x:c r="I680" s="48" t="str">
        <x:v>11</x:v>
      </x:c>
      <x:c r="J680" s="48" t="str">
        <x:v>2</x:v>
      </x:c>
      <x:c r="K680" s="48" t="str">
        <x:v>0</x:v>
      </x:c>
      <x:c r="L680" s="48" t="str">
        <x:v>0</x:v>
      </x:c>
      <x:c r="M680" s="48" t="str">
        <x:v>2</x:v>
      </x:c>
      <x:c r="N680" s="48" t="str">
        <x:v>9</x:v>
      </x:c>
      <x:c r="O680" s="48" t="str">
        <x:v>0</x:v>
      </x:c>
      <x:c r="P680" s="48" t="str">
        <x:v>0</x:v>
      </x:c>
      <x:c r="Q680" s="48" t="str">
        <x:v>1.000</x:v>
      </x:c>
      <x:c r="R680" s="48" t="str">
        <x:v>N TOO SMALL</x:v>
      </x:c>
      <x:c r="S680" s="48" t="str"/>
      <x:c r="T680" s="48" t="str"/>
      <x:c r="U680" s="48" t="str">
        <x:v>Fewer than two driver groups have at least 5 observable manager families.</x:v>
      </x:c>
      <x:c r="V680" s="48" t="str">
        <x:v>At least 5 observable manager families in at least 2 driver groups</x:v>
      </x:c>
      <x:c r="W680" s="48" t="str">
        <x:v>&gt;=0.35 separates; &lt;=0.15 does not separate; intermediate is inconclusive/confounded; direct driver-definition tests are CIRCULAR</x:v>
      </x:c>
      <x:c r="X680" s="48" t="str">
        <x:v>MANAGER_SELF_DESCRIPTION; NOT BEHAVIOURAL FREQUENCY</x:v>
      </x:c>
    </x:row>
    <x:row r="681">
      <x:c r="A681" s="48" t="str">
        <x:v>B_GOVERNANCE_SEGMENTATION</x:v>
      </x:c>
      <x:c r="B681" s="48" t="str">
        <x:v>Tier B v1.1 - N=29 rerun</x:v>
      </x:c>
      <x:c r="C681" s="48" t="str">
        <x:v>2026-07-16</x:v>
      </x:c>
      <x:c r="D681" s="48" t="str">
        <x:v>O03</x:v>
      </x:c>
      <x:c r="E681" s="48" t="str">
        <x:v>OWNERSHIP_MONITORING</x:v>
      </x:c>
      <x:c r="F681" s="48" t="str">
        <x:v>Separate portfolio committee from investment committee</x:v>
      </x:c>
      <x:c r="G681" s="48" t="str">
        <x:v>source_vintage_bin</x:v>
      </x:c>
      <x:c r="H681" s="48" t="str">
        <x:v>2024_2026</x:v>
      </x:c>
      <x:c r="I681" s="48" t="str">
        <x:v>12</x:v>
      </x:c>
      <x:c r="J681" s="48" t="str">
        <x:v>1</x:v>
      </x:c>
      <x:c r="K681" s="48" t="str">
        <x:v>0</x:v>
      </x:c>
      <x:c r="L681" s="48" t="str">
        <x:v>0</x:v>
      </x:c>
      <x:c r="M681" s="48" t="str">
        <x:v>1</x:v>
      </x:c>
      <x:c r="N681" s="48" t="str">
        <x:v>11</x:v>
      </x:c>
      <x:c r="O681" s="48" t="str">
        <x:v>0</x:v>
      </x:c>
      <x:c r="P681" s="48" t="str">
        <x:v>0</x:v>
      </x:c>
      <x:c r="Q681" s="48" t="str">
        <x:v>1.000</x:v>
      </x:c>
      <x:c r="R681" s="48" t="str">
        <x:v>N TOO SMALL</x:v>
      </x:c>
      <x:c r="S681" s="48" t="str"/>
      <x:c r="T681" s="48" t="str"/>
      <x:c r="U681" s="48" t="str">
        <x:v>Fewer than two driver groups have at least 5 observable manager families.</x:v>
      </x:c>
      <x:c r="V681" s="48" t="str">
        <x:v>At least 5 observable manager families in at least 2 driver groups</x:v>
      </x:c>
      <x:c r="W681" s="48" t="str">
        <x:v>&gt;=0.35 separates; &lt;=0.15 does not separate; intermediate is inconclusive/confounded; direct driver-definition tests are CIRCULAR</x:v>
      </x:c>
      <x:c r="X681" s="48" t="str">
        <x:v>MANAGER_SELF_DESCRIPTION; NOT BEHAVIOURAL FREQUENCY</x:v>
      </x:c>
    </x:row>
    <x:row r="682">
      <x:c r="A682" s="48" t="str">
        <x:v>B_GOVERNANCE_SEGMENTATION</x:v>
      </x:c>
      <x:c r="B682" s="48" t="str">
        <x:v>Tier B v1.1 - N=29 rerun</x:v>
      </x:c>
      <x:c r="C682" s="48" t="str">
        <x:v>2026-07-16</x:v>
      </x:c>
      <x:c r="D682" s="48" t="str">
        <x:v>O03</x:v>
      </x:c>
      <x:c r="E682" s="48" t="str">
        <x:v>OWNERSHIP_MONITORING</x:v>
      </x:c>
      <x:c r="F682" s="48" t="str">
        <x:v>Separate portfolio committee from investment committee</x:v>
      </x:c>
      <x:c r="G682" s="48" t="str">
        <x:v>governance_architecture</x:v>
      </x:c>
      <x:c r="H682" s="48" t="str">
        <x:v>IC_FINAL_OR_DE_FACTO</x:v>
      </x:c>
      <x:c r="I682" s="48" t="str">
        <x:v>26</x:v>
      </x:c>
      <x:c r="J682" s="48" t="str">
        <x:v>3</x:v>
      </x:c>
      <x:c r="K682" s="48" t="str">
        <x:v>0</x:v>
      </x:c>
      <x:c r="L682" s="48" t="str">
        <x:v>0</x:v>
      </x:c>
      <x:c r="M682" s="48" t="str">
        <x:v>3</x:v>
      </x:c>
      <x:c r="N682" s="48" t="str">
        <x:v>23</x:v>
      </x:c>
      <x:c r="O682" s="48" t="str">
        <x:v>0</x:v>
      </x:c>
      <x:c r="P682" s="48" t="str">
        <x:v>0</x:v>
      </x:c>
      <x:c r="Q682" s="48" t="str">
        <x:v>1.000</x:v>
      </x:c>
      <x:c r="R682" s="48" t="str">
        <x:v>N TOO SMALL</x:v>
      </x:c>
      <x:c r="S682" s="48" t="str"/>
      <x:c r="T682" s="48" t="str"/>
      <x:c r="U682" s="48" t="str">
        <x:v>Fewer than two driver groups have at least 5 observable manager families.</x:v>
      </x:c>
      <x:c r="V682" s="48" t="str">
        <x:v>At least 5 observable manager families in at least 2 driver groups</x:v>
      </x:c>
      <x:c r="W682" s="48" t="str">
        <x:v>&gt;=0.35 separates; &lt;=0.15 does not separate; intermediate is inconclusive/confounded; direct driver-definition tests are CIRCULAR</x:v>
      </x:c>
      <x:c r="X682" s="48" t="str">
        <x:v>MANAGER_SELF_DESCRIPTION; NOT BEHAVIOURAL FREQUENCY</x:v>
      </x:c>
    </x:row>
    <x:row r="683">
      <x:c r="A683" s="48" t="str">
        <x:v>B_GOVERNANCE_SEGMENTATION</x:v>
      </x:c>
      <x:c r="B683" s="48" t="str">
        <x:v>Tier B v1.1 - N=29 rerun</x:v>
      </x:c>
      <x:c r="C683" s="48" t="str">
        <x:v>2026-07-16</x:v>
      </x:c>
      <x:c r="D683" s="48" t="str">
        <x:v>O03</x:v>
      </x:c>
      <x:c r="E683" s="48" t="str">
        <x:v>OWNERSHIP_MONITORING</x:v>
      </x:c>
      <x:c r="F683" s="48" t="str">
        <x:v>Separate portfolio committee from investment committee</x:v>
      </x:c>
      <x:c r="G683" s="48" t="str">
        <x:v>governance_architecture</x:v>
      </x:c>
      <x:c r="H683" s="48" t="str">
        <x:v>IC_RECOMMENDS_SEPARATE_FINAL_AUTHORITY</x:v>
      </x:c>
      <x:c r="I683" s="48" t="str">
        <x:v>3</x:v>
      </x:c>
      <x:c r="J683" s="48" t="str">
        <x:v>1</x:v>
      </x:c>
      <x:c r="K683" s="48" t="str">
        <x:v>0</x:v>
      </x:c>
      <x:c r="L683" s="48" t="str">
        <x:v>0</x:v>
      </x:c>
      <x:c r="M683" s="48" t="str">
        <x:v>1</x:v>
      </x:c>
      <x:c r="N683" s="48" t="str">
        <x:v>2</x:v>
      </x:c>
      <x:c r="O683" s="48" t="str">
        <x:v>0</x:v>
      </x:c>
      <x:c r="P683" s="48" t="str">
        <x:v>0</x:v>
      </x:c>
      <x:c r="Q683" s="48" t="str">
        <x:v>1.000</x:v>
      </x:c>
      <x:c r="R683" s="48" t="str">
        <x:v>N TOO SMALL</x:v>
      </x:c>
      <x:c r="S683" s="48" t="str"/>
      <x:c r="T683" s="48" t="str"/>
      <x:c r="U683" s="48" t="str">
        <x:v>Fewer than two driver groups have at least 5 observable manager families.</x:v>
      </x:c>
      <x:c r="V683" s="48" t="str">
        <x:v>At least 5 observable manager families in at least 2 driver groups</x:v>
      </x:c>
      <x:c r="W683" s="48" t="str">
        <x:v>&gt;=0.35 separates; &lt;=0.15 does not separate; intermediate is inconclusive/confounded; direct driver-definition tests are CIRCULAR</x:v>
      </x:c>
      <x:c r="X683" s="48" t="str">
        <x:v>MANAGER_SELF_DESCRIPTION; NOT BEHAVIOURAL FREQUENCY</x:v>
      </x:c>
    </x:row>
    <x:row r="684">
      <x:c r="A684" s="48" t="str">
        <x:v>B_GOVERNANCE_SEGMENTATION</x:v>
      </x:c>
      <x:c r="B684" s="48" t="str">
        <x:v>Tier B v1.1 - N=29 rerun</x:v>
      </x:c>
      <x:c r="C684" s="48" t="str">
        <x:v>2026-07-16</x:v>
      </x:c>
      <x:c r="D684" s="48" t="str">
        <x:v>O03</x:v>
      </x:c>
      <x:c r="E684" s="48" t="str">
        <x:v>OWNERSHIP_MONITORING</x:v>
      </x:c>
      <x:c r="F684" s="48" t="str">
        <x:v>Separate portfolio committee from investment committee</x:v>
      </x:c>
      <x:c r="G684" s="48" t="str">
        <x:v>dedicated_operating_team</x:v>
      </x:c>
      <x:c r="H684" s="48" t="str">
        <x:v>NO_OR_LIMITED</x:v>
      </x:c>
      <x:c r="I684" s="48" t="str">
        <x:v>6</x:v>
      </x:c>
      <x:c r="J684" s="48" t="str">
        <x:v>1</x:v>
      </x:c>
      <x:c r="K684" s="48" t="str">
        <x:v>0</x:v>
      </x:c>
      <x:c r="L684" s="48" t="str">
        <x:v>0</x:v>
      </x:c>
      <x:c r="M684" s="48" t="str">
        <x:v>1</x:v>
      </x:c>
      <x:c r="N684" s="48" t="str">
        <x:v>5</x:v>
      </x:c>
      <x:c r="O684" s="48" t="str">
        <x:v>0</x:v>
      </x:c>
      <x:c r="P684" s="48" t="str">
        <x:v>0</x:v>
      </x:c>
      <x:c r="Q684" s="48" t="str">
        <x:v>1.000</x:v>
      </x:c>
      <x:c r="R684" s="48" t="str">
        <x:v>N TOO SMALL</x:v>
      </x:c>
      <x:c r="S684" s="48" t="str"/>
      <x:c r="T684" s="48" t="str"/>
      <x:c r="U684" s="48" t="str">
        <x:v>Fewer than two driver groups have at least 5 observable manager families.</x:v>
      </x:c>
      <x:c r="V684" s="48" t="str">
        <x:v>At least 5 observable manager families in at least 2 driver groups</x:v>
      </x:c>
      <x:c r="W684" s="48" t="str">
        <x:v>&gt;=0.35 separates; &lt;=0.15 does not separate; intermediate is inconclusive/confounded; direct driver-definition tests are CIRCULAR</x:v>
      </x:c>
      <x:c r="X684" s="48" t="str">
        <x:v>MANAGER_SELF_DESCRIPTION; NOT BEHAVIOURAL FREQUENCY</x:v>
      </x:c>
    </x:row>
    <x:row r="685">
      <x:c r="A685" s="48" t="str">
        <x:v>B_GOVERNANCE_SEGMENTATION</x:v>
      </x:c>
      <x:c r="B685" s="48" t="str">
        <x:v>Tier B v1.1 - N=29 rerun</x:v>
      </x:c>
      <x:c r="C685" s="48" t="str">
        <x:v>2026-07-16</x:v>
      </x:c>
      <x:c r="D685" s="48" t="str">
        <x:v>O03</x:v>
      </x:c>
      <x:c r="E685" s="48" t="str">
        <x:v>OWNERSHIP_MONITORING</x:v>
      </x:c>
      <x:c r="F685" s="48" t="str">
        <x:v>Separate portfolio committee from investment committee</x:v>
      </x:c>
      <x:c r="G685" s="48" t="str">
        <x:v>dedicated_operating_team</x:v>
      </x:c>
      <x:c r="H685" s="48" t="str">
        <x:v>YES_DEDICATED</x:v>
      </x:c>
      <x:c r="I685" s="48" t="str">
        <x:v>23</x:v>
      </x:c>
      <x:c r="J685" s="48" t="str">
        <x:v>3</x:v>
      </x:c>
      <x:c r="K685" s="48" t="str">
        <x:v>0</x:v>
      </x:c>
      <x:c r="L685" s="48" t="str">
        <x:v>0</x:v>
      </x:c>
      <x:c r="M685" s="48" t="str">
        <x:v>3</x:v>
      </x:c>
      <x:c r="N685" s="48" t="str">
        <x:v>20</x:v>
      </x:c>
      <x:c r="O685" s="48" t="str">
        <x:v>0</x:v>
      </x:c>
      <x:c r="P685" s="48" t="str">
        <x:v>0</x:v>
      </x:c>
      <x:c r="Q685" s="48" t="str">
        <x:v>1.000</x:v>
      </x:c>
      <x:c r="R685" s="48" t="str">
        <x:v>N TOO SMALL</x:v>
      </x:c>
      <x:c r="S685" s="48" t="str"/>
      <x:c r="T685" s="48" t="str"/>
      <x:c r="U685" s="48" t="str">
        <x:v>Fewer than two driver groups have at least 5 observable manager families.</x:v>
      </x:c>
      <x:c r="V685" s="48" t="str">
        <x:v>At least 5 observable manager families in at least 2 driver groups</x:v>
      </x:c>
      <x:c r="W685" s="48" t="str">
        <x:v>&gt;=0.35 separates; &lt;=0.15 does not separate; intermediate is inconclusive/confounded; direct driver-definition tests are CIRCULAR</x:v>
      </x:c>
      <x:c r="X685" s="48" t="str">
        <x:v>MANAGER_SELF_DESCRIPTION; NOT BEHAVIOURAL FREQUENCY</x:v>
      </x:c>
    </x:row>
    <x:row r="686">
      <x:c r="A686" s="48" t="str">
        <x:v>B_GOVERNANCE_SEGMENTATION</x:v>
      </x:c>
      <x:c r="B686" s="48" t="str">
        <x:v>Tier B v1.1 - N=29 rerun</x:v>
      </x:c>
      <x:c r="C686" s="48" t="str">
        <x:v>2026-07-16</x:v>
      </x:c>
      <x:c r="D686" s="48" t="str">
        <x:v>O04</x:v>
      </x:c>
      <x:c r="E686" s="48" t="str">
        <x:v>OWNERSHIP_MONITORING</x:v>
      </x:c>
      <x:c r="F686" s="48" t="str">
        <x:v>Exit planning begins during underwriting or ownership</x:v>
      </x:c>
      <x:c r="G686" s="48" t="str">
        <x:v>fund_size_archetype</x:v>
      </x:c>
      <x:c r="H686" s="48" t="str">
        <x:v>LARGE_2_TO_LT_5B</x:v>
      </x:c>
      <x:c r="I686" s="48" t="str">
        <x:v>9</x:v>
      </x:c>
      <x:c r="J686" s="48" t="str">
        <x:v>9</x:v>
      </x:c>
      <x:c r="K686" s="48" t="str">
        <x:v>8</x:v>
      </x:c>
      <x:c r="L686" s="48" t="str">
        <x:v>0</x:v>
      </x:c>
      <x:c r="M686" s="48" t="str">
        <x:v>9</x:v>
      </x:c>
      <x:c r="N686" s="48" t="str">
        <x:v>0</x:v>
      </x:c>
      <x:c r="O686" s="48" t="str">
        <x:v>0</x:v>
      </x:c>
      <x:c r="P686" s="48" t="str">
        <x:v>0</x:v>
      </x:c>
      <x:c r="Q686" s="48" t="str">
        <x:v>1.000</x:v>
      </x:c>
      <x:c r="R686" s="48" t="str">
        <x:v>DRIVER DOES NOT SEPARATE</x:v>
      </x:c>
      <x:c r="S686" s="48" t="str">
        <x:v>0.000</x:v>
      </x:c>
      <x:c r="T686" s="48" t="str">
        <x:v>LARGE_2_TO_LT_5B:N=9,p=1.000; LOWER_MID_LT_2B:N=6,p=1.000; MEGA_GE_5B:N=9,p=1.000</x:v>
      </x:c>
      <x:c r="U686" s="48" t="str">
        <x:v>Maximum-minus-minimum prevalence among adequately observed groups is no more than 0.15.</x:v>
      </x:c>
      <x:c r="V686" s="48" t="str">
        <x:v>At least 5 observable manager families in at least 2 driver groups</x:v>
      </x:c>
      <x:c r="W686" s="48" t="str">
        <x:v>&gt;=0.35 separates; &lt;=0.15 does not separate; intermediate is inconclusive/confounded; direct driver-definition tests are CIRCULAR</x:v>
      </x:c>
      <x:c r="X686" s="48" t="str">
        <x:v>MANAGER_SELF_DESCRIPTION; NOT BEHAVIOURAL FREQUENCY</x:v>
      </x:c>
    </x:row>
    <x:row r="687">
      <x:c r="A687" s="48" t="str">
        <x:v>B_GOVERNANCE_SEGMENTATION</x:v>
      </x:c>
      <x:c r="B687" s="48" t="str">
        <x:v>Tier B v1.1 - N=29 rerun</x:v>
      </x:c>
      <x:c r="C687" s="48" t="str">
        <x:v>2026-07-16</x:v>
      </x:c>
      <x:c r="D687" s="48" t="str">
        <x:v>O04</x:v>
      </x:c>
      <x:c r="E687" s="48" t="str">
        <x:v>OWNERSHIP_MONITORING</x:v>
      </x:c>
      <x:c r="F687" s="48" t="str">
        <x:v>Exit planning begins during underwriting or ownership</x:v>
      </x:c>
      <x:c r="G687" s="48" t="str">
        <x:v>fund_size_archetype</x:v>
      </x:c>
      <x:c r="H687" s="48" t="str">
        <x:v>LOWER_MID_LT_2B</x:v>
      </x:c>
      <x:c r="I687" s="48" t="str">
        <x:v>8</x:v>
      </x:c>
      <x:c r="J687" s="48" t="str">
        <x:v>6</x:v>
      </x:c>
      <x:c r="K687" s="48" t="str">
        <x:v>4</x:v>
      </x:c>
      <x:c r="L687" s="48" t="str">
        <x:v>0</x:v>
      </x:c>
      <x:c r="M687" s="48" t="str">
        <x:v>6</x:v>
      </x:c>
      <x:c r="N687" s="48" t="str">
        <x:v>2</x:v>
      </x:c>
      <x:c r="O687" s="48" t="str">
        <x:v>0</x:v>
      </x:c>
      <x:c r="P687" s="48" t="str">
        <x:v>0</x:v>
      </x:c>
      <x:c r="Q687" s="48" t="str">
        <x:v>1.000</x:v>
      </x:c>
      <x:c r="R687" s="48" t="str">
        <x:v>DRIVER DOES NOT SEPARATE</x:v>
      </x:c>
      <x:c r="S687" s="48" t="str">
        <x:v>0.000</x:v>
      </x:c>
      <x:c r="T687" s="48" t="str">
        <x:v>LARGE_2_TO_LT_5B:N=9,p=1.000; LOWER_MID_LT_2B:N=6,p=1.000; MEGA_GE_5B:N=9,p=1.000</x:v>
      </x:c>
      <x:c r="U687" s="48" t="str">
        <x:v>Maximum-minus-minimum prevalence among adequately observed groups is no more than 0.15.</x:v>
      </x:c>
      <x:c r="V687" s="48" t="str">
        <x:v>At least 5 observable manager families in at least 2 driver groups</x:v>
      </x:c>
      <x:c r="W687" s="48" t="str">
        <x:v>&gt;=0.35 separates; &lt;=0.15 does not separate; intermediate is inconclusive/confounded; direct driver-definition tests are CIRCULAR</x:v>
      </x:c>
      <x:c r="X687" s="48" t="str">
        <x:v>MANAGER_SELF_DESCRIPTION; NOT BEHAVIOURAL FREQUENCY</x:v>
      </x:c>
    </x:row>
    <x:row r="688">
      <x:c r="A688" s="48" t="str">
        <x:v>B_GOVERNANCE_SEGMENTATION</x:v>
      </x:c>
      <x:c r="B688" s="48" t="str">
        <x:v>Tier B v1.1 - N=29 rerun</x:v>
      </x:c>
      <x:c r="C688" s="48" t="str">
        <x:v>2026-07-16</x:v>
      </x:c>
      <x:c r="D688" s="48" t="str">
        <x:v>O04</x:v>
      </x:c>
      <x:c r="E688" s="48" t="str">
        <x:v>OWNERSHIP_MONITORING</x:v>
      </x:c>
      <x:c r="F688" s="48" t="str">
        <x:v>Exit planning begins during underwriting or ownership</x:v>
      </x:c>
      <x:c r="G688" s="48" t="str">
        <x:v>fund_size_archetype</x:v>
      </x:c>
      <x:c r="H688" s="48" t="str">
        <x:v>MEGA_GE_5B</x:v>
      </x:c>
      <x:c r="I688" s="48" t="str">
        <x:v>11</x:v>
      </x:c>
      <x:c r="J688" s="48" t="str">
        <x:v>9</x:v>
      </x:c>
      <x:c r="K688" s="48" t="str">
        <x:v>8</x:v>
      </x:c>
      <x:c r="L688" s="48" t="str">
        <x:v>0</x:v>
      </x:c>
      <x:c r="M688" s="48" t="str">
        <x:v>9</x:v>
      </x:c>
      <x:c r="N688" s="48" t="str">
        <x:v>2</x:v>
      </x:c>
      <x:c r="O688" s="48" t="str">
        <x:v>0</x:v>
      </x:c>
      <x:c r="P688" s="48" t="str">
        <x:v>0</x:v>
      </x:c>
      <x:c r="Q688" s="48" t="str">
        <x:v>1.000</x:v>
      </x:c>
      <x:c r="R688" s="48" t="str">
        <x:v>DRIVER DOES NOT SEPARATE</x:v>
      </x:c>
      <x:c r="S688" s="48" t="str">
        <x:v>0.000</x:v>
      </x:c>
      <x:c r="T688" s="48" t="str">
        <x:v>LARGE_2_TO_LT_5B:N=9,p=1.000; LOWER_MID_LT_2B:N=6,p=1.000; MEGA_GE_5B:N=9,p=1.000</x:v>
      </x:c>
      <x:c r="U688" s="48" t="str">
        <x:v>Maximum-minus-minimum prevalence among adequately observed groups is no more than 0.15.</x:v>
      </x:c>
      <x:c r="V688" s="48" t="str">
        <x:v>At least 5 observable manager families in at least 2 driver groups</x:v>
      </x:c>
      <x:c r="W688" s="48" t="str">
        <x:v>&gt;=0.35 separates; &lt;=0.15 does not separate; intermediate is inconclusive/confounded; direct driver-definition tests are CIRCULAR</x:v>
      </x:c>
      <x:c r="X688" s="48" t="str">
        <x:v>MANAGER_SELF_DESCRIPTION; NOT BEHAVIOURAL FREQUENCY</x:v>
      </x:c>
    </x:row>
    <x:row r="689">
      <x:c r="A689" s="48" t="str">
        <x:v>B_GOVERNANCE_SEGMENTATION</x:v>
      </x:c>
      <x:c r="B689" s="48" t="str">
        <x:v>Tier B v1.1 - N=29 rerun</x:v>
      </x:c>
      <x:c r="C689" s="48" t="str">
        <x:v>2026-07-16</x:v>
      </x:c>
      <x:c r="D689" s="48" t="str">
        <x:v>O04</x:v>
      </x:c>
      <x:c r="E689" s="48" t="str">
        <x:v>OWNERSHIP_MONITORING</x:v>
      </x:c>
      <x:c r="F689" s="48" t="str">
        <x:v>Exit planning begins during underwriting or ownership</x:v>
      </x:c>
      <x:c r="G689" s="48" t="str">
        <x:v>fund_size_archetype</x:v>
      </x:c>
      <x:c r="H689" s="48" t="str">
        <x:v>NOT_APPLICABLE</x:v>
      </x:c>
      <x:c r="I689" s="48" t="str">
        <x:v>1</x:v>
      </x:c>
      <x:c r="J689" s="48" t="str">
        <x:v>1</x:v>
      </x:c>
      <x:c r="K689" s="48" t="str">
        <x:v>1</x:v>
      </x:c>
      <x:c r="L689" s="48" t="str">
        <x:v>0</x:v>
      </x:c>
      <x:c r="M689" s="48" t="str">
        <x:v>1</x:v>
      </x:c>
      <x:c r="N689" s="48" t="str">
        <x:v>0</x:v>
      </x:c>
      <x:c r="O689" s="48" t="str">
        <x:v>0</x:v>
      </x:c>
      <x:c r="P689" s="48" t="str">
        <x:v>0</x:v>
      </x:c>
      <x:c r="Q689" s="48" t="str">
        <x:v>1.000</x:v>
      </x:c>
      <x:c r="R689" s="48" t="str">
        <x:v>DRIVER DOES NOT SEPARATE</x:v>
      </x:c>
      <x:c r="S689" s="48" t="str">
        <x:v>0.000</x:v>
      </x:c>
      <x:c r="T689" s="48" t="str">
        <x:v>LARGE_2_TO_LT_5B:N=9,p=1.000; LOWER_MID_LT_2B:N=6,p=1.000; MEGA_GE_5B:N=9,p=1.000</x:v>
      </x:c>
      <x:c r="U689" s="48" t="str">
        <x:v>Maximum-minus-minimum prevalence among adequately observed groups is no more than 0.15.</x:v>
      </x:c>
      <x:c r="V689" s="48" t="str">
        <x:v>At least 5 observable manager families in at least 2 driver groups</x:v>
      </x:c>
      <x:c r="W689" s="48" t="str">
        <x:v>&gt;=0.35 separates; &lt;=0.15 does not separate; intermediate is inconclusive/confounded; direct driver-definition tests are CIRCULAR</x:v>
      </x:c>
      <x:c r="X689" s="48" t="str">
        <x:v>MANAGER_SELF_DESCRIPTION; NOT BEHAVIOURAL FREQUENCY</x:v>
      </x:c>
    </x:row>
    <x:row r="690">
      <x:c r="A690" s="48" t="str">
        <x:v>B_GOVERNANCE_SEGMENTATION</x:v>
      </x:c>
      <x:c r="B690" s="48" t="str">
        <x:v>Tier B v1.1 - N=29 rerun</x:v>
      </x:c>
      <x:c r="C690" s="48" t="str">
        <x:v>2026-07-16</x:v>
      </x:c>
      <x:c r="D690" s="48" t="str">
        <x:v>O04</x:v>
      </x:c>
      <x:c r="E690" s="48" t="str">
        <x:v>OWNERSHIP_MONITORING</x:v>
      </x:c>
      <x:c r="F690" s="48" t="str">
        <x:v>Exit planning begins during underwriting or ownership</x:v>
      </x:c>
      <x:c r="G690" s="48" t="str">
        <x:v>strategy</x:v>
      </x:c>
      <x:c r="H690" s="48" t="str">
        <x:v>CONTROL_BUYOUT</x:v>
      </x:c>
      <x:c r="I690" s="48" t="str">
        <x:v>22</x:v>
      </x:c>
      <x:c r="J690" s="48" t="str">
        <x:v>20</x:v>
      </x:c>
      <x:c r="K690" s="48" t="str">
        <x:v>17</x:v>
      </x:c>
      <x:c r="L690" s="48" t="str">
        <x:v>0</x:v>
      </x:c>
      <x:c r="M690" s="48" t="str">
        <x:v>20</x:v>
      </x:c>
      <x:c r="N690" s="48" t="str">
        <x:v>2</x:v>
      </x:c>
      <x:c r="O690" s="48" t="str">
        <x:v>0</x:v>
      </x:c>
      <x:c r="P690" s="48" t="str">
        <x:v>0</x:v>
      </x:c>
      <x:c r="Q690" s="48" t="str">
        <x:v>1.000</x:v>
      </x:c>
      <x:c r="R690" s="48" t="str">
        <x:v>DRIVER DOES NOT SEPARATE</x:v>
      </x:c>
      <x:c r="S690" s="48" t="str">
        <x:v>0.000</x:v>
      </x:c>
      <x:c r="T690" s="48" t="str">
        <x:v>CONTROL_BUYOUT:N=20,p=1.000; GROWTH_CONTROL_HYBRID:N=5,p=1.000</x:v>
      </x:c>
      <x:c r="U690" s="48" t="str">
        <x:v>Maximum-minus-minimum prevalence among adequately observed groups is no more than 0.15.</x:v>
      </x:c>
      <x:c r="V690" s="48" t="str">
        <x:v>At least 5 observable manager families in at least 2 driver groups</x:v>
      </x:c>
      <x:c r="W690" s="48" t="str">
        <x:v>&gt;=0.35 separates; &lt;=0.15 does not separate; intermediate is inconclusive/confounded; direct driver-definition tests are CIRCULAR</x:v>
      </x:c>
      <x:c r="X690" s="48" t="str">
        <x:v>MANAGER_SELF_DESCRIPTION; NOT BEHAVIOURAL FREQUENCY</x:v>
      </x:c>
    </x:row>
    <x:row r="691">
      <x:c r="A691" s="48" t="str">
        <x:v>B_GOVERNANCE_SEGMENTATION</x:v>
      </x:c>
      <x:c r="B691" s="48" t="str">
        <x:v>Tier B v1.1 - N=29 rerun</x:v>
      </x:c>
      <x:c r="C691" s="48" t="str">
        <x:v>2026-07-16</x:v>
      </x:c>
      <x:c r="D691" s="48" t="str">
        <x:v>O04</x:v>
      </x:c>
      <x:c r="E691" s="48" t="str">
        <x:v>OWNERSHIP_MONITORING</x:v>
      </x:c>
      <x:c r="F691" s="48" t="str">
        <x:v>Exit planning begins during underwriting or ownership</x:v>
      </x:c>
      <x:c r="G691" s="48" t="str">
        <x:v>strategy</x:v>
      </x:c>
      <x:c r="H691" s="48" t="str">
        <x:v>GROWTH_CONTROL_HYBRID</x:v>
      </x:c>
      <x:c r="I691" s="48" t="str">
        <x:v>6</x:v>
      </x:c>
      <x:c r="J691" s="48" t="str">
        <x:v>5</x:v>
      </x:c>
      <x:c r="K691" s="48" t="str">
        <x:v>4</x:v>
      </x:c>
      <x:c r="L691" s="48" t="str">
        <x:v>0</x:v>
      </x:c>
      <x:c r="M691" s="48" t="str">
        <x:v>5</x:v>
      </x:c>
      <x:c r="N691" s="48" t="str">
        <x:v>1</x:v>
      </x:c>
      <x:c r="O691" s="48" t="str">
        <x:v>0</x:v>
      </x:c>
      <x:c r="P691" s="48" t="str">
        <x:v>0</x:v>
      </x:c>
      <x:c r="Q691" s="48" t="str">
        <x:v>1.000</x:v>
      </x:c>
      <x:c r="R691" s="48" t="str">
        <x:v>DRIVER DOES NOT SEPARATE</x:v>
      </x:c>
      <x:c r="S691" s="48" t="str">
        <x:v>0.000</x:v>
      </x:c>
      <x:c r="T691" s="48" t="str">
        <x:v>CONTROL_BUYOUT:N=20,p=1.000; GROWTH_CONTROL_HYBRID:N=5,p=1.000</x:v>
      </x:c>
      <x:c r="U691" s="48" t="str">
        <x:v>Maximum-minus-minimum prevalence among adequately observed groups is no more than 0.15.</x:v>
      </x:c>
      <x:c r="V691" s="48" t="str">
        <x:v>At least 5 observable manager families in at least 2 driver groups</x:v>
      </x:c>
      <x:c r="W691" s="48" t="str">
        <x:v>&gt;=0.35 separates; &lt;=0.15 does not separate; intermediate is inconclusive/confounded; direct driver-definition tests are CIRCULAR</x:v>
      </x:c>
      <x:c r="X691" s="48" t="str">
        <x:v>MANAGER_SELF_DESCRIPTION; NOT BEHAVIOURAL FREQUENCY</x:v>
      </x:c>
    </x:row>
    <x:row r="692">
      <x:c r="A692" s="48" t="str">
        <x:v>B_GOVERNANCE_SEGMENTATION</x:v>
      </x:c>
      <x:c r="B692" s="48" t="str">
        <x:v>Tier B v1.1 - N=29 rerun</x:v>
      </x:c>
      <x:c r="C692" s="48" t="str">
        <x:v>2026-07-16</x:v>
      </x:c>
      <x:c r="D692" s="48" t="str">
        <x:v>O04</x:v>
      </x:c>
      <x:c r="E692" s="48" t="str">
        <x:v>OWNERSHIP_MONITORING</x:v>
      </x:c>
      <x:c r="F692" s="48" t="str">
        <x:v>Exit planning begins during underwriting or ownership</x:v>
      </x:c>
      <x:c r="G692" s="48" t="str">
        <x:v>strategy</x:v>
      </x:c>
      <x:c r="H692" s="48" t="str">
        <x:v>OPPORTUNISTIC_CONTROL</x:v>
      </x:c>
      <x:c r="I692" s="48" t="str">
        <x:v>1</x:v>
      </x:c>
      <x:c r="J692" s="48" t="str">
        <x:v>0</x:v>
      </x:c>
      <x:c r="K692" s="48" t="str">
        <x:v>0</x:v>
      </x:c>
      <x:c r="L692" s="48" t="str">
        <x:v>0</x:v>
      </x:c>
      <x:c r="M692" s="48" t="str">
        <x:v>0</x:v>
      </x:c>
      <x:c r="N692" s="48" t="str">
        <x:v>1</x:v>
      </x:c>
      <x:c r="O692" s="48" t="str">
        <x:v>0</x:v>
      </x:c>
      <x:c r="P692" s="48" t="str">
        <x:v>0</x:v>
      </x:c>
      <x:c r="Q692" s="48" t="str"/>
      <x:c r="R692" s="48" t="str">
        <x:v>DRIVER DOES NOT SEPARATE</x:v>
      </x:c>
      <x:c r="S692" s="48" t="str">
        <x:v>0.000</x:v>
      </x:c>
      <x:c r="T692" s="48" t="str">
        <x:v>CONTROL_BUYOUT:N=20,p=1.000; GROWTH_CONTROL_HYBRID:N=5,p=1.000</x:v>
      </x:c>
      <x:c r="U692" s="48" t="str">
        <x:v>Maximum-minus-minimum prevalence among adequately observed groups is no more than 0.15.</x:v>
      </x:c>
      <x:c r="V692" s="48" t="str">
        <x:v>At least 5 observable manager families in at least 2 driver groups</x:v>
      </x:c>
      <x:c r="W692" s="48" t="str">
        <x:v>&gt;=0.35 separates; &lt;=0.15 does not separate; intermediate is inconclusive/confounded; direct driver-definition tests are CIRCULAR</x:v>
      </x:c>
      <x:c r="X692" s="48" t="str">
        <x:v>MANAGER_SELF_DESCRIPTION; NOT BEHAVIOURAL FREQUENCY</x:v>
      </x:c>
    </x:row>
    <x:row r="693">
      <x:c r="A693" s="48" t="str">
        <x:v>B_GOVERNANCE_SEGMENTATION</x:v>
      </x:c>
      <x:c r="B693" s="48" t="str">
        <x:v>Tier B v1.1 - N=29 rerun</x:v>
      </x:c>
      <x:c r="C693" s="48" t="str">
        <x:v>2026-07-16</x:v>
      </x:c>
      <x:c r="D693" s="48" t="str">
        <x:v>O04</x:v>
      </x:c>
      <x:c r="E693" s="48" t="str">
        <x:v>OWNERSHIP_MONITORING</x:v>
      </x:c>
      <x:c r="F693" s="48" t="str">
        <x:v>Exit planning begins during underwriting or ownership</x:v>
      </x:c>
      <x:c r="G693" s="48" t="str">
        <x:v>geography</x:v>
      </x:c>
      <x:c r="H693" s="48" t="str">
        <x:v>ASIA_PACIFIC</x:v>
      </x:c>
      <x:c r="I693" s="48" t="str">
        <x:v>4</x:v>
      </x:c>
      <x:c r="J693" s="48" t="str">
        <x:v>4</x:v>
      </x:c>
      <x:c r="K693" s="48" t="str">
        <x:v>4</x:v>
      </x:c>
      <x:c r="L693" s="48" t="str">
        <x:v>0</x:v>
      </x:c>
      <x:c r="M693" s="48" t="str">
        <x:v>4</x:v>
      </x:c>
      <x:c r="N693" s="48" t="str">
        <x:v>0</x:v>
      </x:c>
      <x:c r="O693" s="48" t="str">
        <x:v>0</x:v>
      </x:c>
      <x:c r="P693" s="48" t="str">
        <x:v>0</x:v>
      </x:c>
      <x:c r="Q693" s="48" t="str">
        <x:v>1.000</x:v>
      </x:c>
      <x:c r="R693" s="48" t="str">
        <x:v>DRIVER DOES NOT SEPARATE</x:v>
      </x:c>
      <x:c r="S693" s="48" t="str">
        <x:v>0.000</x:v>
      </x:c>
      <x:c r="T693" s="48" t="str">
        <x:v>GLOBAL_TRANSATLANTIC:N=8,p=1.000; NORTH_AMERICA:N=12,p=1.000</x:v>
      </x:c>
      <x:c r="U693" s="48" t="str">
        <x:v>Maximum-minus-minimum prevalence among adequately observed groups is no more than 0.15.</x:v>
      </x:c>
      <x:c r="V693" s="48" t="str">
        <x:v>At least 5 observable manager families in at least 2 driver groups</x:v>
      </x:c>
      <x:c r="W693" s="48" t="str">
        <x:v>&gt;=0.35 separates; &lt;=0.15 does not separate; intermediate is inconclusive/confounded; direct driver-definition tests are CIRCULAR</x:v>
      </x:c>
      <x:c r="X693" s="48" t="str">
        <x:v>MANAGER_SELF_DESCRIPTION; NOT BEHAVIOURAL FREQUENCY</x:v>
      </x:c>
    </x:row>
    <x:row r="694">
      <x:c r="A694" s="48" t="str">
        <x:v>B_GOVERNANCE_SEGMENTATION</x:v>
      </x:c>
      <x:c r="B694" s="48" t="str">
        <x:v>Tier B v1.1 - N=29 rerun</x:v>
      </x:c>
      <x:c r="C694" s="48" t="str">
        <x:v>2026-07-16</x:v>
      </x:c>
      <x:c r="D694" s="48" t="str">
        <x:v>O04</x:v>
      </x:c>
      <x:c r="E694" s="48" t="str">
        <x:v>OWNERSHIP_MONITORING</x:v>
      </x:c>
      <x:c r="F694" s="48" t="str">
        <x:v>Exit planning begins during underwriting or ownership</x:v>
      </x:c>
      <x:c r="G694" s="48" t="str">
        <x:v>geography</x:v>
      </x:c>
      <x:c r="H694" s="48" t="str">
        <x:v>EUROPE</x:v>
      </x:c>
      <x:c r="I694" s="48" t="str">
        <x:v>2</x:v>
      </x:c>
      <x:c r="J694" s="48" t="str">
        <x:v>1</x:v>
      </x:c>
      <x:c r="K694" s="48" t="str">
        <x:v>1</x:v>
      </x:c>
      <x:c r="L694" s="48" t="str">
        <x:v>0</x:v>
      </x:c>
      <x:c r="M694" s="48" t="str">
        <x:v>1</x:v>
      </x:c>
      <x:c r="N694" s="48" t="str">
        <x:v>1</x:v>
      </x:c>
      <x:c r="O694" s="48" t="str">
        <x:v>0</x:v>
      </x:c>
      <x:c r="P694" s="48" t="str">
        <x:v>0</x:v>
      </x:c>
      <x:c r="Q694" s="48" t="str">
        <x:v>1.000</x:v>
      </x:c>
      <x:c r="R694" s="48" t="str">
        <x:v>DRIVER DOES NOT SEPARATE</x:v>
      </x:c>
      <x:c r="S694" s="48" t="str">
        <x:v>0.000</x:v>
      </x:c>
      <x:c r="T694" s="48" t="str">
        <x:v>GLOBAL_TRANSATLANTIC:N=8,p=1.000; NORTH_AMERICA:N=12,p=1.000</x:v>
      </x:c>
      <x:c r="U694" s="48" t="str">
        <x:v>Maximum-minus-minimum prevalence among adequately observed groups is no more than 0.15.</x:v>
      </x:c>
      <x:c r="V694" s="48" t="str">
        <x:v>At least 5 observable manager families in at least 2 driver groups</x:v>
      </x:c>
      <x:c r="W694" s="48" t="str">
        <x:v>&gt;=0.35 separates; &lt;=0.15 does not separate; intermediate is inconclusive/confounded; direct driver-definition tests are CIRCULAR</x:v>
      </x:c>
      <x:c r="X694" s="48" t="str">
        <x:v>MANAGER_SELF_DESCRIPTION; NOT BEHAVIOURAL FREQUENCY</x:v>
      </x:c>
    </x:row>
    <x:row r="695">
      <x:c r="A695" s="48" t="str">
        <x:v>B_GOVERNANCE_SEGMENTATION</x:v>
      </x:c>
      <x:c r="B695" s="48" t="str">
        <x:v>Tier B v1.1 - N=29 rerun</x:v>
      </x:c>
      <x:c r="C695" s="48" t="str">
        <x:v>2026-07-16</x:v>
      </x:c>
      <x:c r="D695" s="48" t="str">
        <x:v>O04</x:v>
      </x:c>
      <x:c r="E695" s="48" t="str">
        <x:v>OWNERSHIP_MONITORING</x:v>
      </x:c>
      <x:c r="F695" s="48" t="str">
        <x:v>Exit planning begins during underwriting or ownership</x:v>
      </x:c>
      <x:c r="G695" s="48" t="str">
        <x:v>geography</x:v>
      </x:c>
      <x:c r="H695" s="48" t="str">
        <x:v>GLOBAL_TRANSATLANTIC</x:v>
      </x:c>
      <x:c r="I695" s="48" t="str">
        <x:v>10</x:v>
      </x:c>
      <x:c r="J695" s="48" t="str">
        <x:v>8</x:v>
      </x:c>
      <x:c r="K695" s="48" t="str">
        <x:v>7</x:v>
      </x:c>
      <x:c r="L695" s="48" t="str">
        <x:v>0</x:v>
      </x:c>
      <x:c r="M695" s="48" t="str">
        <x:v>8</x:v>
      </x:c>
      <x:c r="N695" s="48" t="str">
        <x:v>2</x:v>
      </x:c>
      <x:c r="O695" s="48" t="str">
        <x:v>0</x:v>
      </x:c>
      <x:c r="P695" s="48" t="str">
        <x:v>0</x:v>
      </x:c>
      <x:c r="Q695" s="48" t="str">
        <x:v>1.000</x:v>
      </x:c>
      <x:c r="R695" s="48" t="str">
        <x:v>DRIVER DOES NOT SEPARATE</x:v>
      </x:c>
      <x:c r="S695" s="48" t="str">
        <x:v>0.000</x:v>
      </x:c>
      <x:c r="T695" s="48" t="str">
        <x:v>GLOBAL_TRANSATLANTIC:N=8,p=1.000; NORTH_AMERICA:N=12,p=1.000</x:v>
      </x:c>
      <x:c r="U695" s="48" t="str">
        <x:v>Maximum-minus-minimum prevalence among adequately observed groups is no more than 0.15.</x:v>
      </x:c>
      <x:c r="V695" s="48" t="str">
        <x:v>At least 5 observable manager families in at least 2 driver groups</x:v>
      </x:c>
      <x:c r="W695" s="48" t="str">
        <x:v>&gt;=0.35 separates; &lt;=0.15 does not separate; intermediate is inconclusive/confounded; direct driver-definition tests are CIRCULAR</x:v>
      </x:c>
      <x:c r="X695" s="48" t="str">
        <x:v>MANAGER_SELF_DESCRIPTION; NOT BEHAVIOURAL FREQUENCY</x:v>
      </x:c>
    </x:row>
    <x:row r="696">
      <x:c r="A696" s="48" t="str">
        <x:v>B_GOVERNANCE_SEGMENTATION</x:v>
      </x:c>
      <x:c r="B696" s="48" t="str">
        <x:v>Tier B v1.1 - N=29 rerun</x:v>
      </x:c>
      <x:c r="C696" s="48" t="str">
        <x:v>2026-07-16</x:v>
      </x:c>
      <x:c r="D696" s="48" t="str">
        <x:v>O04</x:v>
      </x:c>
      <x:c r="E696" s="48" t="str">
        <x:v>OWNERSHIP_MONITORING</x:v>
      </x:c>
      <x:c r="F696" s="48" t="str">
        <x:v>Exit planning begins during underwriting or ownership</x:v>
      </x:c>
      <x:c r="G696" s="48" t="str">
        <x:v>geography</x:v>
      </x:c>
      <x:c r="H696" s="48" t="str">
        <x:v>NORTH_AMERICA</x:v>
      </x:c>
      <x:c r="I696" s="48" t="str">
        <x:v>13</x:v>
      </x:c>
      <x:c r="J696" s="48" t="str">
        <x:v>12</x:v>
      </x:c>
      <x:c r="K696" s="48" t="str">
        <x:v>9</x:v>
      </x:c>
      <x:c r="L696" s="48" t="str">
        <x:v>0</x:v>
      </x:c>
      <x:c r="M696" s="48" t="str">
        <x:v>12</x:v>
      </x:c>
      <x:c r="N696" s="48" t="str">
        <x:v>1</x:v>
      </x:c>
      <x:c r="O696" s="48" t="str">
        <x:v>0</x:v>
      </x:c>
      <x:c r="P696" s="48" t="str">
        <x:v>0</x:v>
      </x:c>
      <x:c r="Q696" s="48" t="str">
        <x:v>1.000</x:v>
      </x:c>
      <x:c r="R696" s="48" t="str">
        <x:v>DRIVER DOES NOT SEPARATE</x:v>
      </x:c>
      <x:c r="S696" s="48" t="str">
        <x:v>0.000</x:v>
      </x:c>
      <x:c r="T696" s="48" t="str">
        <x:v>GLOBAL_TRANSATLANTIC:N=8,p=1.000; NORTH_AMERICA:N=12,p=1.000</x:v>
      </x:c>
      <x:c r="U696" s="48" t="str">
        <x:v>Maximum-minus-minimum prevalence among adequately observed groups is no more than 0.15.</x:v>
      </x:c>
      <x:c r="V696" s="48" t="str">
        <x:v>At least 5 observable manager families in at least 2 driver groups</x:v>
      </x:c>
      <x:c r="W696" s="48" t="str">
        <x:v>&gt;=0.35 separates; &lt;=0.15 does not separate; intermediate is inconclusive/confounded; direct driver-definition tests are CIRCULAR</x:v>
      </x:c>
      <x:c r="X696" s="48" t="str">
        <x:v>MANAGER_SELF_DESCRIPTION; NOT BEHAVIOURAL FREQUENCY</x:v>
      </x:c>
    </x:row>
    <x:row r="697">
      <x:c r="A697" s="48" t="str">
        <x:v>B_GOVERNANCE_SEGMENTATION</x:v>
      </x:c>
      <x:c r="B697" s="48" t="str">
        <x:v>Tier B v1.1 - N=29 rerun</x:v>
      </x:c>
      <x:c r="C697" s="48" t="str">
        <x:v>2026-07-16</x:v>
      </x:c>
      <x:c r="D697" s="48" t="str">
        <x:v>O04</x:v>
      </x:c>
      <x:c r="E697" s="48" t="str">
        <x:v>OWNERSHIP_MONITORING</x:v>
      </x:c>
      <x:c r="F697" s="48" t="str">
        <x:v>Exit planning begins during underwriting or ownership</x:v>
      </x:c>
      <x:c r="G697" s="48" t="str">
        <x:v>source_vintage_bin</x:v>
      </x:c>
      <x:c r="H697" s="48" t="str">
        <x:v>2018_2020</x:v>
      </x:c>
      <x:c r="I697" s="48" t="str">
        <x:v>6</x:v>
      </x:c>
      <x:c r="J697" s="48" t="str">
        <x:v>5</x:v>
      </x:c>
      <x:c r="K697" s="48" t="str">
        <x:v>3</x:v>
      </x:c>
      <x:c r="L697" s="48" t="str">
        <x:v>0</x:v>
      </x:c>
      <x:c r="M697" s="48" t="str">
        <x:v>5</x:v>
      </x:c>
      <x:c r="N697" s="48" t="str">
        <x:v>1</x:v>
      </x:c>
      <x:c r="O697" s="48" t="str">
        <x:v>0</x:v>
      </x:c>
      <x:c r="P697" s="48" t="str">
        <x:v>0</x:v>
      </x:c>
      <x:c r="Q697" s="48" t="str">
        <x:v>1.000</x:v>
      </x:c>
      <x:c r="R697" s="48" t="str">
        <x:v>DRIVER DOES NOT SEPARATE</x:v>
      </x:c>
      <x:c r="S697" s="48" t="str">
        <x:v>0.000</x:v>
      </x:c>
      <x:c r="T697" s="48" t="str">
        <x:v>2018_2020:N=5,p=1.000; 2021_2023:N=9,p=1.000; 2024_2026:N=11,p=1.000</x:v>
      </x:c>
      <x:c r="U697" s="48" t="str">
        <x:v>Maximum-minus-minimum prevalence among adequately observed groups is no more than 0.15.</x:v>
      </x:c>
      <x:c r="V697" s="48" t="str">
        <x:v>At least 5 observable manager families in at least 2 driver groups</x:v>
      </x:c>
      <x:c r="W697" s="48" t="str">
        <x:v>&gt;=0.35 separates; &lt;=0.15 does not separate; intermediate is inconclusive/confounded; direct driver-definition tests are CIRCULAR</x:v>
      </x:c>
      <x:c r="X697" s="48" t="str">
        <x:v>MANAGER_SELF_DESCRIPTION; NOT BEHAVIOURAL FREQUENCY</x:v>
      </x:c>
    </x:row>
    <x:row r="698">
      <x:c r="A698" s="48" t="str">
        <x:v>B_GOVERNANCE_SEGMENTATION</x:v>
      </x:c>
      <x:c r="B698" s="48" t="str">
        <x:v>Tier B v1.1 - N=29 rerun</x:v>
      </x:c>
      <x:c r="C698" s="48" t="str">
        <x:v>2026-07-16</x:v>
      </x:c>
      <x:c r="D698" s="48" t="str">
        <x:v>O04</x:v>
      </x:c>
      <x:c r="E698" s="48" t="str">
        <x:v>OWNERSHIP_MONITORING</x:v>
      </x:c>
      <x:c r="F698" s="48" t="str">
        <x:v>Exit planning begins during underwriting or ownership</x:v>
      </x:c>
      <x:c r="G698" s="48" t="str">
        <x:v>source_vintage_bin</x:v>
      </x:c>
      <x:c r="H698" s="48" t="str">
        <x:v>2021_2023</x:v>
      </x:c>
      <x:c r="I698" s="48" t="str">
        <x:v>11</x:v>
      </x:c>
      <x:c r="J698" s="48" t="str">
        <x:v>9</x:v>
      </x:c>
      <x:c r="K698" s="48" t="str">
        <x:v>8</x:v>
      </x:c>
      <x:c r="L698" s="48" t="str">
        <x:v>0</x:v>
      </x:c>
      <x:c r="M698" s="48" t="str">
        <x:v>9</x:v>
      </x:c>
      <x:c r="N698" s="48" t="str">
        <x:v>2</x:v>
      </x:c>
      <x:c r="O698" s="48" t="str">
        <x:v>0</x:v>
      </x:c>
      <x:c r="P698" s="48" t="str">
        <x:v>0</x:v>
      </x:c>
      <x:c r="Q698" s="48" t="str">
        <x:v>1.000</x:v>
      </x:c>
      <x:c r="R698" s="48" t="str">
        <x:v>DRIVER DOES NOT SEPARATE</x:v>
      </x:c>
      <x:c r="S698" s="48" t="str">
        <x:v>0.000</x:v>
      </x:c>
      <x:c r="T698" s="48" t="str">
        <x:v>2018_2020:N=5,p=1.000; 2021_2023:N=9,p=1.000; 2024_2026:N=11,p=1.000</x:v>
      </x:c>
      <x:c r="U698" s="48" t="str">
        <x:v>Maximum-minus-minimum prevalence among adequately observed groups is no more than 0.15.</x:v>
      </x:c>
      <x:c r="V698" s="48" t="str">
        <x:v>At least 5 observable manager families in at least 2 driver groups</x:v>
      </x:c>
      <x:c r="W698" s="48" t="str">
        <x:v>&gt;=0.35 separates; &lt;=0.15 does not separate; intermediate is inconclusive/confounded; direct driver-definition tests are CIRCULAR</x:v>
      </x:c>
      <x:c r="X698" s="48" t="str">
        <x:v>MANAGER_SELF_DESCRIPTION; NOT BEHAVIOURAL FREQUENCY</x:v>
      </x:c>
    </x:row>
    <x:row r="699">
      <x:c r="A699" s="48" t="str">
        <x:v>B_GOVERNANCE_SEGMENTATION</x:v>
      </x:c>
      <x:c r="B699" s="48" t="str">
        <x:v>Tier B v1.1 - N=29 rerun</x:v>
      </x:c>
      <x:c r="C699" s="48" t="str">
        <x:v>2026-07-16</x:v>
      </x:c>
      <x:c r="D699" s="48" t="str">
        <x:v>O04</x:v>
      </x:c>
      <x:c r="E699" s="48" t="str">
        <x:v>OWNERSHIP_MONITORING</x:v>
      </x:c>
      <x:c r="F699" s="48" t="str">
        <x:v>Exit planning begins during underwriting or ownership</x:v>
      </x:c>
      <x:c r="G699" s="48" t="str">
        <x:v>source_vintage_bin</x:v>
      </x:c>
      <x:c r="H699" s="48" t="str">
        <x:v>2024_2026</x:v>
      </x:c>
      <x:c r="I699" s="48" t="str">
        <x:v>12</x:v>
      </x:c>
      <x:c r="J699" s="48" t="str">
        <x:v>11</x:v>
      </x:c>
      <x:c r="K699" s="48" t="str">
        <x:v>10</x:v>
      </x:c>
      <x:c r="L699" s="48" t="str">
        <x:v>0</x:v>
      </x:c>
      <x:c r="M699" s="48" t="str">
        <x:v>11</x:v>
      </x:c>
      <x:c r="N699" s="48" t="str">
        <x:v>1</x:v>
      </x:c>
      <x:c r="O699" s="48" t="str">
        <x:v>0</x:v>
      </x:c>
      <x:c r="P699" s="48" t="str">
        <x:v>0</x:v>
      </x:c>
      <x:c r="Q699" s="48" t="str">
        <x:v>1.000</x:v>
      </x:c>
      <x:c r="R699" s="48" t="str">
        <x:v>DRIVER DOES NOT SEPARATE</x:v>
      </x:c>
      <x:c r="S699" s="48" t="str">
        <x:v>0.000</x:v>
      </x:c>
      <x:c r="T699" s="48" t="str">
        <x:v>2018_2020:N=5,p=1.000; 2021_2023:N=9,p=1.000; 2024_2026:N=11,p=1.000</x:v>
      </x:c>
      <x:c r="U699" s="48" t="str">
        <x:v>Maximum-minus-minimum prevalence among adequately observed groups is no more than 0.15.</x:v>
      </x:c>
      <x:c r="V699" s="48" t="str">
        <x:v>At least 5 observable manager families in at least 2 driver groups</x:v>
      </x:c>
      <x:c r="W699" s="48" t="str">
        <x:v>&gt;=0.35 separates; &lt;=0.15 does not separate; intermediate is inconclusive/confounded; direct driver-definition tests are CIRCULAR</x:v>
      </x:c>
      <x:c r="X699" s="48" t="str">
        <x:v>MANAGER_SELF_DESCRIPTION; NOT BEHAVIOURAL FREQUENCY</x:v>
      </x:c>
    </x:row>
    <x:row r="700">
      <x:c r="A700" s="48" t="str">
        <x:v>B_GOVERNANCE_SEGMENTATION</x:v>
      </x:c>
      <x:c r="B700" s="48" t="str">
        <x:v>Tier B v1.1 - N=29 rerun</x:v>
      </x:c>
      <x:c r="C700" s="48" t="str">
        <x:v>2026-07-16</x:v>
      </x:c>
      <x:c r="D700" s="48" t="str">
        <x:v>O04</x:v>
      </x:c>
      <x:c r="E700" s="48" t="str">
        <x:v>OWNERSHIP_MONITORING</x:v>
      </x:c>
      <x:c r="F700" s="48" t="str">
        <x:v>Exit planning begins during underwriting or ownership</x:v>
      </x:c>
      <x:c r="G700" s="48" t="str">
        <x:v>governance_architecture</x:v>
      </x:c>
      <x:c r="H700" s="48" t="str">
        <x:v>IC_FINAL_OR_DE_FACTO</x:v>
      </x:c>
      <x:c r="I700" s="48" t="str">
        <x:v>26</x:v>
      </x:c>
      <x:c r="J700" s="48" t="str">
        <x:v>22</x:v>
      </x:c>
      <x:c r="K700" s="48" t="str">
        <x:v>18</x:v>
      </x:c>
      <x:c r="L700" s="48" t="str">
        <x:v>0</x:v>
      </x:c>
      <x:c r="M700" s="48" t="str">
        <x:v>22</x:v>
      </x:c>
      <x:c r="N700" s="48" t="str">
        <x:v>4</x:v>
      </x:c>
      <x:c r="O700" s="48" t="str">
        <x:v>0</x:v>
      </x:c>
      <x:c r="P700" s="48" t="str">
        <x:v>0</x:v>
      </x:c>
      <x:c r="Q700" s="48" t="str">
        <x:v>1.000</x:v>
      </x:c>
      <x:c r="R700" s="48" t="str">
        <x:v>N TOO SMALL</x:v>
      </x:c>
      <x:c r="S700" s="48" t="str"/>
      <x:c r="T700" s="48" t="str">
        <x:v>IC_FINAL_OR_DE_FACTO:N=22,p=1.000</x:v>
      </x:c>
      <x:c r="U700" s="48" t="str">
        <x:v>Fewer than two driver groups have at least 5 observable manager families.</x:v>
      </x:c>
      <x:c r="V700" s="48" t="str">
        <x:v>At least 5 observable manager families in at least 2 driver groups</x:v>
      </x:c>
      <x:c r="W700" s="48" t="str">
        <x:v>&gt;=0.35 separates; &lt;=0.15 does not separate; intermediate is inconclusive/confounded; direct driver-definition tests are CIRCULAR</x:v>
      </x:c>
      <x:c r="X700" s="48" t="str">
        <x:v>MANAGER_SELF_DESCRIPTION; NOT BEHAVIOURAL FREQUENCY</x:v>
      </x:c>
    </x:row>
    <x:row r="701">
      <x:c r="A701" s="48" t="str">
        <x:v>B_GOVERNANCE_SEGMENTATION</x:v>
      </x:c>
      <x:c r="B701" s="48" t="str">
        <x:v>Tier B v1.1 - N=29 rerun</x:v>
      </x:c>
      <x:c r="C701" s="48" t="str">
        <x:v>2026-07-16</x:v>
      </x:c>
      <x:c r="D701" s="48" t="str">
        <x:v>O04</x:v>
      </x:c>
      <x:c r="E701" s="48" t="str">
        <x:v>OWNERSHIP_MONITORING</x:v>
      </x:c>
      <x:c r="F701" s="48" t="str">
        <x:v>Exit planning begins during underwriting or ownership</x:v>
      </x:c>
      <x:c r="G701" s="48" t="str">
        <x:v>governance_architecture</x:v>
      </x:c>
      <x:c r="H701" s="48" t="str">
        <x:v>IC_RECOMMENDS_SEPARATE_FINAL_AUTHORITY</x:v>
      </x:c>
      <x:c r="I701" s="48" t="str">
        <x:v>3</x:v>
      </x:c>
      <x:c r="J701" s="48" t="str">
        <x:v>3</x:v>
      </x:c>
      <x:c r="K701" s="48" t="str">
        <x:v>3</x:v>
      </x:c>
      <x:c r="L701" s="48" t="str">
        <x:v>0</x:v>
      </x:c>
      <x:c r="M701" s="48" t="str">
        <x:v>3</x:v>
      </x:c>
      <x:c r="N701" s="48" t="str">
        <x:v>0</x:v>
      </x:c>
      <x:c r="O701" s="48" t="str">
        <x:v>0</x:v>
      </x:c>
      <x:c r="P701" s="48" t="str">
        <x:v>0</x:v>
      </x:c>
      <x:c r="Q701" s="48" t="str">
        <x:v>1.000</x:v>
      </x:c>
      <x:c r="R701" s="48" t="str">
        <x:v>N TOO SMALL</x:v>
      </x:c>
      <x:c r="S701" s="48" t="str"/>
      <x:c r="T701" s="48" t="str">
        <x:v>IC_FINAL_OR_DE_FACTO:N=22,p=1.000</x:v>
      </x:c>
      <x:c r="U701" s="48" t="str">
        <x:v>Fewer than two driver groups have at least 5 observable manager families.</x:v>
      </x:c>
      <x:c r="V701" s="48" t="str">
        <x:v>At least 5 observable manager families in at least 2 driver groups</x:v>
      </x:c>
      <x:c r="W701" s="48" t="str">
        <x:v>&gt;=0.35 separates; &lt;=0.15 does not separate; intermediate is inconclusive/confounded; direct driver-definition tests are CIRCULAR</x:v>
      </x:c>
      <x:c r="X701" s="48" t="str">
        <x:v>MANAGER_SELF_DESCRIPTION; NOT BEHAVIOURAL FREQUENCY</x:v>
      </x:c>
    </x:row>
    <x:row r="702">
      <x:c r="A702" s="48" t="str">
        <x:v>B_GOVERNANCE_SEGMENTATION</x:v>
      </x:c>
      <x:c r="B702" s="48" t="str">
        <x:v>Tier B v1.1 - N=29 rerun</x:v>
      </x:c>
      <x:c r="C702" s="48" t="str">
        <x:v>2026-07-16</x:v>
      </x:c>
      <x:c r="D702" s="48" t="str">
        <x:v>O04</x:v>
      </x:c>
      <x:c r="E702" s="48" t="str">
        <x:v>OWNERSHIP_MONITORING</x:v>
      </x:c>
      <x:c r="F702" s="48" t="str">
        <x:v>Exit planning begins during underwriting or ownership</x:v>
      </x:c>
      <x:c r="G702" s="48" t="str">
        <x:v>dedicated_operating_team</x:v>
      </x:c>
      <x:c r="H702" s="48" t="str">
        <x:v>NO_OR_LIMITED</x:v>
      </x:c>
      <x:c r="I702" s="48" t="str">
        <x:v>6</x:v>
      </x:c>
      <x:c r="J702" s="48" t="str">
        <x:v>4</x:v>
      </x:c>
      <x:c r="K702" s="48" t="str">
        <x:v>2</x:v>
      </x:c>
      <x:c r="L702" s="48" t="str">
        <x:v>0</x:v>
      </x:c>
      <x:c r="M702" s="48" t="str">
        <x:v>4</x:v>
      </x:c>
      <x:c r="N702" s="48" t="str">
        <x:v>2</x:v>
      </x:c>
      <x:c r="O702" s="48" t="str">
        <x:v>0</x:v>
      </x:c>
      <x:c r="P702" s="48" t="str">
        <x:v>0</x:v>
      </x:c>
      <x:c r="Q702" s="48" t="str">
        <x:v>1.000</x:v>
      </x:c>
      <x:c r="R702" s="48" t="str">
        <x:v>N TOO SMALL</x:v>
      </x:c>
      <x:c r="S702" s="48" t="str"/>
      <x:c r="T702" s="48" t="str">
        <x:v>YES_DEDICATED:N=21,p=1.000</x:v>
      </x:c>
      <x:c r="U702" s="48" t="str">
        <x:v>Fewer than two driver groups have at least 5 observable manager families.</x:v>
      </x:c>
      <x:c r="V702" s="48" t="str">
        <x:v>At least 5 observable manager families in at least 2 driver groups</x:v>
      </x:c>
      <x:c r="W702" s="48" t="str">
        <x:v>&gt;=0.35 separates; &lt;=0.15 does not separate; intermediate is inconclusive/confounded; direct driver-definition tests are CIRCULAR</x:v>
      </x:c>
      <x:c r="X702" s="48" t="str">
        <x:v>MANAGER_SELF_DESCRIPTION; NOT BEHAVIOURAL FREQUENCY</x:v>
      </x:c>
    </x:row>
    <x:row r="703">
      <x:c r="A703" s="48" t="str">
        <x:v>B_GOVERNANCE_SEGMENTATION</x:v>
      </x:c>
      <x:c r="B703" s="48" t="str">
        <x:v>Tier B v1.1 - N=29 rerun</x:v>
      </x:c>
      <x:c r="C703" s="48" t="str">
        <x:v>2026-07-16</x:v>
      </x:c>
      <x:c r="D703" s="48" t="str">
        <x:v>O04</x:v>
      </x:c>
      <x:c r="E703" s="48" t="str">
        <x:v>OWNERSHIP_MONITORING</x:v>
      </x:c>
      <x:c r="F703" s="48" t="str">
        <x:v>Exit planning begins during underwriting or ownership</x:v>
      </x:c>
      <x:c r="G703" s="48" t="str">
        <x:v>dedicated_operating_team</x:v>
      </x:c>
      <x:c r="H703" s="48" t="str">
        <x:v>YES_DEDICATED</x:v>
      </x:c>
      <x:c r="I703" s="48" t="str">
        <x:v>23</x:v>
      </x:c>
      <x:c r="J703" s="48" t="str">
        <x:v>21</x:v>
      </x:c>
      <x:c r="K703" s="48" t="str">
        <x:v>19</x:v>
      </x:c>
      <x:c r="L703" s="48" t="str">
        <x:v>0</x:v>
      </x:c>
      <x:c r="M703" s="48" t="str">
        <x:v>21</x:v>
      </x:c>
      <x:c r="N703" s="48" t="str">
        <x:v>2</x:v>
      </x:c>
      <x:c r="O703" s="48" t="str">
        <x:v>0</x:v>
      </x:c>
      <x:c r="P703" s="48" t="str">
        <x:v>0</x:v>
      </x:c>
      <x:c r="Q703" s="48" t="str">
        <x:v>1.000</x:v>
      </x:c>
      <x:c r="R703" s="48" t="str">
        <x:v>N TOO SMALL</x:v>
      </x:c>
      <x:c r="S703" s="48" t="str"/>
      <x:c r="T703" s="48" t="str">
        <x:v>YES_DEDICATED:N=21,p=1.000</x:v>
      </x:c>
      <x:c r="U703" s="48" t="str">
        <x:v>Fewer than two driver groups have at least 5 observable manager families.</x:v>
      </x:c>
      <x:c r="V703" s="48" t="str">
        <x:v>At least 5 observable manager families in at least 2 driver groups</x:v>
      </x:c>
      <x:c r="W703" s="48" t="str">
        <x:v>&gt;=0.35 separates; &lt;=0.15 does not separate; intermediate is inconclusive/confounded; direct driver-definition tests are CIRCULAR</x:v>
      </x:c>
      <x:c r="X703" s="48" t="str">
        <x:v>MANAGER_SELF_DESCRIPTION; NOT BEHAVIOURAL FREQUENCY</x:v>
      </x:c>
    </x:row>
    <x:row r="704">
      <x:c r="A704" s="48" t="str">
        <x:v>B_GOVERNANCE_SEGMENTATION</x:v>
      </x:c>
      <x:c r="B704" s="48" t="str">
        <x:v>Tier B v1.1 - N=29 rerun</x:v>
      </x:c>
      <x:c r="C704" s="48" t="str">
        <x:v>2026-07-16</x:v>
      </x:c>
      <x:c r="D704" s="48" t="str">
        <x:v>O05</x:v>
      </x:c>
      <x:c r="E704" s="48" t="str">
        <x:v>OWNERSHIP_MONITORING</x:v>
      </x:c>
      <x:c r="F704" s="48" t="str">
        <x:v>Follow-on or add-on requires formal approval</x:v>
      </x:c>
      <x:c r="G704" s="48" t="str">
        <x:v>fund_size_archetype</x:v>
      </x:c>
      <x:c r="H704" s="48" t="str">
        <x:v>LARGE_2_TO_LT_5B</x:v>
      </x:c>
      <x:c r="I704" s="48" t="str">
        <x:v>9</x:v>
      </x:c>
      <x:c r="J704" s="48" t="str">
        <x:v>3</x:v>
      </x:c>
      <x:c r="K704" s="48" t="str">
        <x:v>0</x:v>
      </x:c>
      <x:c r="L704" s="48" t="str">
        <x:v>0</x:v>
      </x:c>
      <x:c r="M704" s="48" t="str">
        <x:v>3</x:v>
      </x:c>
      <x:c r="N704" s="48" t="str">
        <x:v>6</x:v>
      </x:c>
      <x:c r="O704" s="48" t="str">
        <x:v>0</x:v>
      </x:c>
      <x:c r="P704" s="48" t="str">
        <x:v>0</x:v>
      </x:c>
      <x:c r="Q704" s="48" t="str">
        <x:v>1.000</x:v>
      </x:c>
      <x:c r="R704" s="48" t="str">
        <x:v>N TOO SMALL</x:v>
      </x:c>
      <x:c r="S704" s="48" t="str"/>
      <x:c r="T704" s="48" t="str">
        <x:v>MEGA_GE_5B:N=10,p=1.000</x:v>
      </x:c>
      <x:c r="U704" s="48" t="str">
        <x:v>Fewer than two driver groups have at least 5 observable manager families.</x:v>
      </x:c>
      <x:c r="V704" s="48" t="str">
        <x:v>At least 5 observable manager families in at least 2 driver groups</x:v>
      </x:c>
      <x:c r="W704" s="48" t="str">
        <x:v>&gt;=0.35 separates; &lt;=0.15 does not separate; intermediate is inconclusive/confounded; direct driver-definition tests are CIRCULAR</x:v>
      </x:c>
      <x:c r="X704" s="48" t="str">
        <x:v>MANAGER_SELF_DESCRIPTION; NOT BEHAVIOURAL FREQUENCY</x:v>
      </x:c>
    </x:row>
    <x:row r="705">
      <x:c r="A705" s="48" t="str">
        <x:v>B_GOVERNANCE_SEGMENTATION</x:v>
      </x:c>
      <x:c r="B705" s="48" t="str">
        <x:v>Tier B v1.1 - N=29 rerun</x:v>
      </x:c>
      <x:c r="C705" s="48" t="str">
        <x:v>2026-07-16</x:v>
      </x:c>
      <x:c r="D705" s="48" t="str">
        <x:v>O05</x:v>
      </x:c>
      <x:c r="E705" s="48" t="str">
        <x:v>OWNERSHIP_MONITORING</x:v>
      </x:c>
      <x:c r="F705" s="48" t="str">
        <x:v>Follow-on or add-on requires formal approval</x:v>
      </x:c>
      <x:c r="G705" s="48" t="str">
        <x:v>fund_size_archetype</x:v>
      </x:c>
      <x:c r="H705" s="48" t="str">
        <x:v>LOWER_MID_LT_2B</x:v>
      </x:c>
      <x:c r="I705" s="48" t="str">
        <x:v>8</x:v>
      </x:c>
      <x:c r="J705" s="48" t="str">
        <x:v>3</x:v>
      </x:c>
      <x:c r="K705" s="48" t="str">
        <x:v>0</x:v>
      </x:c>
      <x:c r="L705" s="48" t="str">
        <x:v>0</x:v>
      </x:c>
      <x:c r="M705" s="48" t="str">
        <x:v>3</x:v>
      </x:c>
      <x:c r="N705" s="48" t="str">
        <x:v>5</x:v>
      </x:c>
      <x:c r="O705" s="48" t="str">
        <x:v>0</x:v>
      </x:c>
      <x:c r="P705" s="48" t="str">
        <x:v>0</x:v>
      </x:c>
      <x:c r="Q705" s="48" t="str">
        <x:v>1.000</x:v>
      </x:c>
      <x:c r="R705" s="48" t="str">
        <x:v>N TOO SMALL</x:v>
      </x:c>
      <x:c r="S705" s="48" t="str"/>
      <x:c r="T705" s="48" t="str">
        <x:v>MEGA_GE_5B:N=10,p=1.000</x:v>
      </x:c>
      <x:c r="U705" s="48" t="str">
        <x:v>Fewer than two driver groups have at least 5 observable manager families.</x:v>
      </x:c>
      <x:c r="V705" s="48" t="str">
        <x:v>At least 5 observable manager families in at least 2 driver groups</x:v>
      </x:c>
      <x:c r="W705" s="48" t="str">
        <x:v>&gt;=0.35 separates; &lt;=0.15 does not separate; intermediate is inconclusive/confounded; direct driver-definition tests are CIRCULAR</x:v>
      </x:c>
      <x:c r="X705" s="48" t="str">
        <x:v>MANAGER_SELF_DESCRIPTION; NOT BEHAVIOURAL FREQUENCY</x:v>
      </x:c>
    </x:row>
    <x:row r="706">
      <x:c r="A706" s="48" t="str">
        <x:v>B_GOVERNANCE_SEGMENTATION</x:v>
      </x:c>
      <x:c r="B706" s="48" t="str">
        <x:v>Tier B v1.1 - N=29 rerun</x:v>
      </x:c>
      <x:c r="C706" s="48" t="str">
        <x:v>2026-07-16</x:v>
      </x:c>
      <x:c r="D706" s="48" t="str">
        <x:v>O05</x:v>
      </x:c>
      <x:c r="E706" s="48" t="str">
        <x:v>OWNERSHIP_MONITORING</x:v>
      </x:c>
      <x:c r="F706" s="48" t="str">
        <x:v>Follow-on or add-on requires formal approval</x:v>
      </x:c>
      <x:c r="G706" s="48" t="str">
        <x:v>fund_size_archetype</x:v>
      </x:c>
      <x:c r="H706" s="48" t="str">
        <x:v>MEGA_GE_5B</x:v>
      </x:c>
      <x:c r="I706" s="48" t="str">
        <x:v>11</x:v>
      </x:c>
      <x:c r="J706" s="48" t="str">
        <x:v>10</x:v>
      </x:c>
      <x:c r="K706" s="48" t="str">
        <x:v>3</x:v>
      </x:c>
      <x:c r="L706" s="48" t="str">
        <x:v>0</x:v>
      </x:c>
      <x:c r="M706" s="48" t="str">
        <x:v>10</x:v>
      </x:c>
      <x:c r="N706" s="48" t="str">
        <x:v>1</x:v>
      </x:c>
      <x:c r="O706" s="48" t="str">
        <x:v>0</x:v>
      </x:c>
      <x:c r="P706" s="48" t="str">
        <x:v>0</x:v>
      </x:c>
      <x:c r="Q706" s="48" t="str">
        <x:v>1.000</x:v>
      </x:c>
      <x:c r="R706" s="48" t="str">
        <x:v>N TOO SMALL</x:v>
      </x:c>
      <x:c r="S706" s="48" t="str"/>
      <x:c r="T706" s="48" t="str">
        <x:v>MEGA_GE_5B:N=10,p=1.000</x:v>
      </x:c>
      <x:c r="U706" s="48" t="str">
        <x:v>Fewer than two driver groups have at least 5 observable manager families.</x:v>
      </x:c>
      <x:c r="V706" s="48" t="str">
        <x:v>At least 5 observable manager families in at least 2 driver groups</x:v>
      </x:c>
      <x:c r="W706" s="48" t="str">
        <x:v>&gt;=0.35 separates; &lt;=0.15 does not separate; intermediate is inconclusive/confounded; direct driver-definition tests are CIRCULAR</x:v>
      </x:c>
      <x:c r="X706" s="48" t="str">
        <x:v>MANAGER_SELF_DESCRIPTION; NOT BEHAVIOURAL FREQUENCY</x:v>
      </x:c>
    </x:row>
    <x:row r="707">
      <x:c r="A707" s="48" t="str">
        <x:v>B_GOVERNANCE_SEGMENTATION</x:v>
      </x:c>
      <x:c r="B707" s="48" t="str">
        <x:v>Tier B v1.1 - N=29 rerun</x:v>
      </x:c>
      <x:c r="C707" s="48" t="str">
        <x:v>2026-07-16</x:v>
      </x:c>
      <x:c r="D707" s="48" t="str">
        <x:v>O05</x:v>
      </x:c>
      <x:c r="E707" s="48" t="str">
        <x:v>OWNERSHIP_MONITORING</x:v>
      </x:c>
      <x:c r="F707" s="48" t="str">
        <x:v>Follow-on or add-on requires formal approval</x:v>
      </x:c>
      <x:c r="G707" s="48" t="str">
        <x:v>fund_size_archetype</x:v>
      </x:c>
      <x:c r="H707" s="48" t="str">
        <x:v>NOT_APPLICABLE</x:v>
      </x:c>
      <x:c r="I707" s="48" t="str">
        <x:v>1</x:v>
      </x:c>
      <x:c r="J707" s="48" t="str">
        <x:v>0</x:v>
      </x:c>
      <x:c r="K707" s="48" t="str">
        <x:v>0</x:v>
      </x:c>
      <x:c r="L707" s="48" t="str">
        <x:v>0</x:v>
      </x:c>
      <x:c r="M707" s="48" t="str">
        <x:v>0</x:v>
      </x:c>
      <x:c r="N707" s="48" t="str">
        <x:v>1</x:v>
      </x:c>
      <x:c r="O707" s="48" t="str">
        <x:v>0</x:v>
      </x:c>
      <x:c r="P707" s="48" t="str">
        <x:v>0</x:v>
      </x:c>
      <x:c r="Q707" s="48" t="str"/>
      <x:c r="R707" s="48" t="str">
        <x:v>N TOO SMALL</x:v>
      </x:c>
      <x:c r="S707" s="48" t="str"/>
      <x:c r="T707" s="48" t="str">
        <x:v>MEGA_GE_5B:N=10,p=1.000</x:v>
      </x:c>
      <x:c r="U707" s="48" t="str">
        <x:v>Fewer than two driver groups have at least 5 observable manager families.</x:v>
      </x:c>
      <x:c r="V707" s="48" t="str">
        <x:v>At least 5 observable manager families in at least 2 driver groups</x:v>
      </x:c>
      <x:c r="W707" s="48" t="str">
        <x:v>&gt;=0.35 separates; &lt;=0.15 does not separate; intermediate is inconclusive/confounded; direct driver-definition tests are CIRCULAR</x:v>
      </x:c>
      <x:c r="X707" s="48" t="str">
        <x:v>MANAGER_SELF_DESCRIPTION; NOT BEHAVIOURAL FREQUENCY</x:v>
      </x:c>
    </x:row>
    <x:row r="708">
      <x:c r="A708" s="48" t="str">
        <x:v>B_GOVERNANCE_SEGMENTATION</x:v>
      </x:c>
      <x:c r="B708" s="48" t="str">
        <x:v>Tier B v1.1 - N=29 rerun</x:v>
      </x:c>
      <x:c r="C708" s="48" t="str">
        <x:v>2026-07-16</x:v>
      </x:c>
      <x:c r="D708" s="48" t="str">
        <x:v>O05</x:v>
      </x:c>
      <x:c r="E708" s="48" t="str">
        <x:v>OWNERSHIP_MONITORING</x:v>
      </x:c>
      <x:c r="F708" s="48" t="str">
        <x:v>Follow-on or add-on requires formal approval</x:v>
      </x:c>
      <x:c r="G708" s="48" t="str">
        <x:v>strategy</x:v>
      </x:c>
      <x:c r="H708" s="48" t="str">
        <x:v>CONTROL_BUYOUT</x:v>
      </x:c>
      <x:c r="I708" s="48" t="str">
        <x:v>22</x:v>
      </x:c>
      <x:c r="J708" s="48" t="str">
        <x:v>13</x:v>
      </x:c>
      <x:c r="K708" s="48" t="str">
        <x:v>3</x:v>
      </x:c>
      <x:c r="L708" s="48" t="str">
        <x:v>0</x:v>
      </x:c>
      <x:c r="M708" s="48" t="str">
        <x:v>13</x:v>
      </x:c>
      <x:c r="N708" s="48" t="str">
        <x:v>9</x:v>
      </x:c>
      <x:c r="O708" s="48" t="str">
        <x:v>0</x:v>
      </x:c>
      <x:c r="P708" s="48" t="str">
        <x:v>0</x:v>
      </x:c>
      <x:c r="Q708" s="48" t="str">
        <x:v>1.000</x:v>
      </x:c>
      <x:c r="R708" s="48" t="str">
        <x:v>N TOO SMALL</x:v>
      </x:c>
      <x:c r="S708" s="48" t="str"/>
      <x:c r="T708" s="48" t="str">
        <x:v>CONTROL_BUYOUT:N=13,p=1.000</x:v>
      </x:c>
      <x:c r="U708" s="48" t="str">
        <x:v>Fewer than two driver groups have at least 5 observable manager families.</x:v>
      </x:c>
      <x:c r="V708" s="48" t="str">
        <x:v>At least 5 observable manager families in at least 2 driver groups</x:v>
      </x:c>
      <x:c r="W708" s="48" t="str">
        <x:v>&gt;=0.35 separates; &lt;=0.15 does not separate; intermediate is inconclusive/confounded; direct driver-definition tests are CIRCULAR</x:v>
      </x:c>
      <x:c r="X708" s="48" t="str">
        <x:v>MANAGER_SELF_DESCRIPTION; NOT BEHAVIOURAL FREQUENCY</x:v>
      </x:c>
    </x:row>
    <x:row r="709">
      <x:c r="A709" s="48" t="str">
        <x:v>B_GOVERNANCE_SEGMENTATION</x:v>
      </x:c>
      <x:c r="B709" s="48" t="str">
        <x:v>Tier B v1.1 - N=29 rerun</x:v>
      </x:c>
      <x:c r="C709" s="48" t="str">
        <x:v>2026-07-16</x:v>
      </x:c>
      <x:c r="D709" s="48" t="str">
        <x:v>O05</x:v>
      </x:c>
      <x:c r="E709" s="48" t="str">
        <x:v>OWNERSHIP_MONITORING</x:v>
      </x:c>
      <x:c r="F709" s="48" t="str">
        <x:v>Follow-on or add-on requires formal approval</x:v>
      </x:c>
      <x:c r="G709" s="48" t="str">
        <x:v>strategy</x:v>
      </x:c>
      <x:c r="H709" s="48" t="str">
        <x:v>GROWTH_CONTROL_HYBRID</x:v>
      </x:c>
      <x:c r="I709" s="48" t="str">
        <x:v>6</x:v>
      </x:c>
      <x:c r="J709" s="48" t="str">
        <x:v>3</x:v>
      </x:c>
      <x:c r="K709" s="48" t="str">
        <x:v>0</x:v>
      </x:c>
      <x:c r="L709" s="48" t="str">
        <x:v>0</x:v>
      </x:c>
      <x:c r="M709" s="48" t="str">
        <x:v>3</x:v>
      </x:c>
      <x:c r="N709" s="48" t="str">
        <x:v>3</x:v>
      </x:c>
      <x:c r="O709" s="48" t="str">
        <x:v>0</x:v>
      </x:c>
      <x:c r="P709" s="48" t="str">
        <x:v>0</x:v>
      </x:c>
      <x:c r="Q709" s="48" t="str">
        <x:v>1.000</x:v>
      </x:c>
      <x:c r="R709" s="48" t="str">
        <x:v>N TOO SMALL</x:v>
      </x:c>
      <x:c r="S709" s="48" t="str"/>
      <x:c r="T709" s="48" t="str">
        <x:v>CONTROL_BUYOUT:N=13,p=1.000</x:v>
      </x:c>
      <x:c r="U709" s="48" t="str">
        <x:v>Fewer than two driver groups have at least 5 observable manager families.</x:v>
      </x:c>
      <x:c r="V709" s="48" t="str">
        <x:v>At least 5 observable manager families in at least 2 driver groups</x:v>
      </x:c>
      <x:c r="W709" s="48" t="str">
        <x:v>&gt;=0.35 separates; &lt;=0.15 does not separate; intermediate is inconclusive/confounded; direct driver-definition tests are CIRCULAR</x:v>
      </x:c>
      <x:c r="X709" s="48" t="str">
        <x:v>MANAGER_SELF_DESCRIPTION; NOT BEHAVIOURAL FREQUENCY</x:v>
      </x:c>
    </x:row>
    <x:row r="710">
      <x:c r="A710" s="48" t="str">
        <x:v>B_GOVERNANCE_SEGMENTATION</x:v>
      </x:c>
      <x:c r="B710" s="48" t="str">
        <x:v>Tier B v1.1 - N=29 rerun</x:v>
      </x:c>
      <x:c r="C710" s="48" t="str">
        <x:v>2026-07-16</x:v>
      </x:c>
      <x:c r="D710" s="48" t="str">
        <x:v>O05</x:v>
      </x:c>
      <x:c r="E710" s="48" t="str">
        <x:v>OWNERSHIP_MONITORING</x:v>
      </x:c>
      <x:c r="F710" s="48" t="str">
        <x:v>Follow-on or add-on requires formal approval</x:v>
      </x:c>
      <x:c r="G710" s="48" t="str">
        <x:v>strategy</x:v>
      </x:c>
      <x:c r="H710" s="48" t="str">
        <x:v>OPPORTUNISTIC_CONTROL</x:v>
      </x:c>
      <x:c r="I710" s="48" t="str">
        <x:v>1</x:v>
      </x:c>
      <x:c r="J710" s="48" t="str">
        <x:v>0</x:v>
      </x:c>
      <x:c r="K710" s="48" t="str">
        <x:v>0</x:v>
      </x:c>
      <x:c r="L710" s="48" t="str">
        <x:v>0</x:v>
      </x:c>
      <x:c r="M710" s="48" t="str">
        <x:v>0</x:v>
      </x:c>
      <x:c r="N710" s="48" t="str">
        <x:v>1</x:v>
      </x:c>
      <x:c r="O710" s="48" t="str">
        <x:v>0</x:v>
      </x:c>
      <x:c r="P710" s="48" t="str">
        <x:v>0</x:v>
      </x:c>
      <x:c r="Q710" s="48" t="str"/>
      <x:c r="R710" s="48" t="str">
        <x:v>N TOO SMALL</x:v>
      </x:c>
      <x:c r="S710" s="48" t="str"/>
      <x:c r="T710" s="48" t="str">
        <x:v>CONTROL_BUYOUT:N=13,p=1.000</x:v>
      </x:c>
      <x:c r="U710" s="48" t="str">
        <x:v>Fewer than two driver groups have at least 5 observable manager families.</x:v>
      </x:c>
      <x:c r="V710" s="48" t="str">
        <x:v>At least 5 observable manager families in at least 2 driver groups</x:v>
      </x:c>
      <x:c r="W710" s="48" t="str">
        <x:v>&gt;=0.35 separates; &lt;=0.15 does not separate; intermediate is inconclusive/confounded; direct driver-definition tests are CIRCULAR</x:v>
      </x:c>
      <x:c r="X710" s="48" t="str">
        <x:v>MANAGER_SELF_DESCRIPTION; NOT BEHAVIOURAL FREQUENCY</x:v>
      </x:c>
    </x:row>
    <x:row r="711">
      <x:c r="A711" s="48" t="str">
        <x:v>B_GOVERNANCE_SEGMENTATION</x:v>
      </x:c>
      <x:c r="B711" s="48" t="str">
        <x:v>Tier B v1.1 - N=29 rerun</x:v>
      </x:c>
      <x:c r="C711" s="48" t="str">
        <x:v>2026-07-16</x:v>
      </x:c>
      <x:c r="D711" s="48" t="str">
        <x:v>O05</x:v>
      </x:c>
      <x:c r="E711" s="48" t="str">
        <x:v>OWNERSHIP_MONITORING</x:v>
      </x:c>
      <x:c r="F711" s="48" t="str">
        <x:v>Follow-on or add-on requires formal approval</x:v>
      </x:c>
      <x:c r="G711" s="48" t="str">
        <x:v>geography</x:v>
      </x:c>
      <x:c r="H711" s="48" t="str">
        <x:v>ASIA_PACIFIC</x:v>
      </x:c>
      <x:c r="I711" s="48" t="str">
        <x:v>4</x:v>
      </x:c>
      <x:c r="J711" s="48" t="str">
        <x:v>3</x:v>
      </x:c>
      <x:c r="K711" s="48" t="str">
        <x:v>2</x:v>
      </x:c>
      <x:c r="L711" s="48" t="str">
        <x:v>0</x:v>
      </x:c>
      <x:c r="M711" s="48" t="str">
        <x:v>3</x:v>
      </x:c>
      <x:c r="N711" s="48" t="str">
        <x:v>1</x:v>
      </x:c>
      <x:c r="O711" s="48" t="str">
        <x:v>0</x:v>
      </x:c>
      <x:c r="P711" s="48" t="str">
        <x:v>0</x:v>
      </x:c>
      <x:c r="Q711" s="48" t="str">
        <x:v>1.000</x:v>
      </x:c>
      <x:c r="R711" s="48" t="str">
        <x:v>N TOO SMALL</x:v>
      </x:c>
      <x:c r="S711" s="48" t="str"/>
      <x:c r="T711" s="48" t="str">
        <x:v>GLOBAL_TRANSATLANTIC:N=8,p=1.000</x:v>
      </x:c>
      <x:c r="U711" s="48" t="str">
        <x:v>Fewer than two driver groups have at least 5 observable manager families.</x:v>
      </x:c>
      <x:c r="V711" s="48" t="str">
        <x:v>At least 5 observable manager families in at least 2 driver groups</x:v>
      </x:c>
      <x:c r="W711" s="48" t="str">
        <x:v>&gt;=0.35 separates; &lt;=0.15 does not separate; intermediate is inconclusive/confounded; direct driver-definition tests are CIRCULAR</x:v>
      </x:c>
      <x:c r="X711" s="48" t="str">
        <x:v>MANAGER_SELF_DESCRIPTION; NOT BEHAVIOURAL FREQUENCY</x:v>
      </x:c>
    </x:row>
    <x:row r="712">
      <x:c r="A712" s="48" t="str">
        <x:v>B_GOVERNANCE_SEGMENTATION</x:v>
      </x:c>
      <x:c r="B712" s="48" t="str">
        <x:v>Tier B v1.1 - N=29 rerun</x:v>
      </x:c>
      <x:c r="C712" s="48" t="str">
        <x:v>2026-07-16</x:v>
      </x:c>
      <x:c r="D712" s="48" t="str">
        <x:v>O05</x:v>
      </x:c>
      <x:c r="E712" s="48" t="str">
        <x:v>OWNERSHIP_MONITORING</x:v>
      </x:c>
      <x:c r="F712" s="48" t="str">
        <x:v>Follow-on or add-on requires formal approval</x:v>
      </x:c>
      <x:c r="G712" s="48" t="str">
        <x:v>geography</x:v>
      </x:c>
      <x:c r="H712" s="48" t="str">
        <x:v>EUROPE</x:v>
      </x:c>
      <x:c r="I712" s="48" t="str">
        <x:v>2</x:v>
      </x:c>
      <x:c r="J712" s="48" t="str">
        <x:v>1</x:v>
      </x:c>
      <x:c r="K712" s="48" t="str">
        <x:v>0</x:v>
      </x:c>
      <x:c r="L712" s="48" t="str">
        <x:v>0</x:v>
      </x:c>
      <x:c r="M712" s="48" t="str">
        <x:v>1</x:v>
      </x:c>
      <x:c r="N712" s="48" t="str">
        <x:v>1</x:v>
      </x:c>
      <x:c r="O712" s="48" t="str">
        <x:v>0</x:v>
      </x:c>
      <x:c r="P712" s="48" t="str">
        <x:v>0</x:v>
      </x:c>
      <x:c r="Q712" s="48" t="str">
        <x:v>1.000</x:v>
      </x:c>
      <x:c r="R712" s="48" t="str">
        <x:v>N TOO SMALL</x:v>
      </x:c>
      <x:c r="S712" s="48" t="str"/>
      <x:c r="T712" s="48" t="str">
        <x:v>GLOBAL_TRANSATLANTIC:N=8,p=1.000</x:v>
      </x:c>
      <x:c r="U712" s="48" t="str">
        <x:v>Fewer than two driver groups have at least 5 observable manager families.</x:v>
      </x:c>
      <x:c r="V712" s="48" t="str">
        <x:v>At least 5 observable manager families in at least 2 driver groups</x:v>
      </x:c>
      <x:c r="W712" s="48" t="str">
        <x:v>&gt;=0.35 separates; &lt;=0.15 does not separate; intermediate is inconclusive/confounded; direct driver-definition tests are CIRCULAR</x:v>
      </x:c>
      <x:c r="X712" s="48" t="str">
        <x:v>MANAGER_SELF_DESCRIPTION; NOT BEHAVIOURAL FREQUENCY</x:v>
      </x:c>
    </x:row>
    <x:row r="713">
      <x:c r="A713" s="48" t="str">
        <x:v>B_GOVERNANCE_SEGMENTATION</x:v>
      </x:c>
      <x:c r="B713" s="48" t="str">
        <x:v>Tier B v1.1 - N=29 rerun</x:v>
      </x:c>
      <x:c r="C713" s="48" t="str">
        <x:v>2026-07-16</x:v>
      </x:c>
      <x:c r="D713" s="48" t="str">
        <x:v>O05</x:v>
      </x:c>
      <x:c r="E713" s="48" t="str">
        <x:v>OWNERSHIP_MONITORING</x:v>
      </x:c>
      <x:c r="F713" s="48" t="str">
        <x:v>Follow-on or add-on requires formal approval</x:v>
      </x:c>
      <x:c r="G713" s="48" t="str">
        <x:v>geography</x:v>
      </x:c>
      <x:c r="H713" s="48" t="str">
        <x:v>GLOBAL_TRANSATLANTIC</x:v>
      </x:c>
      <x:c r="I713" s="48" t="str">
        <x:v>10</x:v>
      </x:c>
      <x:c r="J713" s="48" t="str">
        <x:v>8</x:v>
      </x:c>
      <x:c r="K713" s="48" t="str">
        <x:v>1</x:v>
      </x:c>
      <x:c r="L713" s="48" t="str">
        <x:v>0</x:v>
      </x:c>
      <x:c r="M713" s="48" t="str">
        <x:v>8</x:v>
      </x:c>
      <x:c r="N713" s="48" t="str">
        <x:v>2</x:v>
      </x:c>
      <x:c r="O713" s="48" t="str">
        <x:v>0</x:v>
      </x:c>
      <x:c r="P713" s="48" t="str">
        <x:v>0</x:v>
      </x:c>
      <x:c r="Q713" s="48" t="str">
        <x:v>1.000</x:v>
      </x:c>
      <x:c r="R713" s="48" t="str">
        <x:v>N TOO SMALL</x:v>
      </x:c>
      <x:c r="S713" s="48" t="str"/>
      <x:c r="T713" s="48" t="str">
        <x:v>GLOBAL_TRANSATLANTIC:N=8,p=1.000</x:v>
      </x:c>
      <x:c r="U713" s="48" t="str">
        <x:v>Fewer than two driver groups have at least 5 observable manager families.</x:v>
      </x:c>
      <x:c r="V713" s="48" t="str">
        <x:v>At least 5 observable manager families in at least 2 driver groups</x:v>
      </x:c>
      <x:c r="W713" s="48" t="str">
        <x:v>&gt;=0.35 separates; &lt;=0.15 does not separate; intermediate is inconclusive/confounded; direct driver-definition tests are CIRCULAR</x:v>
      </x:c>
      <x:c r="X713" s="48" t="str">
        <x:v>MANAGER_SELF_DESCRIPTION; NOT BEHAVIOURAL FREQUENCY</x:v>
      </x:c>
    </x:row>
    <x:row r="714">
      <x:c r="A714" s="48" t="str">
        <x:v>B_GOVERNANCE_SEGMENTATION</x:v>
      </x:c>
      <x:c r="B714" s="48" t="str">
        <x:v>Tier B v1.1 - N=29 rerun</x:v>
      </x:c>
      <x:c r="C714" s="48" t="str">
        <x:v>2026-07-16</x:v>
      </x:c>
      <x:c r="D714" s="48" t="str">
        <x:v>O05</x:v>
      </x:c>
      <x:c r="E714" s="48" t="str">
        <x:v>OWNERSHIP_MONITORING</x:v>
      </x:c>
      <x:c r="F714" s="48" t="str">
        <x:v>Follow-on or add-on requires formal approval</x:v>
      </x:c>
      <x:c r="G714" s="48" t="str">
        <x:v>geography</x:v>
      </x:c>
      <x:c r="H714" s="48" t="str">
        <x:v>NORTH_AMERICA</x:v>
      </x:c>
      <x:c r="I714" s="48" t="str">
        <x:v>13</x:v>
      </x:c>
      <x:c r="J714" s="48" t="str">
        <x:v>4</x:v>
      </x:c>
      <x:c r="K714" s="48" t="str">
        <x:v>0</x:v>
      </x:c>
      <x:c r="L714" s="48" t="str">
        <x:v>0</x:v>
      </x:c>
      <x:c r="M714" s="48" t="str">
        <x:v>4</x:v>
      </x:c>
      <x:c r="N714" s="48" t="str">
        <x:v>9</x:v>
      </x:c>
      <x:c r="O714" s="48" t="str">
        <x:v>0</x:v>
      </x:c>
      <x:c r="P714" s="48" t="str">
        <x:v>0</x:v>
      </x:c>
      <x:c r="Q714" s="48" t="str">
        <x:v>1.000</x:v>
      </x:c>
      <x:c r="R714" s="48" t="str">
        <x:v>N TOO SMALL</x:v>
      </x:c>
      <x:c r="S714" s="48" t="str"/>
      <x:c r="T714" s="48" t="str">
        <x:v>GLOBAL_TRANSATLANTIC:N=8,p=1.000</x:v>
      </x:c>
      <x:c r="U714" s="48" t="str">
        <x:v>Fewer than two driver groups have at least 5 observable manager families.</x:v>
      </x:c>
      <x:c r="V714" s="48" t="str">
        <x:v>At least 5 observable manager families in at least 2 driver groups</x:v>
      </x:c>
      <x:c r="W714" s="48" t="str">
        <x:v>&gt;=0.35 separates; &lt;=0.15 does not separate; intermediate is inconclusive/confounded; direct driver-definition tests are CIRCULAR</x:v>
      </x:c>
      <x:c r="X714" s="48" t="str">
        <x:v>MANAGER_SELF_DESCRIPTION; NOT BEHAVIOURAL FREQUENCY</x:v>
      </x:c>
    </x:row>
    <x:row r="715">
      <x:c r="A715" s="48" t="str">
        <x:v>B_GOVERNANCE_SEGMENTATION</x:v>
      </x:c>
      <x:c r="B715" s="48" t="str">
        <x:v>Tier B v1.1 - N=29 rerun</x:v>
      </x:c>
      <x:c r="C715" s="48" t="str">
        <x:v>2026-07-16</x:v>
      </x:c>
      <x:c r="D715" s="48" t="str">
        <x:v>O05</x:v>
      </x:c>
      <x:c r="E715" s="48" t="str">
        <x:v>OWNERSHIP_MONITORING</x:v>
      </x:c>
      <x:c r="F715" s="48" t="str">
        <x:v>Follow-on or add-on requires formal approval</x:v>
      </x:c>
      <x:c r="G715" s="48" t="str">
        <x:v>source_vintage_bin</x:v>
      </x:c>
      <x:c r="H715" s="48" t="str">
        <x:v>2018_2020</x:v>
      </x:c>
      <x:c r="I715" s="48" t="str">
        <x:v>6</x:v>
      </x:c>
      <x:c r="J715" s="48" t="str">
        <x:v>3</x:v>
      </x:c>
      <x:c r="K715" s="48" t="str">
        <x:v>0</x:v>
      </x:c>
      <x:c r="L715" s="48" t="str">
        <x:v>0</x:v>
      </x:c>
      <x:c r="M715" s="48" t="str">
        <x:v>3</x:v>
      </x:c>
      <x:c r="N715" s="48" t="str">
        <x:v>3</x:v>
      </x:c>
      <x:c r="O715" s="48" t="str">
        <x:v>0</x:v>
      </x:c>
      <x:c r="P715" s="48" t="str">
        <x:v>0</x:v>
      </x:c>
      <x:c r="Q715" s="48" t="str">
        <x:v>1.000</x:v>
      </x:c>
      <x:c r="R715" s="48" t="str">
        <x:v>DRIVER DOES NOT SEPARATE</x:v>
      </x:c>
      <x:c r="S715" s="48" t="str">
        <x:v>0.000</x:v>
      </x:c>
      <x:c r="T715" s="48" t="str">
        <x:v>2021_2023:N=7,p=1.000; 2024_2026:N=6,p=1.000</x:v>
      </x:c>
      <x:c r="U715" s="48" t="str">
        <x:v>Maximum-minus-minimum prevalence among adequately observed groups is no more than 0.15.</x:v>
      </x:c>
      <x:c r="V715" s="48" t="str">
        <x:v>At least 5 observable manager families in at least 2 driver groups</x:v>
      </x:c>
      <x:c r="W715" s="48" t="str">
        <x:v>&gt;=0.35 separates; &lt;=0.15 does not separate; intermediate is inconclusive/confounded; direct driver-definition tests are CIRCULAR</x:v>
      </x:c>
      <x:c r="X715" s="48" t="str">
        <x:v>MANAGER_SELF_DESCRIPTION; NOT BEHAVIOURAL FREQUENCY</x:v>
      </x:c>
    </x:row>
    <x:row r="716">
      <x:c r="A716" s="48" t="str">
        <x:v>B_GOVERNANCE_SEGMENTATION</x:v>
      </x:c>
      <x:c r="B716" s="48" t="str">
        <x:v>Tier B v1.1 - N=29 rerun</x:v>
      </x:c>
      <x:c r="C716" s="48" t="str">
        <x:v>2026-07-16</x:v>
      </x:c>
      <x:c r="D716" s="48" t="str">
        <x:v>O05</x:v>
      </x:c>
      <x:c r="E716" s="48" t="str">
        <x:v>OWNERSHIP_MONITORING</x:v>
      </x:c>
      <x:c r="F716" s="48" t="str">
        <x:v>Follow-on or add-on requires formal approval</x:v>
      </x:c>
      <x:c r="G716" s="48" t="str">
        <x:v>source_vintage_bin</x:v>
      </x:c>
      <x:c r="H716" s="48" t="str">
        <x:v>2021_2023</x:v>
      </x:c>
      <x:c r="I716" s="48" t="str">
        <x:v>11</x:v>
      </x:c>
      <x:c r="J716" s="48" t="str">
        <x:v>7</x:v>
      </x:c>
      <x:c r="K716" s="48" t="str">
        <x:v>2</x:v>
      </x:c>
      <x:c r="L716" s="48" t="str">
        <x:v>0</x:v>
      </x:c>
      <x:c r="M716" s="48" t="str">
        <x:v>7</x:v>
      </x:c>
      <x:c r="N716" s="48" t="str">
        <x:v>4</x:v>
      </x:c>
      <x:c r="O716" s="48" t="str">
        <x:v>0</x:v>
      </x:c>
      <x:c r="P716" s="48" t="str">
        <x:v>0</x:v>
      </x:c>
      <x:c r="Q716" s="48" t="str">
        <x:v>1.000</x:v>
      </x:c>
      <x:c r="R716" s="48" t="str">
        <x:v>DRIVER DOES NOT SEPARATE</x:v>
      </x:c>
      <x:c r="S716" s="48" t="str">
        <x:v>0.000</x:v>
      </x:c>
      <x:c r="T716" s="48" t="str">
        <x:v>2021_2023:N=7,p=1.000; 2024_2026:N=6,p=1.000</x:v>
      </x:c>
      <x:c r="U716" s="48" t="str">
        <x:v>Maximum-minus-minimum prevalence among adequately observed groups is no more than 0.15.</x:v>
      </x:c>
      <x:c r="V716" s="48" t="str">
        <x:v>At least 5 observable manager families in at least 2 driver groups</x:v>
      </x:c>
      <x:c r="W716" s="48" t="str">
        <x:v>&gt;=0.35 separates; &lt;=0.15 does not separate; intermediate is inconclusive/confounded; direct driver-definition tests are CIRCULAR</x:v>
      </x:c>
      <x:c r="X716" s="48" t="str">
        <x:v>MANAGER_SELF_DESCRIPTION; NOT BEHAVIOURAL FREQUENCY</x:v>
      </x:c>
    </x:row>
    <x:row r="717">
      <x:c r="A717" s="48" t="str">
        <x:v>B_GOVERNANCE_SEGMENTATION</x:v>
      </x:c>
      <x:c r="B717" s="48" t="str">
        <x:v>Tier B v1.1 - N=29 rerun</x:v>
      </x:c>
      <x:c r="C717" s="48" t="str">
        <x:v>2026-07-16</x:v>
      </x:c>
      <x:c r="D717" s="48" t="str">
        <x:v>O05</x:v>
      </x:c>
      <x:c r="E717" s="48" t="str">
        <x:v>OWNERSHIP_MONITORING</x:v>
      </x:c>
      <x:c r="F717" s="48" t="str">
        <x:v>Follow-on or add-on requires formal approval</x:v>
      </x:c>
      <x:c r="G717" s="48" t="str">
        <x:v>source_vintage_bin</x:v>
      </x:c>
      <x:c r="H717" s="48" t="str">
        <x:v>2024_2026</x:v>
      </x:c>
      <x:c r="I717" s="48" t="str">
        <x:v>12</x:v>
      </x:c>
      <x:c r="J717" s="48" t="str">
        <x:v>6</x:v>
      </x:c>
      <x:c r="K717" s="48" t="str">
        <x:v>1</x:v>
      </x:c>
      <x:c r="L717" s="48" t="str">
        <x:v>0</x:v>
      </x:c>
      <x:c r="M717" s="48" t="str">
        <x:v>6</x:v>
      </x:c>
      <x:c r="N717" s="48" t="str">
        <x:v>6</x:v>
      </x:c>
      <x:c r="O717" s="48" t="str">
        <x:v>0</x:v>
      </x:c>
      <x:c r="P717" s="48" t="str">
        <x:v>0</x:v>
      </x:c>
      <x:c r="Q717" s="48" t="str">
        <x:v>1.000</x:v>
      </x:c>
      <x:c r="R717" s="48" t="str">
        <x:v>DRIVER DOES NOT SEPARATE</x:v>
      </x:c>
      <x:c r="S717" s="48" t="str">
        <x:v>0.000</x:v>
      </x:c>
      <x:c r="T717" s="48" t="str">
        <x:v>2021_2023:N=7,p=1.000; 2024_2026:N=6,p=1.000</x:v>
      </x:c>
      <x:c r="U717" s="48" t="str">
        <x:v>Maximum-minus-minimum prevalence among adequately observed groups is no more than 0.15.</x:v>
      </x:c>
      <x:c r="V717" s="48" t="str">
        <x:v>At least 5 observable manager families in at least 2 driver groups</x:v>
      </x:c>
      <x:c r="W717" s="48" t="str">
        <x:v>&gt;=0.35 separates; &lt;=0.15 does not separate; intermediate is inconclusive/confounded; direct driver-definition tests are CIRCULAR</x:v>
      </x:c>
      <x:c r="X717" s="48" t="str">
        <x:v>MANAGER_SELF_DESCRIPTION; NOT BEHAVIOURAL FREQUENCY</x:v>
      </x:c>
    </x:row>
    <x:row r="718">
      <x:c r="A718" s="48" t="str">
        <x:v>B_GOVERNANCE_SEGMENTATION</x:v>
      </x:c>
      <x:c r="B718" s="48" t="str">
        <x:v>Tier B v1.1 - N=29 rerun</x:v>
      </x:c>
      <x:c r="C718" s="48" t="str">
        <x:v>2026-07-16</x:v>
      </x:c>
      <x:c r="D718" s="48" t="str">
        <x:v>O05</x:v>
      </x:c>
      <x:c r="E718" s="48" t="str">
        <x:v>OWNERSHIP_MONITORING</x:v>
      </x:c>
      <x:c r="F718" s="48" t="str">
        <x:v>Follow-on or add-on requires formal approval</x:v>
      </x:c>
      <x:c r="G718" s="48" t="str">
        <x:v>governance_architecture</x:v>
      </x:c>
      <x:c r="H718" s="48" t="str">
        <x:v>IC_FINAL_OR_DE_FACTO</x:v>
      </x:c>
      <x:c r="I718" s="48" t="str">
        <x:v>26</x:v>
      </x:c>
      <x:c r="J718" s="48" t="str">
        <x:v>14</x:v>
      </x:c>
      <x:c r="K718" s="48" t="str">
        <x:v>3</x:v>
      </x:c>
      <x:c r="L718" s="48" t="str">
        <x:v>0</x:v>
      </x:c>
      <x:c r="M718" s="48" t="str">
        <x:v>14</x:v>
      </x:c>
      <x:c r="N718" s="48" t="str">
        <x:v>12</x:v>
      </x:c>
      <x:c r="O718" s="48" t="str">
        <x:v>0</x:v>
      </x:c>
      <x:c r="P718" s="48" t="str">
        <x:v>0</x:v>
      </x:c>
      <x:c r="Q718" s="48" t="str">
        <x:v>1.000</x:v>
      </x:c>
      <x:c r="R718" s="48" t="str">
        <x:v>N TOO SMALL</x:v>
      </x:c>
      <x:c r="S718" s="48" t="str"/>
      <x:c r="T718" s="48" t="str">
        <x:v>IC_FINAL_OR_DE_FACTO:N=14,p=1.000</x:v>
      </x:c>
      <x:c r="U718" s="48" t="str">
        <x:v>Fewer than two driver groups have at least 5 observable manager families.</x:v>
      </x:c>
      <x:c r="V718" s="48" t="str">
        <x:v>At least 5 observable manager families in at least 2 driver groups</x:v>
      </x:c>
      <x:c r="W718" s="48" t="str">
        <x:v>&gt;=0.35 separates; &lt;=0.15 does not separate; intermediate is inconclusive/confounded; direct driver-definition tests are CIRCULAR</x:v>
      </x:c>
      <x:c r="X718" s="48" t="str">
        <x:v>MANAGER_SELF_DESCRIPTION; NOT BEHAVIOURAL FREQUENCY</x:v>
      </x:c>
    </x:row>
    <x:row r="719">
      <x:c r="A719" s="48" t="str">
        <x:v>B_GOVERNANCE_SEGMENTATION</x:v>
      </x:c>
      <x:c r="B719" s="48" t="str">
        <x:v>Tier B v1.1 - N=29 rerun</x:v>
      </x:c>
      <x:c r="C719" s="48" t="str">
        <x:v>2026-07-16</x:v>
      </x:c>
      <x:c r="D719" s="48" t="str">
        <x:v>O05</x:v>
      </x:c>
      <x:c r="E719" s="48" t="str">
        <x:v>OWNERSHIP_MONITORING</x:v>
      </x:c>
      <x:c r="F719" s="48" t="str">
        <x:v>Follow-on or add-on requires formal approval</x:v>
      </x:c>
      <x:c r="G719" s="48" t="str">
        <x:v>governance_architecture</x:v>
      </x:c>
      <x:c r="H719" s="48" t="str">
        <x:v>IC_RECOMMENDS_SEPARATE_FINAL_AUTHORITY</x:v>
      </x:c>
      <x:c r="I719" s="48" t="str">
        <x:v>3</x:v>
      </x:c>
      <x:c r="J719" s="48" t="str">
        <x:v>2</x:v>
      </x:c>
      <x:c r="K719" s="48" t="str">
        <x:v>0</x:v>
      </x:c>
      <x:c r="L719" s="48" t="str">
        <x:v>0</x:v>
      </x:c>
      <x:c r="M719" s="48" t="str">
        <x:v>2</x:v>
      </x:c>
      <x:c r="N719" s="48" t="str">
        <x:v>1</x:v>
      </x:c>
      <x:c r="O719" s="48" t="str">
        <x:v>0</x:v>
      </x:c>
      <x:c r="P719" s="48" t="str">
        <x:v>0</x:v>
      </x:c>
      <x:c r="Q719" s="48" t="str">
        <x:v>1.000</x:v>
      </x:c>
      <x:c r="R719" s="48" t="str">
        <x:v>N TOO SMALL</x:v>
      </x:c>
      <x:c r="S719" s="48" t="str"/>
      <x:c r="T719" s="48" t="str">
        <x:v>IC_FINAL_OR_DE_FACTO:N=14,p=1.000</x:v>
      </x:c>
      <x:c r="U719" s="48" t="str">
        <x:v>Fewer than two driver groups have at least 5 observable manager families.</x:v>
      </x:c>
      <x:c r="V719" s="48" t="str">
        <x:v>At least 5 observable manager families in at least 2 driver groups</x:v>
      </x:c>
      <x:c r="W719" s="48" t="str">
        <x:v>&gt;=0.35 separates; &lt;=0.15 does not separate; intermediate is inconclusive/confounded; direct driver-definition tests are CIRCULAR</x:v>
      </x:c>
      <x:c r="X719" s="48" t="str">
        <x:v>MANAGER_SELF_DESCRIPTION; NOT BEHAVIOURAL FREQUENCY</x:v>
      </x:c>
    </x:row>
    <x:row r="720">
      <x:c r="A720" s="48" t="str">
        <x:v>B_GOVERNANCE_SEGMENTATION</x:v>
      </x:c>
      <x:c r="B720" s="48" t="str">
        <x:v>Tier B v1.1 - N=29 rerun</x:v>
      </x:c>
      <x:c r="C720" s="48" t="str">
        <x:v>2026-07-16</x:v>
      </x:c>
      <x:c r="D720" s="48" t="str">
        <x:v>O05</x:v>
      </x:c>
      <x:c r="E720" s="48" t="str">
        <x:v>OWNERSHIP_MONITORING</x:v>
      </x:c>
      <x:c r="F720" s="48" t="str">
        <x:v>Follow-on or add-on requires formal approval</x:v>
      </x:c>
      <x:c r="G720" s="48" t="str">
        <x:v>dedicated_operating_team</x:v>
      </x:c>
      <x:c r="H720" s="48" t="str">
        <x:v>NO_OR_LIMITED</x:v>
      </x:c>
      <x:c r="I720" s="48" t="str">
        <x:v>6</x:v>
      </x:c>
      <x:c r="J720" s="48" t="str">
        <x:v>2</x:v>
      </x:c>
      <x:c r="K720" s="48" t="str">
        <x:v>0</x:v>
      </x:c>
      <x:c r="L720" s="48" t="str">
        <x:v>0</x:v>
      </x:c>
      <x:c r="M720" s="48" t="str">
        <x:v>2</x:v>
      </x:c>
      <x:c r="N720" s="48" t="str">
        <x:v>4</x:v>
      </x:c>
      <x:c r="O720" s="48" t="str">
        <x:v>0</x:v>
      </x:c>
      <x:c r="P720" s="48" t="str">
        <x:v>0</x:v>
      </x:c>
      <x:c r="Q720" s="48" t="str">
        <x:v>1.000</x:v>
      </x:c>
      <x:c r="R720" s="48" t="str">
        <x:v>N TOO SMALL</x:v>
      </x:c>
      <x:c r="S720" s="48" t="str"/>
      <x:c r="T720" s="48" t="str">
        <x:v>YES_DEDICATED:N=14,p=1.000</x:v>
      </x:c>
      <x:c r="U720" s="48" t="str">
        <x:v>Fewer than two driver groups have at least 5 observable manager families.</x:v>
      </x:c>
      <x:c r="V720" s="48" t="str">
        <x:v>At least 5 observable manager families in at least 2 driver groups</x:v>
      </x:c>
      <x:c r="W720" s="48" t="str">
        <x:v>&gt;=0.35 separates; &lt;=0.15 does not separate; intermediate is inconclusive/confounded; direct driver-definition tests are CIRCULAR</x:v>
      </x:c>
      <x:c r="X720" s="48" t="str">
        <x:v>MANAGER_SELF_DESCRIPTION; NOT BEHAVIOURAL FREQUENCY</x:v>
      </x:c>
    </x:row>
    <x:row r="721">
      <x:c r="A721" s="48" t="str">
        <x:v>B_GOVERNANCE_SEGMENTATION</x:v>
      </x:c>
      <x:c r="B721" s="48" t="str">
        <x:v>Tier B v1.1 - N=29 rerun</x:v>
      </x:c>
      <x:c r="C721" s="48" t="str">
        <x:v>2026-07-16</x:v>
      </x:c>
      <x:c r="D721" s="48" t="str">
        <x:v>O05</x:v>
      </x:c>
      <x:c r="E721" s="48" t="str">
        <x:v>OWNERSHIP_MONITORING</x:v>
      </x:c>
      <x:c r="F721" s="48" t="str">
        <x:v>Follow-on or add-on requires formal approval</x:v>
      </x:c>
      <x:c r="G721" s="48" t="str">
        <x:v>dedicated_operating_team</x:v>
      </x:c>
      <x:c r="H721" s="48" t="str">
        <x:v>YES_DEDICATED</x:v>
      </x:c>
      <x:c r="I721" s="48" t="str">
        <x:v>23</x:v>
      </x:c>
      <x:c r="J721" s="48" t="str">
        <x:v>14</x:v>
      </x:c>
      <x:c r="K721" s="48" t="str">
        <x:v>3</x:v>
      </x:c>
      <x:c r="L721" s="48" t="str">
        <x:v>0</x:v>
      </x:c>
      <x:c r="M721" s="48" t="str">
        <x:v>14</x:v>
      </x:c>
      <x:c r="N721" s="48" t="str">
        <x:v>9</x:v>
      </x:c>
      <x:c r="O721" s="48" t="str">
        <x:v>0</x:v>
      </x:c>
      <x:c r="P721" s="48" t="str">
        <x:v>0</x:v>
      </x:c>
      <x:c r="Q721" s="48" t="str">
        <x:v>1.000</x:v>
      </x:c>
      <x:c r="R721" s="48" t="str">
        <x:v>N TOO SMALL</x:v>
      </x:c>
      <x:c r="S721" s="48" t="str"/>
      <x:c r="T721" s="48" t="str">
        <x:v>YES_DEDICATED:N=14,p=1.000</x:v>
      </x:c>
      <x:c r="U721" s="48" t="str">
        <x:v>Fewer than two driver groups have at least 5 observable manager families.</x:v>
      </x:c>
      <x:c r="V721" s="48" t="str">
        <x:v>At least 5 observable manager families in at least 2 driver groups</x:v>
      </x:c>
      <x:c r="W721" s="48" t="str">
        <x:v>&gt;=0.35 separates; &lt;=0.15 does not separate; intermediate is inconclusive/confounded; direct driver-definition tests are CIRCULAR</x:v>
      </x:c>
      <x:c r="X721" s="48" t="str">
        <x:v>MANAGER_SELF_DESCRIPTION; NOT BEHAVIOURAL FREQUENCY</x:v>
      </x:c>
    </x:row>
    <x:row r="722">
      <x:c r="A722" s="48" t="str">
        <x:v>B_GOVERNANCE_SEGMENTATION</x:v>
      </x:c>
      <x:c r="B722" s="48" t="str">
        <x:v>Tier B v1.1 - N=29 rerun</x:v>
      </x:c>
      <x:c r="C722" s="48" t="str">
        <x:v>2026-07-16</x:v>
      </x:c>
      <x:c r="D722" s="48" t="str">
        <x:v>S01</x:v>
      </x:c>
      <x:c r="E722" s="48" t="str">
        <x:v>SOURCING_STRATEGY</x:v>
      </x:c>
      <x:c r="F722" s="48" t="str">
        <x:v>Thematic work can precede a live opportunity</x:v>
      </x:c>
      <x:c r="G722" s="48" t="str">
        <x:v>fund_size_archetype</x:v>
      </x:c>
      <x:c r="H722" s="48" t="str">
        <x:v>LARGE_2_TO_LT_5B</x:v>
      </x:c>
      <x:c r="I722" s="48" t="str">
        <x:v>9</x:v>
      </x:c>
      <x:c r="J722" s="48" t="str">
        <x:v>9</x:v>
      </x:c>
      <x:c r="K722" s="48" t="str">
        <x:v>0</x:v>
      </x:c>
      <x:c r="L722" s="48" t="str">
        <x:v>0</x:v>
      </x:c>
      <x:c r="M722" s="48" t="str">
        <x:v>9</x:v>
      </x:c>
      <x:c r="N722" s="48" t="str">
        <x:v>0</x:v>
      </x:c>
      <x:c r="O722" s="48" t="str">
        <x:v>0</x:v>
      </x:c>
      <x:c r="P722" s="48" t="str">
        <x:v>0</x:v>
      </x:c>
      <x:c r="Q722" s="48" t="str">
        <x:v>1.000</x:v>
      </x:c>
      <x:c r="R722" s="48" t="str">
        <x:v>DRIVER DOES NOT SEPARATE</x:v>
      </x:c>
      <x:c r="S722" s="48" t="str">
        <x:v>0.000</x:v>
      </x:c>
      <x:c r="T722" s="48" t="str">
        <x:v>LARGE_2_TO_LT_5B:N=9,p=1.000; LOWER_MID_LT_2B:N=7,p=1.000; MEGA_GE_5B:N=11,p=1.000</x:v>
      </x:c>
      <x:c r="U722" s="48" t="str">
        <x:v>Maximum-minus-minimum prevalence among adequately observed groups is no more than 0.15.</x:v>
      </x:c>
      <x:c r="V722" s="48" t="str">
        <x:v>At least 5 observable manager families in at least 2 driver groups</x:v>
      </x:c>
      <x:c r="W722" s="48" t="str">
        <x:v>&gt;=0.35 separates; &lt;=0.15 does not separate; intermediate is inconclusive/confounded; direct driver-definition tests are CIRCULAR</x:v>
      </x:c>
      <x:c r="X722" s="48" t="str">
        <x:v>MANAGER_SELF_DESCRIPTION; NOT BEHAVIOURAL FREQUENCY</x:v>
      </x:c>
    </x:row>
    <x:row r="723">
      <x:c r="A723" s="48" t="str">
        <x:v>B_GOVERNANCE_SEGMENTATION</x:v>
      </x:c>
      <x:c r="B723" s="48" t="str">
        <x:v>Tier B v1.1 - N=29 rerun</x:v>
      </x:c>
      <x:c r="C723" s="48" t="str">
        <x:v>2026-07-16</x:v>
      </x:c>
      <x:c r="D723" s="48" t="str">
        <x:v>S01</x:v>
      </x:c>
      <x:c r="E723" s="48" t="str">
        <x:v>SOURCING_STRATEGY</x:v>
      </x:c>
      <x:c r="F723" s="48" t="str">
        <x:v>Thematic work can precede a live opportunity</x:v>
      </x:c>
      <x:c r="G723" s="48" t="str">
        <x:v>fund_size_archetype</x:v>
      </x:c>
      <x:c r="H723" s="48" t="str">
        <x:v>LOWER_MID_LT_2B</x:v>
      </x:c>
      <x:c r="I723" s="48" t="str">
        <x:v>8</x:v>
      </x:c>
      <x:c r="J723" s="48" t="str">
        <x:v>7</x:v>
      </x:c>
      <x:c r="K723" s="48" t="str">
        <x:v>0</x:v>
      </x:c>
      <x:c r="L723" s="48" t="str">
        <x:v>0</x:v>
      </x:c>
      <x:c r="M723" s="48" t="str">
        <x:v>7</x:v>
      </x:c>
      <x:c r="N723" s="48" t="str">
        <x:v>1</x:v>
      </x:c>
      <x:c r="O723" s="48" t="str">
        <x:v>0</x:v>
      </x:c>
      <x:c r="P723" s="48" t="str">
        <x:v>0</x:v>
      </x:c>
      <x:c r="Q723" s="48" t="str">
        <x:v>1.000</x:v>
      </x:c>
      <x:c r="R723" s="48" t="str">
        <x:v>DRIVER DOES NOT SEPARATE</x:v>
      </x:c>
      <x:c r="S723" s="48" t="str">
        <x:v>0.000</x:v>
      </x:c>
      <x:c r="T723" s="48" t="str">
        <x:v>LARGE_2_TO_LT_5B:N=9,p=1.000; LOWER_MID_LT_2B:N=7,p=1.000; MEGA_GE_5B:N=11,p=1.000</x:v>
      </x:c>
      <x:c r="U723" s="48" t="str">
        <x:v>Maximum-minus-minimum prevalence among adequately observed groups is no more than 0.15.</x:v>
      </x:c>
      <x:c r="V723" s="48" t="str">
        <x:v>At least 5 observable manager families in at least 2 driver groups</x:v>
      </x:c>
      <x:c r="W723" s="48" t="str">
        <x:v>&gt;=0.35 separates; &lt;=0.15 does not separate; intermediate is inconclusive/confounded; direct driver-definition tests are CIRCULAR</x:v>
      </x:c>
      <x:c r="X723" s="48" t="str">
        <x:v>MANAGER_SELF_DESCRIPTION; NOT BEHAVIOURAL FREQUENCY</x:v>
      </x:c>
    </x:row>
    <x:row r="724">
      <x:c r="A724" s="48" t="str">
        <x:v>B_GOVERNANCE_SEGMENTATION</x:v>
      </x:c>
      <x:c r="B724" s="48" t="str">
        <x:v>Tier B v1.1 - N=29 rerun</x:v>
      </x:c>
      <x:c r="C724" s="48" t="str">
        <x:v>2026-07-16</x:v>
      </x:c>
      <x:c r="D724" s="48" t="str">
        <x:v>S01</x:v>
      </x:c>
      <x:c r="E724" s="48" t="str">
        <x:v>SOURCING_STRATEGY</x:v>
      </x:c>
      <x:c r="F724" s="48" t="str">
        <x:v>Thematic work can precede a live opportunity</x:v>
      </x:c>
      <x:c r="G724" s="48" t="str">
        <x:v>fund_size_archetype</x:v>
      </x:c>
      <x:c r="H724" s="48" t="str">
        <x:v>MEGA_GE_5B</x:v>
      </x:c>
      <x:c r="I724" s="48" t="str">
        <x:v>11</x:v>
      </x:c>
      <x:c r="J724" s="48" t="str">
        <x:v>11</x:v>
      </x:c>
      <x:c r="K724" s="48" t="str">
        <x:v>0</x:v>
      </x:c>
      <x:c r="L724" s="48" t="str">
        <x:v>0</x:v>
      </x:c>
      <x:c r="M724" s="48" t="str">
        <x:v>11</x:v>
      </x:c>
      <x:c r="N724" s="48" t="str">
        <x:v>0</x:v>
      </x:c>
      <x:c r="O724" s="48" t="str">
        <x:v>0</x:v>
      </x:c>
      <x:c r="P724" s="48" t="str">
        <x:v>0</x:v>
      </x:c>
      <x:c r="Q724" s="48" t="str">
        <x:v>1.000</x:v>
      </x:c>
      <x:c r="R724" s="48" t="str">
        <x:v>DRIVER DOES NOT SEPARATE</x:v>
      </x:c>
      <x:c r="S724" s="48" t="str">
        <x:v>0.000</x:v>
      </x:c>
      <x:c r="T724" s="48" t="str">
        <x:v>LARGE_2_TO_LT_5B:N=9,p=1.000; LOWER_MID_LT_2B:N=7,p=1.000; MEGA_GE_5B:N=11,p=1.000</x:v>
      </x:c>
      <x:c r="U724" s="48" t="str">
        <x:v>Maximum-minus-minimum prevalence among adequately observed groups is no more than 0.15.</x:v>
      </x:c>
      <x:c r="V724" s="48" t="str">
        <x:v>At least 5 observable manager families in at least 2 driver groups</x:v>
      </x:c>
      <x:c r="W724" s="48" t="str">
        <x:v>&gt;=0.35 separates; &lt;=0.15 does not separate; intermediate is inconclusive/confounded; direct driver-definition tests are CIRCULAR</x:v>
      </x:c>
      <x:c r="X724" s="48" t="str">
        <x:v>MANAGER_SELF_DESCRIPTION; NOT BEHAVIOURAL FREQUENCY</x:v>
      </x:c>
    </x:row>
    <x:row r="725">
      <x:c r="A725" s="48" t="str">
        <x:v>B_GOVERNANCE_SEGMENTATION</x:v>
      </x:c>
      <x:c r="B725" s="48" t="str">
        <x:v>Tier B v1.1 - N=29 rerun</x:v>
      </x:c>
      <x:c r="C725" s="48" t="str">
        <x:v>2026-07-16</x:v>
      </x:c>
      <x:c r="D725" s="48" t="str">
        <x:v>S01</x:v>
      </x:c>
      <x:c r="E725" s="48" t="str">
        <x:v>SOURCING_STRATEGY</x:v>
      </x:c>
      <x:c r="F725" s="48" t="str">
        <x:v>Thematic work can precede a live opportunity</x:v>
      </x:c>
      <x:c r="G725" s="48" t="str">
        <x:v>fund_size_archetype</x:v>
      </x:c>
      <x:c r="H725" s="48" t="str">
        <x:v>NOT_APPLICABLE</x:v>
      </x:c>
      <x:c r="I725" s="48" t="str">
        <x:v>1</x:v>
      </x:c>
      <x:c r="J725" s="48" t="str">
        <x:v>1</x:v>
      </x:c>
      <x:c r="K725" s="48" t="str">
        <x:v>0</x:v>
      </x:c>
      <x:c r="L725" s="48" t="str">
        <x:v>0</x:v>
      </x:c>
      <x:c r="M725" s="48" t="str">
        <x:v>1</x:v>
      </x:c>
      <x:c r="N725" s="48" t="str">
        <x:v>0</x:v>
      </x:c>
      <x:c r="O725" s="48" t="str">
        <x:v>0</x:v>
      </x:c>
      <x:c r="P725" s="48" t="str">
        <x:v>0</x:v>
      </x:c>
      <x:c r="Q725" s="48" t="str">
        <x:v>1.000</x:v>
      </x:c>
      <x:c r="R725" s="48" t="str">
        <x:v>DRIVER DOES NOT SEPARATE</x:v>
      </x:c>
      <x:c r="S725" s="48" t="str">
        <x:v>0.000</x:v>
      </x:c>
      <x:c r="T725" s="48" t="str">
        <x:v>LARGE_2_TO_LT_5B:N=9,p=1.000; LOWER_MID_LT_2B:N=7,p=1.000; MEGA_GE_5B:N=11,p=1.000</x:v>
      </x:c>
      <x:c r="U725" s="48" t="str">
        <x:v>Maximum-minus-minimum prevalence among adequately observed groups is no more than 0.15.</x:v>
      </x:c>
      <x:c r="V725" s="48" t="str">
        <x:v>At least 5 observable manager families in at least 2 driver groups</x:v>
      </x:c>
      <x:c r="W725" s="48" t="str">
        <x:v>&gt;=0.35 separates; &lt;=0.15 does not separate; intermediate is inconclusive/confounded; direct driver-definition tests are CIRCULAR</x:v>
      </x:c>
      <x:c r="X725" s="48" t="str">
        <x:v>MANAGER_SELF_DESCRIPTION; NOT BEHAVIOURAL FREQUENCY</x:v>
      </x:c>
    </x:row>
    <x:row r="726">
      <x:c r="A726" s="48" t="str">
        <x:v>B_GOVERNANCE_SEGMENTATION</x:v>
      </x:c>
      <x:c r="B726" s="48" t="str">
        <x:v>Tier B v1.1 - N=29 rerun</x:v>
      </x:c>
      <x:c r="C726" s="48" t="str">
        <x:v>2026-07-16</x:v>
      </x:c>
      <x:c r="D726" s="48" t="str">
        <x:v>S01</x:v>
      </x:c>
      <x:c r="E726" s="48" t="str">
        <x:v>SOURCING_STRATEGY</x:v>
      </x:c>
      <x:c r="F726" s="48" t="str">
        <x:v>Thematic work can precede a live opportunity</x:v>
      </x:c>
      <x:c r="G726" s="48" t="str">
        <x:v>strategy</x:v>
      </x:c>
      <x:c r="H726" s="48" t="str">
        <x:v>CONTROL_BUYOUT</x:v>
      </x:c>
      <x:c r="I726" s="48" t="str">
        <x:v>22</x:v>
      </x:c>
      <x:c r="J726" s="48" t="str">
        <x:v>21</x:v>
      </x:c>
      <x:c r="K726" s="48" t="str">
        <x:v>0</x:v>
      </x:c>
      <x:c r="L726" s="48" t="str">
        <x:v>0</x:v>
      </x:c>
      <x:c r="M726" s="48" t="str">
        <x:v>21</x:v>
      </x:c>
      <x:c r="N726" s="48" t="str">
        <x:v>1</x:v>
      </x:c>
      <x:c r="O726" s="48" t="str">
        <x:v>0</x:v>
      </x:c>
      <x:c r="P726" s="48" t="str">
        <x:v>0</x:v>
      </x:c>
      <x:c r="Q726" s="48" t="str">
        <x:v>1.000</x:v>
      </x:c>
      <x:c r="R726" s="48" t="str">
        <x:v>DRIVER DOES NOT SEPARATE</x:v>
      </x:c>
      <x:c r="S726" s="48" t="str">
        <x:v>0.000</x:v>
      </x:c>
      <x:c r="T726" s="48" t="str">
        <x:v>CONTROL_BUYOUT:N=21,p=1.000; GROWTH_CONTROL_HYBRID:N=6,p=1.000</x:v>
      </x:c>
      <x:c r="U726" s="48" t="str">
        <x:v>Maximum-minus-minimum prevalence among adequately observed groups is no more than 0.15.</x:v>
      </x:c>
      <x:c r="V726" s="48" t="str">
        <x:v>At least 5 observable manager families in at least 2 driver groups</x:v>
      </x:c>
      <x:c r="W726" s="48" t="str">
        <x:v>&gt;=0.35 separates; &lt;=0.15 does not separate; intermediate is inconclusive/confounded; direct driver-definition tests are CIRCULAR</x:v>
      </x:c>
      <x:c r="X726" s="48" t="str">
        <x:v>MANAGER_SELF_DESCRIPTION; NOT BEHAVIOURAL FREQUENCY</x:v>
      </x:c>
    </x:row>
    <x:row r="727">
      <x:c r="A727" s="48" t="str">
        <x:v>B_GOVERNANCE_SEGMENTATION</x:v>
      </x:c>
      <x:c r="B727" s="48" t="str">
        <x:v>Tier B v1.1 - N=29 rerun</x:v>
      </x:c>
      <x:c r="C727" s="48" t="str">
        <x:v>2026-07-16</x:v>
      </x:c>
      <x:c r="D727" s="48" t="str">
        <x:v>S01</x:v>
      </x:c>
      <x:c r="E727" s="48" t="str">
        <x:v>SOURCING_STRATEGY</x:v>
      </x:c>
      <x:c r="F727" s="48" t="str">
        <x:v>Thematic work can precede a live opportunity</x:v>
      </x:c>
      <x:c r="G727" s="48" t="str">
        <x:v>strategy</x:v>
      </x:c>
      <x:c r="H727" s="48" t="str">
        <x:v>GROWTH_CONTROL_HYBRID</x:v>
      </x:c>
      <x:c r="I727" s="48" t="str">
        <x:v>6</x:v>
      </x:c>
      <x:c r="J727" s="48" t="str">
        <x:v>6</x:v>
      </x:c>
      <x:c r="K727" s="48" t="str">
        <x:v>0</x:v>
      </x:c>
      <x:c r="L727" s="48" t="str">
        <x:v>0</x:v>
      </x:c>
      <x:c r="M727" s="48" t="str">
        <x:v>6</x:v>
      </x:c>
      <x:c r="N727" s="48" t="str">
        <x:v>0</x:v>
      </x:c>
      <x:c r="O727" s="48" t="str">
        <x:v>0</x:v>
      </x:c>
      <x:c r="P727" s="48" t="str">
        <x:v>0</x:v>
      </x:c>
      <x:c r="Q727" s="48" t="str">
        <x:v>1.000</x:v>
      </x:c>
      <x:c r="R727" s="48" t="str">
        <x:v>DRIVER DOES NOT SEPARATE</x:v>
      </x:c>
      <x:c r="S727" s="48" t="str">
        <x:v>0.000</x:v>
      </x:c>
      <x:c r="T727" s="48" t="str">
        <x:v>CONTROL_BUYOUT:N=21,p=1.000; GROWTH_CONTROL_HYBRID:N=6,p=1.000</x:v>
      </x:c>
      <x:c r="U727" s="48" t="str">
        <x:v>Maximum-minus-minimum prevalence among adequately observed groups is no more than 0.15.</x:v>
      </x:c>
      <x:c r="V727" s="48" t="str">
        <x:v>At least 5 observable manager families in at least 2 driver groups</x:v>
      </x:c>
      <x:c r="W727" s="48" t="str">
        <x:v>&gt;=0.35 separates; &lt;=0.15 does not separate; intermediate is inconclusive/confounded; direct driver-definition tests are CIRCULAR</x:v>
      </x:c>
      <x:c r="X727" s="48" t="str">
        <x:v>MANAGER_SELF_DESCRIPTION; NOT BEHAVIOURAL FREQUENCY</x:v>
      </x:c>
    </x:row>
    <x:row r="728">
      <x:c r="A728" s="48" t="str">
        <x:v>B_GOVERNANCE_SEGMENTATION</x:v>
      </x:c>
      <x:c r="B728" s="48" t="str">
        <x:v>Tier B v1.1 - N=29 rerun</x:v>
      </x:c>
      <x:c r="C728" s="48" t="str">
        <x:v>2026-07-16</x:v>
      </x:c>
      <x:c r="D728" s="48" t="str">
        <x:v>S01</x:v>
      </x:c>
      <x:c r="E728" s="48" t="str">
        <x:v>SOURCING_STRATEGY</x:v>
      </x:c>
      <x:c r="F728" s="48" t="str">
        <x:v>Thematic work can precede a live opportunity</x:v>
      </x:c>
      <x:c r="G728" s="48" t="str">
        <x:v>strategy</x:v>
      </x:c>
      <x:c r="H728" s="48" t="str">
        <x:v>OPPORTUNISTIC_CONTROL</x:v>
      </x:c>
      <x:c r="I728" s="48" t="str">
        <x:v>1</x:v>
      </x:c>
      <x:c r="J728" s="48" t="str">
        <x:v>1</x:v>
      </x:c>
      <x:c r="K728" s="48" t="str">
        <x:v>0</x:v>
      </x:c>
      <x:c r="L728" s="48" t="str">
        <x:v>0</x:v>
      </x:c>
      <x:c r="M728" s="48" t="str">
        <x:v>1</x:v>
      </x:c>
      <x:c r="N728" s="48" t="str">
        <x:v>0</x:v>
      </x:c>
      <x:c r="O728" s="48" t="str">
        <x:v>0</x:v>
      </x:c>
      <x:c r="P728" s="48" t="str">
        <x:v>0</x:v>
      </x:c>
      <x:c r="Q728" s="48" t="str">
        <x:v>1.000</x:v>
      </x:c>
      <x:c r="R728" s="48" t="str">
        <x:v>DRIVER DOES NOT SEPARATE</x:v>
      </x:c>
      <x:c r="S728" s="48" t="str">
        <x:v>0.000</x:v>
      </x:c>
      <x:c r="T728" s="48" t="str">
        <x:v>CONTROL_BUYOUT:N=21,p=1.000; GROWTH_CONTROL_HYBRID:N=6,p=1.000</x:v>
      </x:c>
      <x:c r="U728" s="48" t="str">
        <x:v>Maximum-minus-minimum prevalence among adequately observed groups is no more than 0.15.</x:v>
      </x:c>
      <x:c r="V728" s="48" t="str">
        <x:v>At least 5 observable manager families in at least 2 driver groups</x:v>
      </x:c>
      <x:c r="W728" s="48" t="str">
        <x:v>&gt;=0.35 separates; &lt;=0.15 does not separate; intermediate is inconclusive/confounded; direct driver-definition tests are CIRCULAR</x:v>
      </x:c>
      <x:c r="X728" s="48" t="str">
        <x:v>MANAGER_SELF_DESCRIPTION; NOT BEHAVIOURAL FREQUENCY</x:v>
      </x:c>
    </x:row>
    <x:row r="729">
      <x:c r="A729" s="48" t="str">
        <x:v>B_GOVERNANCE_SEGMENTATION</x:v>
      </x:c>
      <x:c r="B729" s="48" t="str">
        <x:v>Tier B v1.1 - N=29 rerun</x:v>
      </x:c>
      <x:c r="C729" s="48" t="str">
        <x:v>2026-07-16</x:v>
      </x:c>
      <x:c r="D729" s="48" t="str">
        <x:v>S01</x:v>
      </x:c>
      <x:c r="E729" s="48" t="str">
        <x:v>SOURCING_STRATEGY</x:v>
      </x:c>
      <x:c r="F729" s="48" t="str">
        <x:v>Thematic work can precede a live opportunity</x:v>
      </x:c>
      <x:c r="G729" s="48" t="str">
        <x:v>geography</x:v>
      </x:c>
      <x:c r="H729" s="48" t="str">
        <x:v>ASIA_PACIFIC</x:v>
      </x:c>
      <x:c r="I729" s="48" t="str">
        <x:v>4</x:v>
      </x:c>
      <x:c r="J729" s="48" t="str">
        <x:v>3</x:v>
      </x:c>
      <x:c r="K729" s="48" t="str">
        <x:v>0</x:v>
      </x:c>
      <x:c r="L729" s="48" t="str">
        <x:v>0</x:v>
      </x:c>
      <x:c r="M729" s="48" t="str">
        <x:v>3</x:v>
      </x:c>
      <x:c r="N729" s="48" t="str">
        <x:v>1</x:v>
      </x:c>
      <x:c r="O729" s="48" t="str">
        <x:v>0</x:v>
      </x:c>
      <x:c r="P729" s="48" t="str">
        <x:v>0</x:v>
      </x:c>
      <x:c r="Q729" s="48" t="str">
        <x:v>1.000</x:v>
      </x:c>
      <x:c r="R729" s="48" t="str">
        <x:v>DRIVER DOES NOT SEPARATE</x:v>
      </x:c>
      <x:c r="S729" s="48" t="str">
        <x:v>0.000</x:v>
      </x:c>
      <x:c r="T729" s="48" t="str">
        <x:v>GLOBAL_TRANSATLANTIC:N=10,p=1.000; NORTH_AMERICA:N=13,p=1.000</x:v>
      </x:c>
      <x:c r="U729" s="48" t="str">
        <x:v>Maximum-minus-minimum prevalence among adequately observed groups is no more than 0.15.</x:v>
      </x:c>
      <x:c r="V729" s="48" t="str">
        <x:v>At least 5 observable manager families in at least 2 driver groups</x:v>
      </x:c>
      <x:c r="W729" s="48" t="str">
        <x:v>&gt;=0.35 separates; &lt;=0.15 does not separate; intermediate is inconclusive/confounded; direct driver-definition tests are CIRCULAR</x:v>
      </x:c>
      <x:c r="X729" s="48" t="str">
        <x:v>MANAGER_SELF_DESCRIPTION; NOT BEHAVIOURAL FREQUENCY</x:v>
      </x:c>
    </x:row>
    <x:row r="730">
      <x:c r="A730" s="48" t="str">
        <x:v>B_GOVERNANCE_SEGMENTATION</x:v>
      </x:c>
      <x:c r="B730" s="48" t="str">
        <x:v>Tier B v1.1 - N=29 rerun</x:v>
      </x:c>
      <x:c r="C730" s="48" t="str">
        <x:v>2026-07-16</x:v>
      </x:c>
      <x:c r="D730" s="48" t="str">
        <x:v>S01</x:v>
      </x:c>
      <x:c r="E730" s="48" t="str">
        <x:v>SOURCING_STRATEGY</x:v>
      </x:c>
      <x:c r="F730" s="48" t="str">
        <x:v>Thematic work can precede a live opportunity</x:v>
      </x:c>
      <x:c r="G730" s="48" t="str">
        <x:v>geography</x:v>
      </x:c>
      <x:c r="H730" s="48" t="str">
        <x:v>EUROPE</x:v>
      </x:c>
      <x:c r="I730" s="48" t="str">
        <x:v>2</x:v>
      </x:c>
      <x:c r="J730" s="48" t="str">
        <x:v>2</x:v>
      </x:c>
      <x:c r="K730" s="48" t="str">
        <x:v>0</x:v>
      </x:c>
      <x:c r="L730" s="48" t="str">
        <x:v>0</x:v>
      </x:c>
      <x:c r="M730" s="48" t="str">
        <x:v>2</x:v>
      </x:c>
      <x:c r="N730" s="48" t="str">
        <x:v>0</x:v>
      </x:c>
      <x:c r="O730" s="48" t="str">
        <x:v>0</x:v>
      </x:c>
      <x:c r="P730" s="48" t="str">
        <x:v>0</x:v>
      </x:c>
      <x:c r="Q730" s="48" t="str">
        <x:v>1.000</x:v>
      </x:c>
      <x:c r="R730" s="48" t="str">
        <x:v>DRIVER DOES NOT SEPARATE</x:v>
      </x:c>
      <x:c r="S730" s="48" t="str">
        <x:v>0.000</x:v>
      </x:c>
      <x:c r="T730" s="48" t="str">
        <x:v>GLOBAL_TRANSATLANTIC:N=10,p=1.000; NORTH_AMERICA:N=13,p=1.000</x:v>
      </x:c>
      <x:c r="U730" s="48" t="str">
        <x:v>Maximum-minus-minimum prevalence among adequately observed groups is no more than 0.15.</x:v>
      </x:c>
      <x:c r="V730" s="48" t="str">
        <x:v>At least 5 observable manager families in at least 2 driver groups</x:v>
      </x:c>
      <x:c r="W730" s="48" t="str">
        <x:v>&gt;=0.35 separates; &lt;=0.15 does not separate; intermediate is inconclusive/confounded; direct driver-definition tests are CIRCULAR</x:v>
      </x:c>
      <x:c r="X730" s="48" t="str">
        <x:v>MANAGER_SELF_DESCRIPTION; NOT BEHAVIOURAL FREQUENCY</x:v>
      </x:c>
    </x:row>
    <x:row r="731">
      <x:c r="A731" s="48" t="str">
        <x:v>B_GOVERNANCE_SEGMENTATION</x:v>
      </x:c>
      <x:c r="B731" s="48" t="str">
        <x:v>Tier B v1.1 - N=29 rerun</x:v>
      </x:c>
      <x:c r="C731" s="48" t="str">
        <x:v>2026-07-16</x:v>
      </x:c>
      <x:c r="D731" s="48" t="str">
        <x:v>S01</x:v>
      </x:c>
      <x:c r="E731" s="48" t="str">
        <x:v>SOURCING_STRATEGY</x:v>
      </x:c>
      <x:c r="F731" s="48" t="str">
        <x:v>Thematic work can precede a live opportunity</x:v>
      </x:c>
      <x:c r="G731" s="48" t="str">
        <x:v>geography</x:v>
      </x:c>
      <x:c r="H731" s="48" t="str">
        <x:v>GLOBAL_TRANSATLANTIC</x:v>
      </x:c>
      <x:c r="I731" s="48" t="str">
        <x:v>10</x:v>
      </x:c>
      <x:c r="J731" s="48" t="str">
        <x:v>10</x:v>
      </x:c>
      <x:c r="K731" s="48" t="str">
        <x:v>0</x:v>
      </x:c>
      <x:c r="L731" s="48" t="str">
        <x:v>0</x:v>
      </x:c>
      <x:c r="M731" s="48" t="str">
        <x:v>10</x:v>
      </x:c>
      <x:c r="N731" s="48" t="str">
        <x:v>0</x:v>
      </x:c>
      <x:c r="O731" s="48" t="str">
        <x:v>0</x:v>
      </x:c>
      <x:c r="P731" s="48" t="str">
        <x:v>0</x:v>
      </x:c>
      <x:c r="Q731" s="48" t="str">
        <x:v>1.000</x:v>
      </x:c>
      <x:c r="R731" s="48" t="str">
        <x:v>DRIVER DOES NOT SEPARATE</x:v>
      </x:c>
      <x:c r="S731" s="48" t="str">
        <x:v>0.000</x:v>
      </x:c>
      <x:c r="T731" s="48" t="str">
        <x:v>GLOBAL_TRANSATLANTIC:N=10,p=1.000; NORTH_AMERICA:N=13,p=1.000</x:v>
      </x:c>
      <x:c r="U731" s="48" t="str">
        <x:v>Maximum-minus-minimum prevalence among adequately observed groups is no more than 0.15.</x:v>
      </x:c>
      <x:c r="V731" s="48" t="str">
        <x:v>At least 5 observable manager families in at least 2 driver groups</x:v>
      </x:c>
      <x:c r="W731" s="48" t="str">
        <x:v>&gt;=0.35 separates; &lt;=0.15 does not separate; intermediate is inconclusive/confounded; direct driver-definition tests are CIRCULAR</x:v>
      </x:c>
      <x:c r="X731" s="48" t="str">
        <x:v>MANAGER_SELF_DESCRIPTION; NOT BEHAVIOURAL FREQUENCY</x:v>
      </x:c>
    </x:row>
    <x:row r="732">
      <x:c r="A732" s="48" t="str">
        <x:v>B_GOVERNANCE_SEGMENTATION</x:v>
      </x:c>
      <x:c r="B732" s="48" t="str">
        <x:v>Tier B v1.1 - N=29 rerun</x:v>
      </x:c>
      <x:c r="C732" s="48" t="str">
        <x:v>2026-07-16</x:v>
      </x:c>
      <x:c r="D732" s="48" t="str">
        <x:v>S01</x:v>
      </x:c>
      <x:c r="E732" s="48" t="str">
        <x:v>SOURCING_STRATEGY</x:v>
      </x:c>
      <x:c r="F732" s="48" t="str">
        <x:v>Thematic work can precede a live opportunity</x:v>
      </x:c>
      <x:c r="G732" s="48" t="str">
        <x:v>geography</x:v>
      </x:c>
      <x:c r="H732" s="48" t="str">
        <x:v>NORTH_AMERICA</x:v>
      </x:c>
      <x:c r="I732" s="48" t="str">
        <x:v>13</x:v>
      </x:c>
      <x:c r="J732" s="48" t="str">
        <x:v>13</x:v>
      </x:c>
      <x:c r="K732" s="48" t="str">
        <x:v>0</x:v>
      </x:c>
      <x:c r="L732" s="48" t="str">
        <x:v>0</x:v>
      </x:c>
      <x:c r="M732" s="48" t="str">
        <x:v>13</x:v>
      </x:c>
      <x:c r="N732" s="48" t="str">
        <x:v>0</x:v>
      </x:c>
      <x:c r="O732" s="48" t="str">
        <x:v>0</x:v>
      </x:c>
      <x:c r="P732" s="48" t="str">
        <x:v>0</x:v>
      </x:c>
      <x:c r="Q732" s="48" t="str">
        <x:v>1.000</x:v>
      </x:c>
      <x:c r="R732" s="48" t="str">
        <x:v>DRIVER DOES NOT SEPARATE</x:v>
      </x:c>
      <x:c r="S732" s="48" t="str">
        <x:v>0.000</x:v>
      </x:c>
      <x:c r="T732" s="48" t="str">
        <x:v>GLOBAL_TRANSATLANTIC:N=10,p=1.000; NORTH_AMERICA:N=13,p=1.000</x:v>
      </x:c>
      <x:c r="U732" s="48" t="str">
        <x:v>Maximum-minus-minimum prevalence among adequately observed groups is no more than 0.15.</x:v>
      </x:c>
      <x:c r="V732" s="48" t="str">
        <x:v>At least 5 observable manager families in at least 2 driver groups</x:v>
      </x:c>
      <x:c r="W732" s="48" t="str">
        <x:v>&gt;=0.35 separates; &lt;=0.15 does not separate; intermediate is inconclusive/confounded; direct driver-definition tests are CIRCULAR</x:v>
      </x:c>
      <x:c r="X732" s="48" t="str">
        <x:v>MANAGER_SELF_DESCRIPTION; NOT BEHAVIOURAL FREQUENCY</x:v>
      </x:c>
    </x:row>
    <x:row r="733">
      <x:c r="A733" s="48" t="str">
        <x:v>B_GOVERNANCE_SEGMENTATION</x:v>
      </x:c>
      <x:c r="B733" s="48" t="str">
        <x:v>Tier B v1.1 - N=29 rerun</x:v>
      </x:c>
      <x:c r="C733" s="48" t="str">
        <x:v>2026-07-16</x:v>
      </x:c>
      <x:c r="D733" s="48" t="str">
        <x:v>S01</x:v>
      </x:c>
      <x:c r="E733" s="48" t="str">
        <x:v>SOURCING_STRATEGY</x:v>
      </x:c>
      <x:c r="F733" s="48" t="str">
        <x:v>Thematic work can precede a live opportunity</x:v>
      </x:c>
      <x:c r="G733" s="48" t="str">
        <x:v>source_vintage_bin</x:v>
      </x:c>
      <x:c r="H733" s="48" t="str">
        <x:v>2018_2020</x:v>
      </x:c>
      <x:c r="I733" s="48" t="str">
        <x:v>6</x:v>
      </x:c>
      <x:c r="J733" s="48" t="str">
        <x:v>6</x:v>
      </x:c>
      <x:c r="K733" s="48" t="str">
        <x:v>0</x:v>
      </x:c>
      <x:c r="L733" s="48" t="str">
        <x:v>0</x:v>
      </x:c>
      <x:c r="M733" s="48" t="str">
        <x:v>6</x:v>
      </x:c>
      <x:c r="N733" s="48" t="str">
        <x:v>0</x:v>
      </x:c>
      <x:c r="O733" s="48" t="str">
        <x:v>0</x:v>
      </x:c>
      <x:c r="P733" s="48" t="str">
        <x:v>0</x:v>
      </x:c>
      <x:c r="Q733" s="48" t="str">
        <x:v>1.000</x:v>
      </x:c>
      <x:c r="R733" s="48" t="str">
        <x:v>DRIVER DOES NOT SEPARATE</x:v>
      </x:c>
      <x:c r="S733" s="48" t="str">
        <x:v>0.000</x:v>
      </x:c>
      <x:c r="T733" s="48" t="str">
        <x:v>2018_2020:N=6,p=1.000; 2021_2023:N=11,p=1.000; 2024_2026:N=11,p=1.000</x:v>
      </x:c>
      <x:c r="U733" s="48" t="str">
        <x:v>Maximum-minus-minimum prevalence among adequately observed groups is no more than 0.15.</x:v>
      </x:c>
      <x:c r="V733" s="48" t="str">
        <x:v>At least 5 observable manager families in at least 2 driver groups</x:v>
      </x:c>
      <x:c r="W733" s="48" t="str">
        <x:v>&gt;=0.35 separates; &lt;=0.15 does not separate; intermediate is inconclusive/confounded; direct driver-definition tests are CIRCULAR</x:v>
      </x:c>
      <x:c r="X733" s="48" t="str">
        <x:v>MANAGER_SELF_DESCRIPTION; NOT BEHAVIOURAL FREQUENCY</x:v>
      </x:c>
    </x:row>
    <x:row r="734">
      <x:c r="A734" s="48" t="str">
        <x:v>B_GOVERNANCE_SEGMENTATION</x:v>
      </x:c>
      <x:c r="B734" s="48" t="str">
        <x:v>Tier B v1.1 - N=29 rerun</x:v>
      </x:c>
      <x:c r="C734" s="48" t="str">
        <x:v>2026-07-16</x:v>
      </x:c>
      <x:c r="D734" s="48" t="str">
        <x:v>S01</x:v>
      </x:c>
      <x:c r="E734" s="48" t="str">
        <x:v>SOURCING_STRATEGY</x:v>
      </x:c>
      <x:c r="F734" s="48" t="str">
        <x:v>Thematic work can precede a live opportunity</x:v>
      </x:c>
      <x:c r="G734" s="48" t="str">
        <x:v>source_vintage_bin</x:v>
      </x:c>
      <x:c r="H734" s="48" t="str">
        <x:v>2021_2023</x:v>
      </x:c>
      <x:c r="I734" s="48" t="str">
        <x:v>11</x:v>
      </x:c>
      <x:c r="J734" s="48" t="str">
        <x:v>11</x:v>
      </x:c>
      <x:c r="K734" s="48" t="str">
        <x:v>0</x:v>
      </x:c>
      <x:c r="L734" s="48" t="str">
        <x:v>0</x:v>
      </x:c>
      <x:c r="M734" s="48" t="str">
        <x:v>11</x:v>
      </x:c>
      <x:c r="N734" s="48" t="str">
        <x:v>0</x:v>
      </x:c>
      <x:c r="O734" s="48" t="str">
        <x:v>0</x:v>
      </x:c>
      <x:c r="P734" s="48" t="str">
        <x:v>0</x:v>
      </x:c>
      <x:c r="Q734" s="48" t="str">
        <x:v>1.000</x:v>
      </x:c>
      <x:c r="R734" s="48" t="str">
        <x:v>DRIVER DOES NOT SEPARATE</x:v>
      </x:c>
      <x:c r="S734" s="48" t="str">
        <x:v>0.000</x:v>
      </x:c>
      <x:c r="T734" s="48" t="str">
        <x:v>2018_2020:N=6,p=1.000; 2021_2023:N=11,p=1.000; 2024_2026:N=11,p=1.000</x:v>
      </x:c>
      <x:c r="U734" s="48" t="str">
        <x:v>Maximum-minus-minimum prevalence among adequately observed groups is no more than 0.15.</x:v>
      </x:c>
      <x:c r="V734" s="48" t="str">
        <x:v>At least 5 observable manager families in at least 2 driver groups</x:v>
      </x:c>
      <x:c r="W734" s="48" t="str">
        <x:v>&gt;=0.35 separates; &lt;=0.15 does not separate; intermediate is inconclusive/confounded; direct driver-definition tests are CIRCULAR</x:v>
      </x:c>
      <x:c r="X734" s="48" t="str">
        <x:v>MANAGER_SELF_DESCRIPTION; NOT BEHAVIOURAL FREQUENCY</x:v>
      </x:c>
    </x:row>
    <x:row r="735">
      <x:c r="A735" s="48" t="str">
        <x:v>B_GOVERNANCE_SEGMENTATION</x:v>
      </x:c>
      <x:c r="B735" s="48" t="str">
        <x:v>Tier B v1.1 - N=29 rerun</x:v>
      </x:c>
      <x:c r="C735" s="48" t="str">
        <x:v>2026-07-16</x:v>
      </x:c>
      <x:c r="D735" s="48" t="str">
        <x:v>S01</x:v>
      </x:c>
      <x:c r="E735" s="48" t="str">
        <x:v>SOURCING_STRATEGY</x:v>
      </x:c>
      <x:c r="F735" s="48" t="str">
        <x:v>Thematic work can precede a live opportunity</x:v>
      </x:c>
      <x:c r="G735" s="48" t="str">
        <x:v>source_vintage_bin</x:v>
      </x:c>
      <x:c r="H735" s="48" t="str">
        <x:v>2024_2026</x:v>
      </x:c>
      <x:c r="I735" s="48" t="str">
        <x:v>12</x:v>
      </x:c>
      <x:c r="J735" s="48" t="str">
        <x:v>11</x:v>
      </x:c>
      <x:c r="K735" s="48" t="str">
        <x:v>0</x:v>
      </x:c>
      <x:c r="L735" s="48" t="str">
        <x:v>0</x:v>
      </x:c>
      <x:c r="M735" s="48" t="str">
        <x:v>11</x:v>
      </x:c>
      <x:c r="N735" s="48" t="str">
        <x:v>1</x:v>
      </x:c>
      <x:c r="O735" s="48" t="str">
        <x:v>0</x:v>
      </x:c>
      <x:c r="P735" s="48" t="str">
        <x:v>0</x:v>
      </x:c>
      <x:c r="Q735" s="48" t="str">
        <x:v>1.000</x:v>
      </x:c>
      <x:c r="R735" s="48" t="str">
        <x:v>DRIVER DOES NOT SEPARATE</x:v>
      </x:c>
      <x:c r="S735" s="48" t="str">
        <x:v>0.000</x:v>
      </x:c>
      <x:c r="T735" s="48" t="str">
        <x:v>2018_2020:N=6,p=1.000; 2021_2023:N=11,p=1.000; 2024_2026:N=11,p=1.000</x:v>
      </x:c>
      <x:c r="U735" s="48" t="str">
        <x:v>Maximum-minus-minimum prevalence among adequately observed groups is no more than 0.15.</x:v>
      </x:c>
      <x:c r="V735" s="48" t="str">
        <x:v>At least 5 observable manager families in at least 2 driver groups</x:v>
      </x:c>
      <x:c r="W735" s="48" t="str">
        <x:v>&gt;=0.35 separates; &lt;=0.15 does not separate; intermediate is inconclusive/confounded; direct driver-definition tests are CIRCULAR</x:v>
      </x:c>
      <x:c r="X735" s="48" t="str">
        <x:v>MANAGER_SELF_DESCRIPTION; NOT BEHAVIOURAL FREQUENCY</x:v>
      </x:c>
    </x:row>
    <x:row r="736">
      <x:c r="A736" s="48" t="str">
        <x:v>B_GOVERNANCE_SEGMENTATION</x:v>
      </x:c>
      <x:c r="B736" s="48" t="str">
        <x:v>Tier B v1.1 - N=29 rerun</x:v>
      </x:c>
      <x:c r="C736" s="48" t="str">
        <x:v>2026-07-16</x:v>
      </x:c>
      <x:c r="D736" s="48" t="str">
        <x:v>S01</x:v>
      </x:c>
      <x:c r="E736" s="48" t="str">
        <x:v>SOURCING_STRATEGY</x:v>
      </x:c>
      <x:c r="F736" s="48" t="str">
        <x:v>Thematic work can precede a live opportunity</x:v>
      </x:c>
      <x:c r="G736" s="48" t="str">
        <x:v>governance_architecture</x:v>
      </x:c>
      <x:c r="H736" s="48" t="str">
        <x:v>IC_FINAL_OR_DE_FACTO</x:v>
      </x:c>
      <x:c r="I736" s="48" t="str">
        <x:v>26</x:v>
      </x:c>
      <x:c r="J736" s="48" t="str">
        <x:v>25</x:v>
      </x:c>
      <x:c r="K736" s="48" t="str">
        <x:v>0</x:v>
      </x:c>
      <x:c r="L736" s="48" t="str">
        <x:v>0</x:v>
      </x:c>
      <x:c r="M736" s="48" t="str">
        <x:v>25</x:v>
      </x:c>
      <x:c r="N736" s="48" t="str">
        <x:v>1</x:v>
      </x:c>
      <x:c r="O736" s="48" t="str">
        <x:v>0</x:v>
      </x:c>
      <x:c r="P736" s="48" t="str">
        <x:v>0</x:v>
      </x:c>
      <x:c r="Q736" s="48" t="str">
        <x:v>1.000</x:v>
      </x:c>
      <x:c r="R736" s="48" t="str">
        <x:v>N TOO SMALL</x:v>
      </x:c>
      <x:c r="S736" s="48" t="str"/>
      <x:c r="T736" s="48" t="str">
        <x:v>IC_FINAL_OR_DE_FACTO:N=25,p=1.000</x:v>
      </x:c>
      <x:c r="U736" s="48" t="str">
        <x:v>Fewer than two driver groups have at least 5 observable manager families.</x:v>
      </x:c>
      <x:c r="V736" s="48" t="str">
        <x:v>At least 5 observable manager families in at least 2 driver groups</x:v>
      </x:c>
      <x:c r="W736" s="48" t="str">
        <x:v>&gt;=0.35 separates; &lt;=0.15 does not separate; intermediate is inconclusive/confounded; direct driver-definition tests are CIRCULAR</x:v>
      </x:c>
      <x:c r="X736" s="48" t="str">
        <x:v>MANAGER_SELF_DESCRIPTION; NOT BEHAVIOURAL FREQUENCY</x:v>
      </x:c>
    </x:row>
    <x:row r="737">
      <x:c r="A737" s="48" t="str">
        <x:v>B_GOVERNANCE_SEGMENTATION</x:v>
      </x:c>
      <x:c r="B737" s="48" t="str">
        <x:v>Tier B v1.1 - N=29 rerun</x:v>
      </x:c>
      <x:c r="C737" s="48" t="str">
        <x:v>2026-07-16</x:v>
      </x:c>
      <x:c r="D737" s="48" t="str">
        <x:v>S01</x:v>
      </x:c>
      <x:c r="E737" s="48" t="str">
        <x:v>SOURCING_STRATEGY</x:v>
      </x:c>
      <x:c r="F737" s="48" t="str">
        <x:v>Thematic work can precede a live opportunity</x:v>
      </x:c>
      <x:c r="G737" s="48" t="str">
        <x:v>governance_architecture</x:v>
      </x:c>
      <x:c r="H737" s="48" t="str">
        <x:v>IC_RECOMMENDS_SEPARATE_FINAL_AUTHORITY</x:v>
      </x:c>
      <x:c r="I737" s="48" t="str">
        <x:v>3</x:v>
      </x:c>
      <x:c r="J737" s="48" t="str">
        <x:v>3</x:v>
      </x:c>
      <x:c r="K737" s="48" t="str">
        <x:v>0</x:v>
      </x:c>
      <x:c r="L737" s="48" t="str">
        <x:v>0</x:v>
      </x:c>
      <x:c r="M737" s="48" t="str">
        <x:v>3</x:v>
      </x:c>
      <x:c r="N737" s="48" t="str">
        <x:v>0</x:v>
      </x:c>
      <x:c r="O737" s="48" t="str">
        <x:v>0</x:v>
      </x:c>
      <x:c r="P737" s="48" t="str">
        <x:v>0</x:v>
      </x:c>
      <x:c r="Q737" s="48" t="str">
        <x:v>1.000</x:v>
      </x:c>
      <x:c r="R737" s="48" t="str">
        <x:v>N TOO SMALL</x:v>
      </x:c>
      <x:c r="S737" s="48" t="str"/>
      <x:c r="T737" s="48" t="str">
        <x:v>IC_FINAL_OR_DE_FACTO:N=25,p=1.000</x:v>
      </x:c>
      <x:c r="U737" s="48" t="str">
        <x:v>Fewer than two driver groups have at least 5 observable manager families.</x:v>
      </x:c>
      <x:c r="V737" s="48" t="str">
        <x:v>At least 5 observable manager families in at least 2 driver groups</x:v>
      </x:c>
      <x:c r="W737" s="48" t="str">
        <x:v>&gt;=0.35 separates; &lt;=0.15 does not separate; intermediate is inconclusive/confounded; direct driver-definition tests are CIRCULAR</x:v>
      </x:c>
      <x:c r="X737" s="48" t="str">
        <x:v>MANAGER_SELF_DESCRIPTION; NOT BEHAVIOURAL FREQUENCY</x:v>
      </x:c>
    </x:row>
    <x:row r="738">
      <x:c r="A738" s="48" t="str">
        <x:v>B_GOVERNANCE_SEGMENTATION</x:v>
      </x:c>
      <x:c r="B738" s="48" t="str">
        <x:v>Tier B v1.1 - N=29 rerun</x:v>
      </x:c>
      <x:c r="C738" s="48" t="str">
        <x:v>2026-07-16</x:v>
      </x:c>
      <x:c r="D738" s="48" t="str">
        <x:v>S01</x:v>
      </x:c>
      <x:c r="E738" s="48" t="str">
        <x:v>SOURCING_STRATEGY</x:v>
      </x:c>
      <x:c r="F738" s="48" t="str">
        <x:v>Thematic work can precede a live opportunity</x:v>
      </x:c>
      <x:c r="G738" s="48" t="str">
        <x:v>dedicated_operating_team</x:v>
      </x:c>
      <x:c r="H738" s="48" t="str">
        <x:v>NO_OR_LIMITED</x:v>
      </x:c>
      <x:c r="I738" s="48" t="str">
        <x:v>6</x:v>
      </x:c>
      <x:c r="J738" s="48" t="str">
        <x:v>5</x:v>
      </x:c>
      <x:c r="K738" s="48" t="str">
        <x:v>0</x:v>
      </x:c>
      <x:c r="L738" s="48" t="str">
        <x:v>0</x:v>
      </x:c>
      <x:c r="M738" s="48" t="str">
        <x:v>5</x:v>
      </x:c>
      <x:c r="N738" s="48" t="str">
        <x:v>1</x:v>
      </x:c>
      <x:c r="O738" s="48" t="str">
        <x:v>0</x:v>
      </x:c>
      <x:c r="P738" s="48" t="str">
        <x:v>0</x:v>
      </x:c>
      <x:c r="Q738" s="48" t="str">
        <x:v>1.000</x:v>
      </x:c>
      <x:c r="R738" s="48" t="str">
        <x:v>DRIVER DOES NOT SEPARATE</x:v>
      </x:c>
      <x:c r="S738" s="48" t="str">
        <x:v>0.000</x:v>
      </x:c>
      <x:c r="T738" s="48" t="str">
        <x:v>NO_OR_LIMITED:N=5,p=1.000; YES_DEDICATED:N=23,p=1.000</x:v>
      </x:c>
      <x:c r="U738" s="48" t="str">
        <x:v>Maximum-minus-minimum prevalence among adequately observed groups is no more than 0.15.</x:v>
      </x:c>
      <x:c r="V738" s="48" t="str">
        <x:v>At least 5 observable manager families in at least 2 driver groups</x:v>
      </x:c>
      <x:c r="W738" s="48" t="str">
        <x:v>&gt;=0.35 separates; &lt;=0.15 does not separate; intermediate is inconclusive/confounded; direct driver-definition tests are CIRCULAR</x:v>
      </x:c>
      <x:c r="X738" s="48" t="str">
        <x:v>MANAGER_SELF_DESCRIPTION; NOT BEHAVIOURAL FREQUENCY</x:v>
      </x:c>
    </x:row>
    <x:row r="739">
      <x:c r="A739" s="48" t="str">
        <x:v>B_GOVERNANCE_SEGMENTATION</x:v>
      </x:c>
      <x:c r="B739" s="48" t="str">
        <x:v>Tier B v1.1 - N=29 rerun</x:v>
      </x:c>
      <x:c r="C739" s="48" t="str">
        <x:v>2026-07-16</x:v>
      </x:c>
      <x:c r="D739" s="48" t="str">
        <x:v>S01</x:v>
      </x:c>
      <x:c r="E739" s="48" t="str">
        <x:v>SOURCING_STRATEGY</x:v>
      </x:c>
      <x:c r="F739" s="48" t="str">
        <x:v>Thematic work can precede a live opportunity</x:v>
      </x:c>
      <x:c r="G739" s="48" t="str">
        <x:v>dedicated_operating_team</x:v>
      </x:c>
      <x:c r="H739" s="48" t="str">
        <x:v>YES_DEDICATED</x:v>
      </x:c>
      <x:c r="I739" s="48" t="str">
        <x:v>23</x:v>
      </x:c>
      <x:c r="J739" s="48" t="str">
        <x:v>23</x:v>
      </x:c>
      <x:c r="K739" s="48" t="str">
        <x:v>0</x:v>
      </x:c>
      <x:c r="L739" s="48" t="str">
        <x:v>0</x:v>
      </x:c>
      <x:c r="M739" s="48" t="str">
        <x:v>23</x:v>
      </x:c>
      <x:c r="N739" s="48" t="str">
        <x:v>0</x:v>
      </x:c>
      <x:c r="O739" s="48" t="str">
        <x:v>0</x:v>
      </x:c>
      <x:c r="P739" s="48" t="str">
        <x:v>0</x:v>
      </x:c>
      <x:c r="Q739" s="48" t="str">
        <x:v>1.000</x:v>
      </x:c>
      <x:c r="R739" s="48" t="str">
        <x:v>DRIVER DOES NOT SEPARATE</x:v>
      </x:c>
      <x:c r="S739" s="48" t="str">
        <x:v>0.000</x:v>
      </x:c>
      <x:c r="T739" s="48" t="str">
        <x:v>NO_OR_LIMITED:N=5,p=1.000; YES_DEDICATED:N=23,p=1.000</x:v>
      </x:c>
      <x:c r="U739" s="48" t="str">
        <x:v>Maximum-minus-minimum prevalence among adequately observed groups is no more than 0.15.</x:v>
      </x:c>
      <x:c r="V739" s="48" t="str">
        <x:v>At least 5 observable manager families in at least 2 driver groups</x:v>
      </x:c>
      <x:c r="W739" s="48" t="str">
        <x:v>&gt;=0.35 separates; &lt;=0.15 does not separate; intermediate is inconclusive/confounded; direct driver-definition tests are CIRCULAR</x:v>
      </x:c>
      <x:c r="X739" s="48" t="str">
        <x:v>MANAGER_SELF_DESCRIPTION; NOT BEHAVIOURAL FREQUENCY</x:v>
      </x:c>
    </x:row>
    <x:row r="740">
      <x:c r="A740" s="48" t="str">
        <x:v>B_GOVERNANCE_SEGMENTATION</x:v>
      </x:c>
      <x:c r="B740" s="48" t="str">
        <x:v>Tier B v1.1 - N=29 rerun</x:v>
      </x:c>
      <x:c r="C740" s="48" t="str">
        <x:v>2026-07-16</x:v>
      </x:c>
      <x:c r="D740" s="48" t="str">
        <x:v>S02</x:v>
      </x:c>
      <x:c r="E740" s="48" t="str">
        <x:v>SOURCING_STRATEGY</x:v>
      </x:c>
      <x:c r="F740" s="48" t="str">
        <x:v>Management relationship development before a sale process</x:v>
      </x:c>
      <x:c r="G740" s="48" t="str">
        <x:v>fund_size_archetype</x:v>
      </x:c>
      <x:c r="H740" s="48" t="str">
        <x:v>LARGE_2_TO_LT_5B</x:v>
      </x:c>
      <x:c r="I740" s="48" t="str">
        <x:v>9</x:v>
      </x:c>
      <x:c r="J740" s="48" t="str">
        <x:v>5</x:v>
      </x:c>
      <x:c r="K740" s="48" t="str">
        <x:v>0</x:v>
      </x:c>
      <x:c r="L740" s="48" t="str">
        <x:v>0</x:v>
      </x:c>
      <x:c r="M740" s="48" t="str">
        <x:v>5</x:v>
      </x:c>
      <x:c r="N740" s="48" t="str">
        <x:v>4</x:v>
      </x:c>
      <x:c r="O740" s="48" t="str">
        <x:v>0</x:v>
      </x:c>
      <x:c r="P740" s="48" t="str">
        <x:v>0</x:v>
      </x:c>
      <x:c r="Q740" s="48" t="str">
        <x:v>1.000</x:v>
      </x:c>
      <x:c r="R740" s="48" t="str">
        <x:v>DRIVER DOES NOT SEPARATE</x:v>
      </x:c>
      <x:c r="S740" s="48" t="str">
        <x:v>0.000</x:v>
      </x:c>
      <x:c r="T740" s="48" t="str">
        <x:v>LARGE_2_TO_LT_5B:N=5,p=1.000; LOWER_MID_LT_2B:N=5,p=1.000; MEGA_GE_5B:N=9,p=1.000</x:v>
      </x:c>
      <x:c r="U740" s="48" t="str">
        <x:v>Maximum-minus-minimum prevalence among adequately observed groups is no more than 0.15.</x:v>
      </x:c>
      <x:c r="V740" s="48" t="str">
        <x:v>At least 5 observable manager families in at least 2 driver groups</x:v>
      </x:c>
      <x:c r="W740" s="48" t="str">
        <x:v>&gt;=0.35 separates; &lt;=0.15 does not separate; intermediate is inconclusive/confounded; direct driver-definition tests are CIRCULAR</x:v>
      </x:c>
      <x:c r="X740" s="48" t="str">
        <x:v>MANAGER_SELF_DESCRIPTION; NOT BEHAVIOURAL FREQUENCY</x:v>
      </x:c>
    </x:row>
    <x:row r="741">
      <x:c r="A741" s="48" t="str">
        <x:v>B_GOVERNANCE_SEGMENTATION</x:v>
      </x:c>
      <x:c r="B741" s="48" t="str">
        <x:v>Tier B v1.1 - N=29 rerun</x:v>
      </x:c>
      <x:c r="C741" s="48" t="str">
        <x:v>2026-07-16</x:v>
      </x:c>
      <x:c r="D741" s="48" t="str">
        <x:v>S02</x:v>
      </x:c>
      <x:c r="E741" s="48" t="str">
        <x:v>SOURCING_STRATEGY</x:v>
      </x:c>
      <x:c r="F741" s="48" t="str">
        <x:v>Management relationship development before a sale process</x:v>
      </x:c>
      <x:c r="G741" s="48" t="str">
        <x:v>fund_size_archetype</x:v>
      </x:c>
      <x:c r="H741" s="48" t="str">
        <x:v>LOWER_MID_LT_2B</x:v>
      </x:c>
      <x:c r="I741" s="48" t="str">
        <x:v>8</x:v>
      </x:c>
      <x:c r="J741" s="48" t="str">
        <x:v>5</x:v>
      </x:c>
      <x:c r="K741" s="48" t="str">
        <x:v>0</x:v>
      </x:c>
      <x:c r="L741" s="48" t="str">
        <x:v>0</x:v>
      </x:c>
      <x:c r="M741" s="48" t="str">
        <x:v>5</x:v>
      </x:c>
      <x:c r="N741" s="48" t="str">
        <x:v>3</x:v>
      </x:c>
      <x:c r="O741" s="48" t="str">
        <x:v>0</x:v>
      </x:c>
      <x:c r="P741" s="48" t="str">
        <x:v>0</x:v>
      </x:c>
      <x:c r="Q741" s="48" t="str">
        <x:v>1.000</x:v>
      </x:c>
      <x:c r="R741" s="48" t="str">
        <x:v>DRIVER DOES NOT SEPARATE</x:v>
      </x:c>
      <x:c r="S741" s="48" t="str">
        <x:v>0.000</x:v>
      </x:c>
      <x:c r="T741" s="48" t="str">
        <x:v>LARGE_2_TO_LT_5B:N=5,p=1.000; LOWER_MID_LT_2B:N=5,p=1.000; MEGA_GE_5B:N=9,p=1.000</x:v>
      </x:c>
      <x:c r="U741" s="48" t="str">
        <x:v>Maximum-minus-minimum prevalence among adequately observed groups is no more than 0.15.</x:v>
      </x:c>
      <x:c r="V741" s="48" t="str">
        <x:v>At least 5 observable manager families in at least 2 driver groups</x:v>
      </x:c>
      <x:c r="W741" s="48" t="str">
        <x:v>&gt;=0.35 separates; &lt;=0.15 does not separate; intermediate is inconclusive/confounded; direct driver-definition tests are CIRCULAR</x:v>
      </x:c>
      <x:c r="X741" s="48" t="str">
        <x:v>MANAGER_SELF_DESCRIPTION; NOT BEHAVIOURAL FREQUENCY</x:v>
      </x:c>
    </x:row>
    <x:row r="742">
      <x:c r="A742" s="48" t="str">
        <x:v>B_GOVERNANCE_SEGMENTATION</x:v>
      </x:c>
      <x:c r="B742" s="48" t="str">
        <x:v>Tier B v1.1 - N=29 rerun</x:v>
      </x:c>
      <x:c r="C742" s="48" t="str">
        <x:v>2026-07-16</x:v>
      </x:c>
      <x:c r="D742" s="48" t="str">
        <x:v>S02</x:v>
      </x:c>
      <x:c r="E742" s="48" t="str">
        <x:v>SOURCING_STRATEGY</x:v>
      </x:c>
      <x:c r="F742" s="48" t="str">
        <x:v>Management relationship development before a sale process</x:v>
      </x:c>
      <x:c r="G742" s="48" t="str">
        <x:v>fund_size_archetype</x:v>
      </x:c>
      <x:c r="H742" s="48" t="str">
        <x:v>MEGA_GE_5B</x:v>
      </x:c>
      <x:c r="I742" s="48" t="str">
        <x:v>11</x:v>
      </x:c>
      <x:c r="J742" s="48" t="str">
        <x:v>9</x:v>
      </x:c>
      <x:c r="K742" s="48" t="str">
        <x:v>0</x:v>
      </x:c>
      <x:c r="L742" s="48" t="str">
        <x:v>0</x:v>
      </x:c>
      <x:c r="M742" s="48" t="str">
        <x:v>9</x:v>
      </x:c>
      <x:c r="N742" s="48" t="str">
        <x:v>2</x:v>
      </x:c>
      <x:c r="O742" s="48" t="str">
        <x:v>0</x:v>
      </x:c>
      <x:c r="P742" s="48" t="str">
        <x:v>0</x:v>
      </x:c>
      <x:c r="Q742" s="48" t="str">
        <x:v>1.000</x:v>
      </x:c>
      <x:c r="R742" s="48" t="str">
        <x:v>DRIVER DOES NOT SEPARATE</x:v>
      </x:c>
      <x:c r="S742" s="48" t="str">
        <x:v>0.000</x:v>
      </x:c>
      <x:c r="T742" s="48" t="str">
        <x:v>LARGE_2_TO_LT_5B:N=5,p=1.000; LOWER_MID_LT_2B:N=5,p=1.000; MEGA_GE_5B:N=9,p=1.000</x:v>
      </x:c>
      <x:c r="U742" s="48" t="str">
        <x:v>Maximum-minus-minimum prevalence among adequately observed groups is no more than 0.15.</x:v>
      </x:c>
      <x:c r="V742" s="48" t="str">
        <x:v>At least 5 observable manager families in at least 2 driver groups</x:v>
      </x:c>
      <x:c r="W742" s="48" t="str">
        <x:v>&gt;=0.35 separates; &lt;=0.15 does not separate; intermediate is inconclusive/confounded; direct driver-definition tests are CIRCULAR</x:v>
      </x:c>
      <x:c r="X742" s="48" t="str">
        <x:v>MANAGER_SELF_DESCRIPTION; NOT BEHAVIOURAL FREQUENCY</x:v>
      </x:c>
    </x:row>
    <x:row r="743">
      <x:c r="A743" s="48" t="str">
        <x:v>B_GOVERNANCE_SEGMENTATION</x:v>
      </x:c>
      <x:c r="B743" s="48" t="str">
        <x:v>Tier B v1.1 - N=29 rerun</x:v>
      </x:c>
      <x:c r="C743" s="48" t="str">
        <x:v>2026-07-16</x:v>
      </x:c>
      <x:c r="D743" s="48" t="str">
        <x:v>S02</x:v>
      </x:c>
      <x:c r="E743" s="48" t="str">
        <x:v>SOURCING_STRATEGY</x:v>
      </x:c>
      <x:c r="F743" s="48" t="str">
        <x:v>Management relationship development before a sale process</x:v>
      </x:c>
      <x:c r="G743" s="48" t="str">
        <x:v>fund_size_archetype</x:v>
      </x:c>
      <x:c r="H743" s="48" t="str">
        <x:v>NOT_APPLICABLE</x:v>
      </x:c>
      <x:c r="I743" s="48" t="str">
        <x:v>1</x:v>
      </x:c>
      <x:c r="J743" s="48" t="str">
        <x:v>1</x:v>
      </x:c>
      <x:c r="K743" s="48" t="str">
        <x:v>0</x:v>
      </x:c>
      <x:c r="L743" s="48" t="str">
        <x:v>0</x:v>
      </x:c>
      <x:c r="M743" s="48" t="str">
        <x:v>1</x:v>
      </x:c>
      <x:c r="N743" s="48" t="str">
        <x:v>0</x:v>
      </x:c>
      <x:c r="O743" s="48" t="str">
        <x:v>0</x:v>
      </x:c>
      <x:c r="P743" s="48" t="str">
        <x:v>0</x:v>
      </x:c>
      <x:c r="Q743" s="48" t="str">
        <x:v>1.000</x:v>
      </x:c>
      <x:c r="R743" s="48" t="str">
        <x:v>DRIVER DOES NOT SEPARATE</x:v>
      </x:c>
      <x:c r="S743" s="48" t="str">
        <x:v>0.000</x:v>
      </x:c>
      <x:c r="T743" s="48" t="str">
        <x:v>LARGE_2_TO_LT_5B:N=5,p=1.000; LOWER_MID_LT_2B:N=5,p=1.000; MEGA_GE_5B:N=9,p=1.000</x:v>
      </x:c>
      <x:c r="U743" s="48" t="str">
        <x:v>Maximum-minus-minimum prevalence among adequately observed groups is no more than 0.15.</x:v>
      </x:c>
      <x:c r="V743" s="48" t="str">
        <x:v>At least 5 observable manager families in at least 2 driver groups</x:v>
      </x:c>
      <x:c r="W743" s="48" t="str">
        <x:v>&gt;=0.35 separates; &lt;=0.15 does not separate; intermediate is inconclusive/confounded; direct driver-definition tests are CIRCULAR</x:v>
      </x:c>
      <x:c r="X743" s="48" t="str">
        <x:v>MANAGER_SELF_DESCRIPTION; NOT BEHAVIOURAL FREQUENCY</x:v>
      </x:c>
    </x:row>
    <x:row r="744">
      <x:c r="A744" s="48" t="str">
        <x:v>B_GOVERNANCE_SEGMENTATION</x:v>
      </x:c>
      <x:c r="B744" s="48" t="str">
        <x:v>Tier B v1.1 - N=29 rerun</x:v>
      </x:c>
      <x:c r="C744" s="48" t="str">
        <x:v>2026-07-16</x:v>
      </x:c>
      <x:c r="D744" s="48" t="str">
        <x:v>S02</x:v>
      </x:c>
      <x:c r="E744" s="48" t="str">
        <x:v>SOURCING_STRATEGY</x:v>
      </x:c>
      <x:c r="F744" s="48" t="str">
        <x:v>Management relationship development before a sale process</x:v>
      </x:c>
      <x:c r="G744" s="48" t="str">
        <x:v>strategy</x:v>
      </x:c>
      <x:c r="H744" s="48" t="str">
        <x:v>CONTROL_BUYOUT</x:v>
      </x:c>
      <x:c r="I744" s="48" t="str">
        <x:v>22</x:v>
      </x:c>
      <x:c r="J744" s="48" t="str">
        <x:v>13</x:v>
      </x:c>
      <x:c r="K744" s="48" t="str">
        <x:v>0</x:v>
      </x:c>
      <x:c r="L744" s="48" t="str">
        <x:v>0</x:v>
      </x:c>
      <x:c r="M744" s="48" t="str">
        <x:v>13</x:v>
      </x:c>
      <x:c r="N744" s="48" t="str">
        <x:v>9</x:v>
      </x:c>
      <x:c r="O744" s="48" t="str">
        <x:v>0</x:v>
      </x:c>
      <x:c r="P744" s="48" t="str">
        <x:v>0</x:v>
      </x:c>
      <x:c r="Q744" s="48" t="str">
        <x:v>1.000</x:v>
      </x:c>
      <x:c r="R744" s="48" t="str">
        <x:v>DRIVER DOES NOT SEPARATE</x:v>
      </x:c>
      <x:c r="S744" s="48" t="str">
        <x:v>0.000</x:v>
      </x:c>
      <x:c r="T744" s="48" t="str">
        <x:v>CONTROL_BUYOUT:N=13,p=1.000; GROWTH_CONTROL_HYBRID:N=6,p=1.000</x:v>
      </x:c>
      <x:c r="U744" s="48" t="str">
        <x:v>Maximum-minus-minimum prevalence among adequately observed groups is no more than 0.15.</x:v>
      </x:c>
      <x:c r="V744" s="48" t="str">
        <x:v>At least 5 observable manager families in at least 2 driver groups</x:v>
      </x:c>
      <x:c r="W744" s="48" t="str">
        <x:v>&gt;=0.35 separates; &lt;=0.15 does not separate; intermediate is inconclusive/confounded; direct driver-definition tests are CIRCULAR</x:v>
      </x:c>
      <x:c r="X744" s="48" t="str">
        <x:v>MANAGER_SELF_DESCRIPTION; NOT BEHAVIOURAL FREQUENCY</x:v>
      </x:c>
    </x:row>
    <x:row r="745">
      <x:c r="A745" s="48" t="str">
        <x:v>B_GOVERNANCE_SEGMENTATION</x:v>
      </x:c>
      <x:c r="B745" s="48" t="str">
        <x:v>Tier B v1.1 - N=29 rerun</x:v>
      </x:c>
      <x:c r="C745" s="48" t="str">
        <x:v>2026-07-16</x:v>
      </x:c>
      <x:c r="D745" s="48" t="str">
        <x:v>S02</x:v>
      </x:c>
      <x:c r="E745" s="48" t="str">
        <x:v>SOURCING_STRATEGY</x:v>
      </x:c>
      <x:c r="F745" s="48" t="str">
        <x:v>Management relationship development before a sale process</x:v>
      </x:c>
      <x:c r="G745" s="48" t="str">
        <x:v>strategy</x:v>
      </x:c>
      <x:c r="H745" s="48" t="str">
        <x:v>GROWTH_CONTROL_HYBRID</x:v>
      </x:c>
      <x:c r="I745" s="48" t="str">
        <x:v>6</x:v>
      </x:c>
      <x:c r="J745" s="48" t="str">
        <x:v>6</x:v>
      </x:c>
      <x:c r="K745" s="48" t="str">
        <x:v>0</x:v>
      </x:c>
      <x:c r="L745" s="48" t="str">
        <x:v>0</x:v>
      </x:c>
      <x:c r="M745" s="48" t="str">
        <x:v>6</x:v>
      </x:c>
      <x:c r="N745" s="48" t="str">
        <x:v>0</x:v>
      </x:c>
      <x:c r="O745" s="48" t="str">
        <x:v>0</x:v>
      </x:c>
      <x:c r="P745" s="48" t="str">
        <x:v>0</x:v>
      </x:c>
      <x:c r="Q745" s="48" t="str">
        <x:v>1.000</x:v>
      </x:c>
      <x:c r="R745" s="48" t="str">
        <x:v>DRIVER DOES NOT SEPARATE</x:v>
      </x:c>
      <x:c r="S745" s="48" t="str">
        <x:v>0.000</x:v>
      </x:c>
      <x:c r="T745" s="48" t="str">
        <x:v>CONTROL_BUYOUT:N=13,p=1.000; GROWTH_CONTROL_HYBRID:N=6,p=1.000</x:v>
      </x:c>
      <x:c r="U745" s="48" t="str">
        <x:v>Maximum-minus-minimum prevalence among adequately observed groups is no more than 0.15.</x:v>
      </x:c>
      <x:c r="V745" s="48" t="str">
        <x:v>At least 5 observable manager families in at least 2 driver groups</x:v>
      </x:c>
      <x:c r="W745" s="48" t="str">
        <x:v>&gt;=0.35 separates; &lt;=0.15 does not separate; intermediate is inconclusive/confounded; direct driver-definition tests are CIRCULAR</x:v>
      </x:c>
      <x:c r="X745" s="48" t="str">
        <x:v>MANAGER_SELF_DESCRIPTION; NOT BEHAVIOURAL FREQUENCY</x:v>
      </x:c>
    </x:row>
    <x:row r="746">
      <x:c r="A746" s="48" t="str">
        <x:v>B_GOVERNANCE_SEGMENTATION</x:v>
      </x:c>
      <x:c r="B746" s="48" t="str">
        <x:v>Tier B v1.1 - N=29 rerun</x:v>
      </x:c>
      <x:c r="C746" s="48" t="str">
        <x:v>2026-07-16</x:v>
      </x:c>
      <x:c r="D746" s="48" t="str">
        <x:v>S02</x:v>
      </x:c>
      <x:c r="E746" s="48" t="str">
        <x:v>SOURCING_STRATEGY</x:v>
      </x:c>
      <x:c r="F746" s="48" t="str">
        <x:v>Management relationship development before a sale process</x:v>
      </x:c>
      <x:c r="G746" s="48" t="str">
        <x:v>strategy</x:v>
      </x:c>
      <x:c r="H746" s="48" t="str">
        <x:v>OPPORTUNISTIC_CONTROL</x:v>
      </x:c>
      <x:c r="I746" s="48" t="str">
        <x:v>1</x:v>
      </x:c>
      <x:c r="J746" s="48" t="str">
        <x:v>1</x:v>
      </x:c>
      <x:c r="K746" s="48" t="str">
        <x:v>0</x:v>
      </x:c>
      <x:c r="L746" s="48" t="str">
        <x:v>0</x:v>
      </x:c>
      <x:c r="M746" s="48" t="str">
        <x:v>1</x:v>
      </x:c>
      <x:c r="N746" s="48" t="str">
        <x:v>0</x:v>
      </x:c>
      <x:c r="O746" s="48" t="str">
        <x:v>0</x:v>
      </x:c>
      <x:c r="P746" s="48" t="str">
        <x:v>0</x:v>
      </x:c>
      <x:c r="Q746" s="48" t="str">
        <x:v>1.000</x:v>
      </x:c>
      <x:c r="R746" s="48" t="str">
        <x:v>DRIVER DOES NOT SEPARATE</x:v>
      </x:c>
      <x:c r="S746" s="48" t="str">
        <x:v>0.000</x:v>
      </x:c>
      <x:c r="T746" s="48" t="str">
        <x:v>CONTROL_BUYOUT:N=13,p=1.000; GROWTH_CONTROL_HYBRID:N=6,p=1.000</x:v>
      </x:c>
      <x:c r="U746" s="48" t="str">
        <x:v>Maximum-minus-minimum prevalence among adequately observed groups is no more than 0.15.</x:v>
      </x:c>
      <x:c r="V746" s="48" t="str">
        <x:v>At least 5 observable manager families in at least 2 driver groups</x:v>
      </x:c>
      <x:c r="W746" s="48" t="str">
        <x:v>&gt;=0.35 separates; &lt;=0.15 does not separate; intermediate is inconclusive/confounded; direct driver-definition tests are CIRCULAR</x:v>
      </x:c>
      <x:c r="X746" s="48" t="str">
        <x:v>MANAGER_SELF_DESCRIPTION; NOT BEHAVIOURAL FREQUENCY</x:v>
      </x:c>
    </x:row>
    <x:row r="747">
      <x:c r="A747" s="48" t="str">
        <x:v>B_GOVERNANCE_SEGMENTATION</x:v>
      </x:c>
      <x:c r="B747" s="48" t="str">
        <x:v>Tier B v1.1 - N=29 rerun</x:v>
      </x:c>
      <x:c r="C747" s="48" t="str">
        <x:v>2026-07-16</x:v>
      </x:c>
      <x:c r="D747" s="48" t="str">
        <x:v>S02</x:v>
      </x:c>
      <x:c r="E747" s="48" t="str">
        <x:v>SOURCING_STRATEGY</x:v>
      </x:c>
      <x:c r="F747" s="48" t="str">
        <x:v>Management relationship development before a sale process</x:v>
      </x:c>
      <x:c r="G747" s="48" t="str">
        <x:v>geography</x:v>
      </x:c>
      <x:c r="H747" s="48" t="str">
        <x:v>ASIA_PACIFIC</x:v>
      </x:c>
      <x:c r="I747" s="48" t="str">
        <x:v>4</x:v>
      </x:c>
      <x:c r="J747" s="48" t="str">
        <x:v>2</x:v>
      </x:c>
      <x:c r="K747" s="48" t="str">
        <x:v>0</x:v>
      </x:c>
      <x:c r="L747" s="48" t="str">
        <x:v>0</x:v>
      </x:c>
      <x:c r="M747" s="48" t="str">
        <x:v>2</x:v>
      </x:c>
      <x:c r="N747" s="48" t="str">
        <x:v>2</x:v>
      </x:c>
      <x:c r="O747" s="48" t="str">
        <x:v>0</x:v>
      </x:c>
      <x:c r="P747" s="48" t="str">
        <x:v>0</x:v>
      </x:c>
      <x:c r="Q747" s="48" t="str">
        <x:v>1.000</x:v>
      </x:c>
      <x:c r="R747" s="48" t="str">
        <x:v>DRIVER DOES NOT SEPARATE</x:v>
      </x:c>
      <x:c r="S747" s="48" t="str">
        <x:v>0.000</x:v>
      </x:c>
      <x:c r="T747" s="48" t="str">
        <x:v>GLOBAL_TRANSATLANTIC:N=8,p=1.000; NORTH_AMERICA:N=9,p=1.000</x:v>
      </x:c>
      <x:c r="U747" s="48" t="str">
        <x:v>Maximum-minus-minimum prevalence among adequately observed groups is no more than 0.15.</x:v>
      </x:c>
      <x:c r="V747" s="48" t="str">
        <x:v>At least 5 observable manager families in at least 2 driver groups</x:v>
      </x:c>
      <x:c r="W747" s="48" t="str">
        <x:v>&gt;=0.35 separates; &lt;=0.15 does not separate; intermediate is inconclusive/confounded; direct driver-definition tests are CIRCULAR</x:v>
      </x:c>
      <x:c r="X747" s="48" t="str">
        <x:v>MANAGER_SELF_DESCRIPTION; NOT BEHAVIOURAL FREQUENCY</x:v>
      </x:c>
    </x:row>
    <x:row r="748">
      <x:c r="A748" s="48" t="str">
        <x:v>B_GOVERNANCE_SEGMENTATION</x:v>
      </x:c>
      <x:c r="B748" s="48" t="str">
        <x:v>Tier B v1.1 - N=29 rerun</x:v>
      </x:c>
      <x:c r="C748" s="48" t="str">
        <x:v>2026-07-16</x:v>
      </x:c>
      <x:c r="D748" s="48" t="str">
        <x:v>S02</x:v>
      </x:c>
      <x:c r="E748" s="48" t="str">
        <x:v>SOURCING_STRATEGY</x:v>
      </x:c>
      <x:c r="F748" s="48" t="str">
        <x:v>Management relationship development before a sale process</x:v>
      </x:c>
      <x:c r="G748" s="48" t="str">
        <x:v>geography</x:v>
      </x:c>
      <x:c r="H748" s="48" t="str">
        <x:v>EUROPE</x:v>
      </x:c>
      <x:c r="I748" s="48" t="str">
        <x:v>2</x:v>
      </x:c>
      <x:c r="J748" s="48" t="str">
        <x:v>1</x:v>
      </x:c>
      <x:c r="K748" s="48" t="str">
        <x:v>0</x:v>
      </x:c>
      <x:c r="L748" s="48" t="str">
        <x:v>0</x:v>
      </x:c>
      <x:c r="M748" s="48" t="str">
        <x:v>1</x:v>
      </x:c>
      <x:c r="N748" s="48" t="str">
        <x:v>1</x:v>
      </x:c>
      <x:c r="O748" s="48" t="str">
        <x:v>0</x:v>
      </x:c>
      <x:c r="P748" s="48" t="str">
        <x:v>0</x:v>
      </x:c>
      <x:c r="Q748" s="48" t="str">
        <x:v>1.000</x:v>
      </x:c>
      <x:c r="R748" s="48" t="str">
        <x:v>DRIVER DOES NOT SEPARATE</x:v>
      </x:c>
      <x:c r="S748" s="48" t="str">
        <x:v>0.000</x:v>
      </x:c>
      <x:c r="T748" s="48" t="str">
        <x:v>GLOBAL_TRANSATLANTIC:N=8,p=1.000; NORTH_AMERICA:N=9,p=1.000</x:v>
      </x:c>
      <x:c r="U748" s="48" t="str">
        <x:v>Maximum-minus-minimum prevalence among adequately observed groups is no more than 0.15.</x:v>
      </x:c>
      <x:c r="V748" s="48" t="str">
        <x:v>At least 5 observable manager families in at least 2 driver groups</x:v>
      </x:c>
      <x:c r="W748" s="48" t="str">
        <x:v>&gt;=0.35 separates; &lt;=0.15 does not separate; intermediate is inconclusive/confounded; direct driver-definition tests are CIRCULAR</x:v>
      </x:c>
      <x:c r="X748" s="48" t="str">
        <x:v>MANAGER_SELF_DESCRIPTION; NOT BEHAVIOURAL FREQUENCY</x:v>
      </x:c>
    </x:row>
    <x:row r="749">
      <x:c r="A749" s="48" t="str">
        <x:v>B_GOVERNANCE_SEGMENTATION</x:v>
      </x:c>
      <x:c r="B749" s="48" t="str">
        <x:v>Tier B v1.1 - N=29 rerun</x:v>
      </x:c>
      <x:c r="C749" s="48" t="str">
        <x:v>2026-07-16</x:v>
      </x:c>
      <x:c r="D749" s="48" t="str">
        <x:v>S02</x:v>
      </x:c>
      <x:c r="E749" s="48" t="str">
        <x:v>SOURCING_STRATEGY</x:v>
      </x:c>
      <x:c r="F749" s="48" t="str">
        <x:v>Management relationship development before a sale process</x:v>
      </x:c>
      <x:c r="G749" s="48" t="str">
        <x:v>geography</x:v>
      </x:c>
      <x:c r="H749" s="48" t="str">
        <x:v>GLOBAL_TRANSATLANTIC</x:v>
      </x:c>
      <x:c r="I749" s="48" t="str">
        <x:v>10</x:v>
      </x:c>
      <x:c r="J749" s="48" t="str">
        <x:v>8</x:v>
      </x:c>
      <x:c r="K749" s="48" t="str">
        <x:v>0</x:v>
      </x:c>
      <x:c r="L749" s="48" t="str">
        <x:v>0</x:v>
      </x:c>
      <x:c r="M749" s="48" t="str">
        <x:v>8</x:v>
      </x:c>
      <x:c r="N749" s="48" t="str">
        <x:v>2</x:v>
      </x:c>
      <x:c r="O749" s="48" t="str">
        <x:v>0</x:v>
      </x:c>
      <x:c r="P749" s="48" t="str">
        <x:v>0</x:v>
      </x:c>
      <x:c r="Q749" s="48" t="str">
        <x:v>1.000</x:v>
      </x:c>
      <x:c r="R749" s="48" t="str">
        <x:v>DRIVER DOES NOT SEPARATE</x:v>
      </x:c>
      <x:c r="S749" s="48" t="str">
        <x:v>0.000</x:v>
      </x:c>
      <x:c r="T749" s="48" t="str">
        <x:v>GLOBAL_TRANSATLANTIC:N=8,p=1.000; NORTH_AMERICA:N=9,p=1.000</x:v>
      </x:c>
      <x:c r="U749" s="48" t="str">
        <x:v>Maximum-minus-minimum prevalence among adequately observed groups is no more than 0.15.</x:v>
      </x:c>
      <x:c r="V749" s="48" t="str">
        <x:v>At least 5 observable manager families in at least 2 driver groups</x:v>
      </x:c>
      <x:c r="W749" s="48" t="str">
        <x:v>&gt;=0.35 separates; &lt;=0.15 does not separate; intermediate is inconclusive/confounded; direct driver-definition tests are CIRCULAR</x:v>
      </x:c>
      <x:c r="X749" s="48" t="str">
        <x:v>MANAGER_SELF_DESCRIPTION; NOT BEHAVIOURAL FREQUENCY</x:v>
      </x:c>
    </x:row>
    <x:row r="750">
      <x:c r="A750" s="48" t="str">
        <x:v>B_GOVERNANCE_SEGMENTATION</x:v>
      </x:c>
      <x:c r="B750" s="48" t="str">
        <x:v>Tier B v1.1 - N=29 rerun</x:v>
      </x:c>
      <x:c r="C750" s="48" t="str">
        <x:v>2026-07-16</x:v>
      </x:c>
      <x:c r="D750" s="48" t="str">
        <x:v>S02</x:v>
      </x:c>
      <x:c r="E750" s="48" t="str">
        <x:v>SOURCING_STRATEGY</x:v>
      </x:c>
      <x:c r="F750" s="48" t="str">
        <x:v>Management relationship development before a sale process</x:v>
      </x:c>
      <x:c r="G750" s="48" t="str">
        <x:v>geography</x:v>
      </x:c>
      <x:c r="H750" s="48" t="str">
        <x:v>NORTH_AMERICA</x:v>
      </x:c>
      <x:c r="I750" s="48" t="str">
        <x:v>13</x:v>
      </x:c>
      <x:c r="J750" s="48" t="str">
        <x:v>9</x:v>
      </x:c>
      <x:c r="K750" s="48" t="str">
        <x:v>0</x:v>
      </x:c>
      <x:c r="L750" s="48" t="str">
        <x:v>0</x:v>
      </x:c>
      <x:c r="M750" s="48" t="str">
        <x:v>9</x:v>
      </x:c>
      <x:c r="N750" s="48" t="str">
        <x:v>4</x:v>
      </x:c>
      <x:c r="O750" s="48" t="str">
        <x:v>0</x:v>
      </x:c>
      <x:c r="P750" s="48" t="str">
        <x:v>0</x:v>
      </x:c>
      <x:c r="Q750" s="48" t="str">
        <x:v>1.000</x:v>
      </x:c>
      <x:c r="R750" s="48" t="str">
        <x:v>DRIVER DOES NOT SEPARATE</x:v>
      </x:c>
      <x:c r="S750" s="48" t="str">
        <x:v>0.000</x:v>
      </x:c>
      <x:c r="T750" s="48" t="str">
        <x:v>GLOBAL_TRANSATLANTIC:N=8,p=1.000; NORTH_AMERICA:N=9,p=1.000</x:v>
      </x:c>
      <x:c r="U750" s="48" t="str">
        <x:v>Maximum-minus-minimum prevalence among adequately observed groups is no more than 0.15.</x:v>
      </x:c>
      <x:c r="V750" s="48" t="str">
        <x:v>At least 5 observable manager families in at least 2 driver groups</x:v>
      </x:c>
      <x:c r="W750" s="48" t="str">
        <x:v>&gt;=0.35 separates; &lt;=0.15 does not separate; intermediate is inconclusive/confounded; direct driver-definition tests are CIRCULAR</x:v>
      </x:c>
      <x:c r="X750" s="48" t="str">
        <x:v>MANAGER_SELF_DESCRIPTION; NOT BEHAVIOURAL FREQUENCY</x:v>
      </x:c>
    </x:row>
    <x:row r="751">
      <x:c r="A751" s="48" t="str">
        <x:v>B_GOVERNANCE_SEGMENTATION</x:v>
      </x:c>
      <x:c r="B751" s="48" t="str">
        <x:v>Tier B v1.1 - N=29 rerun</x:v>
      </x:c>
      <x:c r="C751" s="48" t="str">
        <x:v>2026-07-16</x:v>
      </x:c>
      <x:c r="D751" s="48" t="str">
        <x:v>S02</x:v>
      </x:c>
      <x:c r="E751" s="48" t="str">
        <x:v>SOURCING_STRATEGY</x:v>
      </x:c>
      <x:c r="F751" s="48" t="str">
        <x:v>Management relationship development before a sale process</x:v>
      </x:c>
      <x:c r="G751" s="48" t="str">
        <x:v>source_vintage_bin</x:v>
      </x:c>
      <x:c r="H751" s="48" t="str">
        <x:v>2018_2020</x:v>
      </x:c>
      <x:c r="I751" s="48" t="str">
        <x:v>6</x:v>
      </x:c>
      <x:c r="J751" s="48" t="str">
        <x:v>5</x:v>
      </x:c>
      <x:c r="K751" s="48" t="str">
        <x:v>0</x:v>
      </x:c>
      <x:c r="L751" s="48" t="str">
        <x:v>0</x:v>
      </x:c>
      <x:c r="M751" s="48" t="str">
        <x:v>5</x:v>
      </x:c>
      <x:c r="N751" s="48" t="str">
        <x:v>1</x:v>
      </x:c>
      <x:c r="O751" s="48" t="str">
        <x:v>0</x:v>
      </x:c>
      <x:c r="P751" s="48" t="str">
        <x:v>0</x:v>
      </x:c>
      <x:c r="Q751" s="48" t="str">
        <x:v>1.000</x:v>
      </x:c>
      <x:c r="R751" s="48" t="str">
        <x:v>DRIVER DOES NOT SEPARATE</x:v>
      </x:c>
      <x:c r="S751" s="48" t="str">
        <x:v>0.000</x:v>
      </x:c>
      <x:c r="T751" s="48" t="str">
        <x:v>2018_2020:N=5,p=1.000; 2021_2023:N=8,p=1.000; 2024_2026:N=7,p=1.000</x:v>
      </x:c>
      <x:c r="U751" s="48" t="str">
        <x:v>Maximum-minus-minimum prevalence among adequately observed groups is no more than 0.15.</x:v>
      </x:c>
      <x:c r="V751" s="48" t="str">
        <x:v>At least 5 observable manager families in at least 2 driver groups</x:v>
      </x:c>
      <x:c r="W751" s="48" t="str">
        <x:v>&gt;=0.35 separates; &lt;=0.15 does not separate; intermediate is inconclusive/confounded; direct driver-definition tests are CIRCULAR</x:v>
      </x:c>
      <x:c r="X751" s="48" t="str">
        <x:v>MANAGER_SELF_DESCRIPTION; NOT BEHAVIOURAL FREQUENCY</x:v>
      </x:c>
    </x:row>
    <x:row r="752">
      <x:c r="A752" s="48" t="str">
        <x:v>B_GOVERNANCE_SEGMENTATION</x:v>
      </x:c>
      <x:c r="B752" s="48" t="str">
        <x:v>Tier B v1.1 - N=29 rerun</x:v>
      </x:c>
      <x:c r="C752" s="48" t="str">
        <x:v>2026-07-16</x:v>
      </x:c>
      <x:c r="D752" s="48" t="str">
        <x:v>S02</x:v>
      </x:c>
      <x:c r="E752" s="48" t="str">
        <x:v>SOURCING_STRATEGY</x:v>
      </x:c>
      <x:c r="F752" s="48" t="str">
        <x:v>Management relationship development before a sale process</x:v>
      </x:c>
      <x:c r="G752" s="48" t="str">
        <x:v>source_vintage_bin</x:v>
      </x:c>
      <x:c r="H752" s="48" t="str">
        <x:v>2021_2023</x:v>
      </x:c>
      <x:c r="I752" s="48" t="str">
        <x:v>11</x:v>
      </x:c>
      <x:c r="J752" s="48" t="str">
        <x:v>8</x:v>
      </x:c>
      <x:c r="K752" s="48" t="str">
        <x:v>0</x:v>
      </x:c>
      <x:c r="L752" s="48" t="str">
        <x:v>0</x:v>
      </x:c>
      <x:c r="M752" s="48" t="str">
        <x:v>8</x:v>
      </x:c>
      <x:c r="N752" s="48" t="str">
        <x:v>3</x:v>
      </x:c>
      <x:c r="O752" s="48" t="str">
        <x:v>0</x:v>
      </x:c>
      <x:c r="P752" s="48" t="str">
        <x:v>0</x:v>
      </x:c>
      <x:c r="Q752" s="48" t="str">
        <x:v>1.000</x:v>
      </x:c>
      <x:c r="R752" s="48" t="str">
        <x:v>DRIVER DOES NOT SEPARATE</x:v>
      </x:c>
      <x:c r="S752" s="48" t="str">
        <x:v>0.000</x:v>
      </x:c>
      <x:c r="T752" s="48" t="str">
        <x:v>2018_2020:N=5,p=1.000; 2021_2023:N=8,p=1.000; 2024_2026:N=7,p=1.000</x:v>
      </x:c>
      <x:c r="U752" s="48" t="str">
        <x:v>Maximum-minus-minimum prevalence among adequately observed groups is no more than 0.15.</x:v>
      </x:c>
      <x:c r="V752" s="48" t="str">
        <x:v>At least 5 observable manager families in at least 2 driver groups</x:v>
      </x:c>
      <x:c r="W752" s="48" t="str">
        <x:v>&gt;=0.35 separates; &lt;=0.15 does not separate; intermediate is inconclusive/confounded; direct driver-definition tests are CIRCULAR</x:v>
      </x:c>
      <x:c r="X752" s="48" t="str">
        <x:v>MANAGER_SELF_DESCRIPTION; NOT BEHAVIOURAL FREQUENCY</x:v>
      </x:c>
    </x:row>
    <x:row r="753">
      <x:c r="A753" s="48" t="str">
        <x:v>B_GOVERNANCE_SEGMENTATION</x:v>
      </x:c>
      <x:c r="B753" s="48" t="str">
        <x:v>Tier B v1.1 - N=29 rerun</x:v>
      </x:c>
      <x:c r="C753" s="48" t="str">
        <x:v>2026-07-16</x:v>
      </x:c>
      <x:c r="D753" s="48" t="str">
        <x:v>S02</x:v>
      </x:c>
      <x:c r="E753" s="48" t="str">
        <x:v>SOURCING_STRATEGY</x:v>
      </x:c>
      <x:c r="F753" s="48" t="str">
        <x:v>Management relationship development before a sale process</x:v>
      </x:c>
      <x:c r="G753" s="48" t="str">
        <x:v>source_vintage_bin</x:v>
      </x:c>
      <x:c r="H753" s="48" t="str">
        <x:v>2024_2026</x:v>
      </x:c>
      <x:c r="I753" s="48" t="str">
        <x:v>12</x:v>
      </x:c>
      <x:c r="J753" s="48" t="str">
        <x:v>7</x:v>
      </x:c>
      <x:c r="K753" s="48" t="str">
        <x:v>0</x:v>
      </x:c>
      <x:c r="L753" s="48" t="str">
        <x:v>0</x:v>
      </x:c>
      <x:c r="M753" s="48" t="str">
        <x:v>7</x:v>
      </x:c>
      <x:c r="N753" s="48" t="str">
        <x:v>5</x:v>
      </x:c>
      <x:c r="O753" s="48" t="str">
        <x:v>0</x:v>
      </x:c>
      <x:c r="P753" s="48" t="str">
        <x:v>0</x:v>
      </x:c>
      <x:c r="Q753" s="48" t="str">
        <x:v>1.000</x:v>
      </x:c>
      <x:c r="R753" s="48" t="str">
        <x:v>DRIVER DOES NOT SEPARATE</x:v>
      </x:c>
      <x:c r="S753" s="48" t="str">
        <x:v>0.000</x:v>
      </x:c>
      <x:c r="T753" s="48" t="str">
        <x:v>2018_2020:N=5,p=1.000; 2021_2023:N=8,p=1.000; 2024_2026:N=7,p=1.000</x:v>
      </x:c>
      <x:c r="U753" s="48" t="str">
        <x:v>Maximum-minus-minimum prevalence among adequately observed groups is no more than 0.15.</x:v>
      </x:c>
      <x:c r="V753" s="48" t="str">
        <x:v>At least 5 observable manager families in at least 2 driver groups</x:v>
      </x:c>
      <x:c r="W753" s="48" t="str">
        <x:v>&gt;=0.35 separates; &lt;=0.15 does not separate; intermediate is inconclusive/confounded; direct driver-definition tests are CIRCULAR</x:v>
      </x:c>
      <x:c r="X753" s="48" t="str">
        <x:v>MANAGER_SELF_DESCRIPTION; NOT BEHAVIOURAL FREQUENCY</x:v>
      </x:c>
    </x:row>
    <x:row r="754">
      <x:c r="A754" s="48" t="str">
        <x:v>B_GOVERNANCE_SEGMENTATION</x:v>
      </x:c>
      <x:c r="B754" s="48" t="str">
        <x:v>Tier B v1.1 - N=29 rerun</x:v>
      </x:c>
      <x:c r="C754" s="48" t="str">
        <x:v>2026-07-16</x:v>
      </x:c>
      <x:c r="D754" s="48" t="str">
        <x:v>S02</x:v>
      </x:c>
      <x:c r="E754" s="48" t="str">
        <x:v>SOURCING_STRATEGY</x:v>
      </x:c>
      <x:c r="F754" s="48" t="str">
        <x:v>Management relationship development before a sale process</x:v>
      </x:c>
      <x:c r="G754" s="48" t="str">
        <x:v>governance_architecture</x:v>
      </x:c>
      <x:c r="H754" s="48" t="str">
        <x:v>IC_FINAL_OR_DE_FACTO</x:v>
      </x:c>
      <x:c r="I754" s="48" t="str">
        <x:v>26</x:v>
      </x:c>
      <x:c r="J754" s="48" t="str">
        <x:v>17</x:v>
      </x:c>
      <x:c r="K754" s="48" t="str">
        <x:v>0</x:v>
      </x:c>
      <x:c r="L754" s="48" t="str">
        <x:v>0</x:v>
      </x:c>
      <x:c r="M754" s="48" t="str">
        <x:v>17</x:v>
      </x:c>
      <x:c r="N754" s="48" t="str">
        <x:v>9</x:v>
      </x:c>
      <x:c r="O754" s="48" t="str">
        <x:v>0</x:v>
      </x:c>
      <x:c r="P754" s="48" t="str">
        <x:v>0</x:v>
      </x:c>
      <x:c r="Q754" s="48" t="str">
        <x:v>1.000</x:v>
      </x:c>
      <x:c r="R754" s="48" t="str">
        <x:v>N TOO SMALL</x:v>
      </x:c>
      <x:c r="S754" s="48" t="str"/>
      <x:c r="T754" s="48" t="str">
        <x:v>IC_FINAL_OR_DE_FACTO:N=17,p=1.000</x:v>
      </x:c>
      <x:c r="U754" s="48" t="str">
        <x:v>Fewer than two driver groups have at least 5 observable manager families.</x:v>
      </x:c>
      <x:c r="V754" s="48" t="str">
        <x:v>At least 5 observable manager families in at least 2 driver groups</x:v>
      </x:c>
      <x:c r="W754" s="48" t="str">
        <x:v>&gt;=0.35 separates; &lt;=0.15 does not separate; intermediate is inconclusive/confounded; direct driver-definition tests are CIRCULAR</x:v>
      </x:c>
      <x:c r="X754" s="48" t="str">
        <x:v>MANAGER_SELF_DESCRIPTION; NOT BEHAVIOURAL FREQUENCY</x:v>
      </x:c>
    </x:row>
    <x:row r="755">
      <x:c r="A755" s="48" t="str">
        <x:v>B_GOVERNANCE_SEGMENTATION</x:v>
      </x:c>
      <x:c r="B755" s="48" t="str">
        <x:v>Tier B v1.1 - N=29 rerun</x:v>
      </x:c>
      <x:c r="C755" s="48" t="str">
        <x:v>2026-07-16</x:v>
      </x:c>
      <x:c r="D755" s="48" t="str">
        <x:v>S02</x:v>
      </x:c>
      <x:c r="E755" s="48" t="str">
        <x:v>SOURCING_STRATEGY</x:v>
      </x:c>
      <x:c r="F755" s="48" t="str">
        <x:v>Management relationship development before a sale process</x:v>
      </x:c>
      <x:c r="G755" s="48" t="str">
        <x:v>governance_architecture</x:v>
      </x:c>
      <x:c r="H755" s="48" t="str">
        <x:v>IC_RECOMMENDS_SEPARATE_FINAL_AUTHORITY</x:v>
      </x:c>
      <x:c r="I755" s="48" t="str">
        <x:v>3</x:v>
      </x:c>
      <x:c r="J755" s="48" t="str">
        <x:v>3</x:v>
      </x:c>
      <x:c r="K755" s="48" t="str">
        <x:v>0</x:v>
      </x:c>
      <x:c r="L755" s="48" t="str">
        <x:v>0</x:v>
      </x:c>
      <x:c r="M755" s="48" t="str">
        <x:v>3</x:v>
      </x:c>
      <x:c r="N755" s="48" t="str">
        <x:v>0</x:v>
      </x:c>
      <x:c r="O755" s="48" t="str">
        <x:v>0</x:v>
      </x:c>
      <x:c r="P755" s="48" t="str">
        <x:v>0</x:v>
      </x:c>
      <x:c r="Q755" s="48" t="str">
        <x:v>1.000</x:v>
      </x:c>
      <x:c r="R755" s="48" t="str">
        <x:v>N TOO SMALL</x:v>
      </x:c>
      <x:c r="S755" s="48" t="str"/>
      <x:c r="T755" s="48" t="str">
        <x:v>IC_FINAL_OR_DE_FACTO:N=17,p=1.000</x:v>
      </x:c>
      <x:c r="U755" s="48" t="str">
        <x:v>Fewer than two driver groups have at least 5 observable manager families.</x:v>
      </x:c>
      <x:c r="V755" s="48" t="str">
        <x:v>At least 5 observable manager families in at least 2 driver groups</x:v>
      </x:c>
      <x:c r="W755" s="48" t="str">
        <x:v>&gt;=0.35 separates; &lt;=0.15 does not separate; intermediate is inconclusive/confounded; direct driver-definition tests are CIRCULAR</x:v>
      </x:c>
      <x:c r="X755" s="48" t="str">
        <x:v>MANAGER_SELF_DESCRIPTION; NOT BEHAVIOURAL FREQUENCY</x:v>
      </x:c>
    </x:row>
    <x:row r="756">
      <x:c r="A756" s="48" t="str">
        <x:v>B_GOVERNANCE_SEGMENTATION</x:v>
      </x:c>
      <x:c r="B756" s="48" t="str">
        <x:v>Tier B v1.1 - N=29 rerun</x:v>
      </x:c>
      <x:c r="C756" s="48" t="str">
        <x:v>2026-07-16</x:v>
      </x:c>
      <x:c r="D756" s="48" t="str">
        <x:v>S02</x:v>
      </x:c>
      <x:c r="E756" s="48" t="str">
        <x:v>SOURCING_STRATEGY</x:v>
      </x:c>
      <x:c r="F756" s="48" t="str">
        <x:v>Management relationship development before a sale process</x:v>
      </x:c>
      <x:c r="G756" s="48" t="str">
        <x:v>dedicated_operating_team</x:v>
      </x:c>
      <x:c r="H756" s="48" t="str">
        <x:v>NO_OR_LIMITED</x:v>
      </x:c>
      <x:c r="I756" s="48" t="str">
        <x:v>6</x:v>
      </x:c>
      <x:c r="J756" s="48" t="str">
        <x:v>4</x:v>
      </x:c>
      <x:c r="K756" s="48" t="str">
        <x:v>0</x:v>
      </x:c>
      <x:c r="L756" s="48" t="str">
        <x:v>0</x:v>
      </x:c>
      <x:c r="M756" s="48" t="str">
        <x:v>4</x:v>
      </x:c>
      <x:c r="N756" s="48" t="str">
        <x:v>2</x:v>
      </x:c>
      <x:c r="O756" s="48" t="str">
        <x:v>0</x:v>
      </x:c>
      <x:c r="P756" s="48" t="str">
        <x:v>0</x:v>
      </x:c>
      <x:c r="Q756" s="48" t="str">
        <x:v>1.000</x:v>
      </x:c>
      <x:c r="R756" s="48" t="str">
        <x:v>N TOO SMALL</x:v>
      </x:c>
      <x:c r="S756" s="48" t="str"/>
      <x:c r="T756" s="48" t="str">
        <x:v>YES_DEDICATED:N=16,p=1.000</x:v>
      </x:c>
      <x:c r="U756" s="48" t="str">
        <x:v>Fewer than two driver groups have at least 5 observable manager families.</x:v>
      </x:c>
      <x:c r="V756" s="48" t="str">
        <x:v>At least 5 observable manager families in at least 2 driver groups</x:v>
      </x:c>
      <x:c r="W756" s="48" t="str">
        <x:v>&gt;=0.35 separates; &lt;=0.15 does not separate; intermediate is inconclusive/confounded; direct driver-definition tests are CIRCULAR</x:v>
      </x:c>
      <x:c r="X756" s="48" t="str">
        <x:v>MANAGER_SELF_DESCRIPTION; NOT BEHAVIOURAL FREQUENCY</x:v>
      </x:c>
    </x:row>
    <x:row r="757">
      <x:c r="A757" s="48" t="str">
        <x:v>B_GOVERNANCE_SEGMENTATION</x:v>
      </x:c>
      <x:c r="B757" s="48" t="str">
        <x:v>Tier B v1.1 - N=29 rerun</x:v>
      </x:c>
      <x:c r="C757" s="48" t="str">
        <x:v>2026-07-16</x:v>
      </x:c>
      <x:c r="D757" s="48" t="str">
        <x:v>S02</x:v>
      </x:c>
      <x:c r="E757" s="48" t="str">
        <x:v>SOURCING_STRATEGY</x:v>
      </x:c>
      <x:c r="F757" s="48" t="str">
        <x:v>Management relationship development before a sale process</x:v>
      </x:c>
      <x:c r="G757" s="48" t="str">
        <x:v>dedicated_operating_team</x:v>
      </x:c>
      <x:c r="H757" s="48" t="str">
        <x:v>YES_DEDICATED</x:v>
      </x:c>
      <x:c r="I757" s="48" t="str">
        <x:v>23</x:v>
      </x:c>
      <x:c r="J757" s="48" t="str">
        <x:v>16</x:v>
      </x:c>
      <x:c r="K757" s="48" t="str">
        <x:v>0</x:v>
      </x:c>
      <x:c r="L757" s="48" t="str">
        <x:v>0</x:v>
      </x:c>
      <x:c r="M757" s="48" t="str">
        <x:v>16</x:v>
      </x:c>
      <x:c r="N757" s="48" t="str">
        <x:v>7</x:v>
      </x:c>
      <x:c r="O757" s="48" t="str">
        <x:v>0</x:v>
      </x:c>
      <x:c r="P757" s="48" t="str">
        <x:v>0</x:v>
      </x:c>
      <x:c r="Q757" s="48" t="str">
        <x:v>1.000</x:v>
      </x:c>
      <x:c r="R757" s="48" t="str">
        <x:v>N TOO SMALL</x:v>
      </x:c>
      <x:c r="S757" s="48" t="str"/>
      <x:c r="T757" s="48" t="str">
        <x:v>YES_DEDICATED:N=16,p=1.000</x:v>
      </x:c>
      <x:c r="U757" s="48" t="str">
        <x:v>Fewer than two driver groups have at least 5 observable manager families.</x:v>
      </x:c>
      <x:c r="V757" s="48" t="str">
        <x:v>At least 5 observable manager families in at least 2 driver groups</x:v>
      </x:c>
      <x:c r="W757" s="48" t="str">
        <x:v>&gt;=0.35 separates; &lt;=0.15 does not separate; intermediate is inconclusive/confounded; direct driver-definition tests are CIRCULAR</x:v>
      </x:c>
      <x:c r="X757" s="48" t="str">
        <x:v>MANAGER_SELF_DESCRIPTION; NOT BEHAVIOURAL FREQUENCY</x:v>
      </x:c>
    </x:row>
    <x:row r="758">
      <x:c r="A758" s="48" t="str">
        <x:v>B_GOVERNANCE_SEGMENTATION</x:v>
      </x:c>
      <x:c r="B758" s="48" t="str">
        <x:v>Tier B v1.1 - N=29 rerun</x:v>
      </x:c>
      <x:c r="C758" s="48" t="str">
        <x:v>2026-07-16</x:v>
      </x:c>
      <x:c r="D758" s="48" t="str">
        <x:v>S03</x:v>
      </x:c>
      <x:c r="E758" s="48" t="str">
        <x:v>SOURCING_STRATEGY</x:v>
      </x:c>
      <x:c r="F758" s="48" t="str">
        <x:v>Site visits or operational fieldwork explicit</x:v>
      </x:c>
      <x:c r="G758" s="48" t="str">
        <x:v>fund_size_archetype</x:v>
      </x:c>
      <x:c r="H758" s="48" t="str">
        <x:v>LARGE_2_TO_LT_5B</x:v>
      </x:c>
      <x:c r="I758" s="48" t="str">
        <x:v>9</x:v>
      </x:c>
      <x:c r="J758" s="48" t="str">
        <x:v>6</x:v>
      </x:c>
      <x:c r="K758" s="48" t="str">
        <x:v>0</x:v>
      </x:c>
      <x:c r="L758" s="48" t="str">
        <x:v>0</x:v>
      </x:c>
      <x:c r="M758" s="48" t="str">
        <x:v>6</x:v>
      </x:c>
      <x:c r="N758" s="48" t="str">
        <x:v>3</x:v>
      </x:c>
      <x:c r="O758" s="48" t="str">
        <x:v>0</x:v>
      </x:c>
      <x:c r="P758" s="48" t="str">
        <x:v>0</x:v>
      </x:c>
      <x:c r="Q758" s="48" t="str">
        <x:v>1.000</x:v>
      </x:c>
      <x:c r="R758" s="48" t="str">
        <x:v>DRIVER DOES NOT SEPARATE</x:v>
      </x:c>
      <x:c r="S758" s="48" t="str">
        <x:v>0.000</x:v>
      </x:c>
      <x:c r="T758" s="48" t="str">
        <x:v>LARGE_2_TO_LT_5B:N=6,p=1.000; MEGA_GE_5B:N=10,p=1.000</x:v>
      </x:c>
      <x:c r="U758" s="48" t="str">
        <x:v>Maximum-minus-minimum prevalence among adequately observed groups is no more than 0.15.</x:v>
      </x:c>
      <x:c r="V758" s="48" t="str">
        <x:v>At least 5 observable manager families in at least 2 driver groups</x:v>
      </x:c>
      <x:c r="W758" s="48" t="str">
        <x:v>&gt;=0.35 separates; &lt;=0.15 does not separate; intermediate is inconclusive/confounded; direct driver-definition tests are CIRCULAR</x:v>
      </x:c>
      <x:c r="X758" s="48" t="str">
        <x:v>MANAGER_SELF_DESCRIPTION; NOT BEHAVIOURAL FREQUENCY</x:v>
      </x:c>
    </x:row>
    <x:row r="759">
      <x:c r="A759" s="48" t="str">
        <x:v>B_GOVERNANCE_SEGMENTATION</x:v>
      </x:c>
      <x:c r="B759" s="48" t="str">
        <x:v>Tier B v1.1 - N=29 rerun</x:v>
      </x:c>
      <x:c r="C759" s="48" t="str">
        <x:v>2026-07-16</x:v>
      </x:c>
      <x:c r="D759" s="48" t="str">
        <x:v>S03</x:v>
      </x:c>
      <x:c r="E759" s="48" t="str">
        <x:v>SOURCING_STRATEGY</x:v>
      </x:c>
      <x:c r="F759" s="48" t="str">
        <x:v>Site visits or operational fieldwork explicit</x:v>
      </x:c>
      <x:c r="G759" s="48" t="str">
        <x:v>fund_size_archetype</x:v>
      </x:c>
      <x:c r="H759" s="48" t="str">
        <x:v>LOWER_MID_LT_2B</x:v>
      </x:c>
      <x:c r="I759" s="48" t="str">
        <x:v>8</x:v>
      </x:c>
      <x:c r="J759" s="48" t="str">
        <x:v>2</x:v>
      </x:c>
      <x:c r="K759" s="48" t="str">
        <x:v>0</x:v>
      </x:c>
      <x:c r="L759" s="48" t="str">
        <x:v>0</x:v>
      </x:c>
      <x:c r="M759" s="48" t="str">
        <x:v>2</x:v>
      </x:c>
      <x:c r="N759" s="48" t="str">
        <x:v>6</x:v>
      </x:c>
      <x:c r="O759" s="48" t="str">
        <x:v>0</x:v>
      </x:c>
      <x:c r="P759" s="48" t="str">
        <x:v>0</x:v>
      </x:c>
      <x:c r="Q759" s="48" t="str">
        <x:v>1.000</x:v>
      </x:c>
      <x:c r="R759" s="48" t="str">
        <x:v>DRIVER DOES NOT SEPARATE</x:v>
      </x:c>
      <x:c r="S759" s="48" t="str">
        <x:v>0.000</x:v>
      </x:c>
      <x:c r="T759" s="48" t="str">
        <x:v>LARGE_2_TO_LT_5B:N=6,p=1.000; MEGA_GE_5B:N=10,p=1.000</x:v>
      </x:c>
      <x:c r="U759" s="48" t="str">
        <x:v>Maximum-minus-minimum prevalence among adequately observed groups is no more than 0.15.</x:v>
      </x:c>
      <x:c r="V759" s="48" t="str">
        <x:v>At least 5 observable manager families in at least 2 driver groups</x:v>
      </x:c>
      <x:c r="W759" s="48" t="str">
        <x:v>&gt;=0.35 separates; &lt;=0.15 does not separate; intermediate is inconclusive/confounded; direct driver-definition tests are CIRCULAR</x:v>
      </x:c>
      <x:c r="X759" s="48" t="str">
        <x:v>MANAGER_SELF_DESCRIPTION; NOT BEHAVIOURAL FREQUENCY</x:v>
      </x:c>
    </x:row>
    <x:row r="760">
      <x:c r="A760" s="48" t="str">
        <x:v>B_GOVERNANCE_SEGMENTATION</x:v>
      </x:c>
      <x:c r="B760" s="48" t="str">
        <x:v>Tier B v1.1 - N=29 rerun</x:v>
      </x:c>
      <x:c r="C760" s="48" t="str">
        <x:v>2026-07-16</x:v>
      </x:c>
      <x:c r="D760" s="48" t="str">
        <x:v>S03</x:v>
      </x:c>
      <x:c r="E760" s="48" t="str">
        <x:v>SOURCING_STRATEGY</x:v>
      </x:c>
      <x:c r="F760" s="48" t="str">
        <x:v>Site visits or operational fieldwork explicit</x:v>
      </x:c>
      <x:c r="G760" s="48" t="str">
        <x:v>fund_size_archetype</x:v>
      </x:c>
      <x:c r="H760" s="48" t="str">
        <x:v>MEGA_GE_5B</x:v>
      </x:c>
      <x:c r="I760" s="48" t="str">
        <x:v>11</x:v>
      </x:c>
      <x:c r="J760" s="48" t="str">
        <x:v>10</x:v>
      </x:c>
      <x:c r="K760" s="48" t="str">
        <x:v>0</x:v>
      </x:c>
      <x:c r="L760" s="48" t="str">
        <x:v>0</x:v>
      </x:c>
      <x:c r="M760" s="48" t="str">
        <x:v>10</x:v>
      </x:c>
      <x:c r="N760" s="48" t="str">
        <x:v>1</x:v>
      </x:c>
      <x:c r="O760" s="48" t="str">
        <x:v>0</x:v>
      </x:c>
      <x:c r="P760" s="48" t="str">
        <x:v>0</x:v>
      </x:c>
      <x:c r="Q760" s="48" t="str">
        <x:v>1.000</x:v>
      </x:c>
      <x:c r="R760" s="48" t="str">
        <x:v>DRIVER DOES NOT SEPARATE</x:v>
      </x:c>
      <x:c r="S760" s="48" t="str">
        <x:v>0.000</x:v>
      </x:c>
      <x:c r="T760" s="48" t="str">
        <x:v>LARGE_2_TO_LT_5B:N=6,p=1.000; MEGA_GE_5B:N=10,p=1.000</x:v>
      </x:c>
      <x:c r="U760" s="48" t="str">
        <x:v>Maximum-minus-minimum prevalence among adequately observed groups is no more than 0.15.</x:v>
      </x:c>
      <x:c r="V760" s="48" t="str">
        <x:v>At least 5 observable manager families in at least 2 driver groups</x:v>
      </x:c>
      <x:c r="W760" s="48" t="str">
        <x:v>&gt;=0.35 separates; &lt;=0.15 does not separate; intermediate is inconclusive/confounded; direct driver-definition tests are CIRCULAR</x:v>
      </x:c>
      <x:c r="X760" s="48" t="str">
        <x:v>MANAGER_SELF_DESCRIPTION; NOT BEHAVIOURAL FREQUENCY</x:v>
      </x:c>
    </x:row>
    <x:row r="761">
      <x:c r="A761" s="48" t="str">
        <x:v>B_GOVERNANCE_SEGMENTATION</x:v>
      </x:c>
      <x:c r="B761" s="48" t="str">
        <x:v>Tier B v1.1 - N=29 rerun</x:v>
      </x:c>
      <x:c r="C761" s="48" t="str">
        <x:v>2026-07-16</x:v>
      </x:c>
      <x:c r="D761" s="48" t="str">
        <x:v>S03</x:v>
      </x:c>
      <x:c r="E761" s="48" t="str">
        <x:v>SOURCING_STRATEGY</x:v>
      </x:c>
      <x:c r="F761" s="48" t="str">
        <x:v>Site visits or operational fieldwork explicit</x:v>
      </x:c>
      <x:c r="G761" s="48" t="str">
        <x:v>fund_size_archetype</x:v>
      </x:c>
      <x:c r="H761" s="48" t="str">
        <x:v>NOT_APPLICABLE</x:v>
      </x:c>
      <x:c r="I761" s="48" t="str">
        <x:v>1</x:v>
      </x:c>
      <x:c r="J761" s="48" t="str">
        <x:v>0</x:v>
      </x:c>
      <x:c r="K761" s="48" t="str">
        <x:v>0</x:v>
      </x:c>
      <x:c r="L761" s="48" t="str">
        <x:v>0</x:v>
      </x:c>
      <x:c r="M761" s="48" t="str">
        <x:v>0</x:v>
      </x:c>
      <x:c r="N761" s="48" t="str">
        <x:v>1</x:v>
      </x:c>
      <x:c r="O761" s="48" t="str">
        <x:v>0</x:v>
      </x:c>
      <x:c r="P761" s="48" t="str">
        <x:v>0</x:v>
      </x:c>
      <x:c r="Q761" s="48" t="str"/>
      <x:c r="R761" s="48" t="str">
        <x:v>DRIVER DOES NOT SEPARATE</x:v>
      </x:c>
      <x:c r="S761" s="48" t="str">
        <x:v>0.000</x:v>
      </x:c>
      <x:c r="T761" s="48" t="str">
        <x:v>LARGE_2_TO_LT_5B:N=6,p=1.000; MEGA_GE_5B:N=10,p=1.000</x:v>
      </x:c>
      <x:c r="U761" s="48" t="str">
        <x:v>Maximum-minus-minimum prevalence among adequately observed groups is no more than 0.15.</x:v>
      </x:c>
      <x:c r="V761" s="48" t="str">
        <x:v>At least 5 observable manager families in at least 2 driver groups</x:v>
      </x:c>
      <x:c r="W761" s="48" t="str">
        <x:v>&gt;=0.35 separates; &lt;=0.15 does not separate; intermediate is inconclusive/confounded; direct driver-definition tests are CIRCULAR</x:v>
      </x:c>
      <x:c r="X761" s="48" t="str">
        <x:v>MANAGER_SELF_DESCRIPTION; NOT BEHAVIOURAL FREQUENCY</x:v>
      </x:c>
    </x:row>
    <x:row r="762">
      <x:c r="A762" s="48" t="str">
        <x:v>B_GOVERNANCE_SEGMENTATION</x:v>
      </x:c>
      <x:c r="B762" s="48" t="str">
        <x:v>Tier B v1.1 - N=29 rerun</x:v>
      </x:c>
      <x:c r="C762" s="48" t="str">
        <x:v>2026-07-16</x:v>
      </x:c>
      <x:c r="D762" s="48" t="str">
        <x:v>S03</x:v>
      </x:c>
      <x:c r="E762" s="48" t="str">
        <x:v>SOURCING_STRATEGY</x:v>
      </x:c>
      <x:c r="F762" s="48" t="str">
        <x:v>Site visits or operational fieldwork explicit</x:v>
      </x:c>
      <x:c r="G762" s="48" t="str">
        <x:v>strategy</x:v>
      </x:c>
      <x:c r="H762" s="48" t="str">
        <x:v>CONTROL_BUYOUT</x:v>
      </x:c>
      <x:c r="I762" s="48" t="str">
        <x:v>22</x:v>
      </x:c>
      <x:c r="J762" s="48" t="str">
        <x:v>16</x:v>
      </x:c>
      <x:c r="K762" s="48" t="str">
        <x:v>0</x:v>
      </x:c>
      <x:c r="L762" s="48" t="str">
        <x:v>0</x:v>
      </x:c>
      <x:c r="M762" s="48" t="str">
        <x:v>16</x:v>
      </x:c>
      <x:c r="N762" s="48" t="str">
        <x:v>6</x:v>
      </x:c>
      <x:c r="O762" s="48" t="str">
        <x:v>0</x:v>
      </x:c>
      <x:c r="P762" s="48" t="str">
        <x:v>0</x:v>
      </x:c>
      <x:c r="Q762" s="48" t="str">
        <x:v>1.000</x:v>
      </x:c>
      <x:c r="R762" s="48" t="str">
        <x:v>N TOO SMALL</x:v>
      </x:c>
      <x:c r="S762" s="48" t="str"/>
      <x:c r="T762" s="48" t="str">
        <x:v>CONTROL_BUYOUT:N=16,p=1.000</x:v>
      </x:c>
      <x:c r="U762" s="48" t="str">
        <x:v>Fewer than two driver groups have at least 5 observable manager families.</x:v>
      </x:c>
      <x:c r="V762" s="48" t="str">
        <x:v>At least 5 observable manager families in at least 2 driver groups</x:v>
      </x:c>
      <x:c r="W762" s="48" t="str">
        <x:v>&gt;=0.35 separates; &lt;=0.15 does not separate; intermediate is inconclusive/confounded; direct driver-definition tests are CIRCULAR</x:v>
      </x:c>
      <x:c r="X762" s="48" t="str">
        <x:v>MANAGER_SELF_DESCRIPTION; NOT BEHAVIOURAL FREQUENCY</x:v>
      </x:c>
    </x:row>
    <x:row r="763">
      <x:c r="A763" s="48" t="str">
        <x:v>B_GOVERNANCE_SEGMENTATION</x:v>
      </x:c>
      <x:c r="B763" s="48" t="str">
        <x:v>Tier B v1.1 - N=29 rerun</x:v>
      </x:c>
      <x:c r="C763" s="48" t="str">
        <x:v>2026-07-16</x:v>
      </x:c>
      <x:c r="D763" s="48" t="str">
        <x:v>S03</x:v>
      </x:c>
      <x:c r="E763" s="48" t="str">
        <x:v>SOURCING_STRATEGY</x:v>
      </x:c>
      <x:c r="F763" s="48" t="str">
        <x:v>Site visits or operational fieldwork explicit</x:v>
      </x:c>
      <x:c r="G763" s="48" t="str">
        <x:v>strategy</x:v>
      </x:c>
      <x:c r="H763" s="48" t="str">
        <x:v>GROWTH_CONTROL_HYBRID</x:v>
      </x:c>
      <x:c r="I763" s="48" t="str">
        <x:v>6</x:v>
      </x:c>
      <x:c r="J763" s="48" t="str">
        <x:v>1</x:v>
      </x:c>
      <x:c r="K763" s="48" t="str">
        <x:v>0</x:v>
      </x:c>
      <x:c r="L763" s="48" t="str">
        <x:v>0</x:v>
      </x:c>
      <x:c r="M763" s="48" t="str">
        <x:v>1</x:v>
      </x:c>
      <x:c r="N763" s="48" t="str">
        <x:v>5</x:v>
      </x:c>
      <x:c r="O763" s="48" t="str">
        <x:v>0</x:v>
      </x:c>
      <x:c r="P763" s="48" t="str">
        <x:v>0</x:v>
      </x:c>
      <x:c r="Q763" s="48" t="str">
        <x:v>1.000</x:v>
      </x:c>
      <x:c r="R763" s="48" t="str">
        <x:v>N TOO SMALL</x:v>
      </x:c>
      <x:c r="S763" s="48" t="str"/>
      <x:c r="T763" s="48" t="str">
        <x:v>CONTROL_BUYOUT:N=16,p=1.000</x:v>
      </x:c>
      <x:c r="U763" s="48" t="str">
        <x:v>Fewer than two driver groups have at least 5 observable manager families.</x:v>
      </x:c>
      <x:c r="V763" s="48" t="str">
        <x:v>At least 5 observable manager families in at least 2 driver groups</x:v>
      </x:c>
      <x:c r="W763" s="48" t="str">
        <x:v>&gt;=0.35 separates; &lt;=0.15 does not separate; intermediate is inconclusive/confounded; direct driver-definition tests are CIRCULAR</x:v>
      </x:c>
      <x:c r="X763" s="48" t="str">
        <x:v>MANAGER_SELF_DESCRIPTION; NOT BEHAVIOURAL FREQUENCY</x:v>
      </x:c>
    </x:row>
    <x:row r="764">
      <x:c r="A764" s="48" t="str">
        <x:v>B_GOVERNANCE_SEGMENTATION</x:v>
      </x:c>
      <x:c r="B764" s="48" t="str">
        <x:v>Tier B v1.1 - N=29 rerun</x:v>
      </x:c>
      <x:c r="C764" s="48" t="str">
        <x:v>2026-07-16</x:v>
      </x:c>
      <x:c r="D764" s="48" t="str">
        <x:v>S03</x:v>
      </x:c>
      <x:c r="E764" s="48" t="str">
        <x:v>SOURCING_STRATEGY</x:v>
      </x:c>
      <x:c r="F764" s="48" t="str">
        <x:v>Site visits or operational fieldwork explicit</x:v>
      </x:c>
      <x:c r="G764" s="48" t="str">
        <x:v>strategy</x:v>
      </x:c>
      <x:c r="H764" s="48" t="str">
        <x:v>OPPORTUNISTIC_CONTROL</x:v>
      </x:c>
      <x:c r="I764" s="48" t="str">
        <x:v>1</x:v>
      </x:c>
      <x:c r="J764" s="48" t="str">
        <x:v>1</x:v>
      </x:c>
      <x:c r="K764" s="48" t="str">
        <x:v>0</x:v>
      </x:c>
      <x:c r="L764" s="48" t="str">
        <x:v>0</x:v>
      </x:c>
      <x:c r="M764" s="48" t="str">
        <x:v>1</x:v>
      </x:c>
      <x:c r="N764" s="48" t="str">
        <x:v>0</x:v>
      </x:c>
      <x:c r="O764" s="48" t="str">
        <x:v>0</x:v>
      </x:c>
      <x:c r="P764" s="48" t="str">
        <x:v>0</x:v>
      </x:c>
      <x:c r="Q764" s="48" t="str">
        <x:v>1.000</x:v>
      </x:c>
      <x:c r="R764" s="48" t="str">
        <x:v>N TOO SMALL</x:v>
      </x:c>
      <x:c r="S764" s="48" t="str"/>
      <x:c r="T764" s="48" t="str">
        <x:v>CONTROL_BUYOUT:N=16,p=1.000</x:v>
      </x:c>
      <x:c r="U764" s="48" t="str">
        <x:v>Fewer than two driver groups have at least 5 observable manager families.</x:v>
      </x:c>
      <x:c r="V764" s="48" t="str">
        <x:v>At least 5 observable manager families in at least 2 driver groups</x:v>
      </x:c>
      <x:c r="W764" s="48" t="str">
        <x:v>&gt;=0.35 separates; &lt;=0.15 does not separate; intermediate is inconclusive/confounded; direct driver-definition tests are CIRCULAR</x:v>
      </x:c>
      <x:c r="X764" s="48" t="str">
        <x:v>MANAGER_SELF_DESCRIPTION; NOT BEHAVIOURAL FREQUENCY</x:v>
      </x:c>
    </x:row>
    <x:row r="765">
      <x:c r="A765" s="48" t="str">
        <x:v>B_GOVERNANCE_SEGMENTATION</x:v>
      </x:c>
      <x:c r="B765" s="48" t="str">
        <x:v>Tier B v1.1 - N=29 rerun</x:v>
      </x:c>
      <x:c r="C765" s="48" t="str">
        <x:v>2026-07-16</x:v>
      </x:c>
      <x:c r="D765" s="48" t="str">
        <x:v>S03</x:v>
      </x:c>
      <x:c r="E765" s="48" t="str">
        <x:v>SOURCING_STRATEGY</x:v>
      </x:c>
      <x:c r="F765" s="48" t="str">
        <x:v>Site visits or operational fieldwork explicit</x:v>
      </x:c>
      <x:c r="G765" s="48" t="str">
        <x:v>geography</x:v>
      </x:c>
      <x:c r="H765" s="48" t="str">
        <x:v>ASIA_PACIFIC</x:v>
      </x:c>
      <x:c r="I765" s="48" t="str">
        <x:v>4</x:v>
      </x:c>
      <x:c r="J765" s="48" t="str">
        <x:v>3</x:v>
      </x:c>
      <x:c r="K765" s="48" t="str">
        <x:v>0</x:v>
      </x:c>
      <x:c r="L765" s="48" t="str">
        <x:v>0</x:v>
      </x:c>
      <x:c r="M765" s="48" t="str">
        <x:v>3</x:v>
      </x:c>
      <x:c r="N765" s="48" t="str">
        <x:v>1</x:v>
      </x:c>
      <x:c r="O765" s="48" t="str">
        <x:v>0</x:v>
      </x:c>
      <x:c r="P765" s="48" t="str">
        <x:v>0</x:v>
      </x:c>
      <x:c r="Q765" s="48" t="str">
        <x:v>1.000</x:v>
      </x:c>
      <x:c r="R765" s="48" t="str">
        <x:v>DRIVER DOES NOT SEPARATE</x:v>
      </x:c>
      <x:c r="S765" s="48" t="str">
        <x:v>0.000</x:v>
      </x:c>
      <x:c r="T765" s="48" t="str">
        <x:v>GLOBAL_TRANSATLANTIC:N=9,p=1.000; NORTH_AMERICA:N=5,p=1.000</x:v>
      </x:c>
      <x:c r="U765" s="48" t="str">
        <x:v>Maximum-minus-minimum prevalence among adequately observed groups is no more than 0.15.</x:v>
      </x:c>
      <x:c r="V765" s="48" t="str">
        <x:v>At least 5 observable manager families in at least 2 driver groups</x:v>
      </x:c>
      <x:c r="W765" s="48" t="str">
        <x:v>&gt;=0.35 separates; &lt;=0.15 does not separate; intermediate is inconclusive/confounded; direct driver-definition tests are CIRCULAR</x:v>
      </x:c>
      <x:c r="X765" s="48" t="str">
        <x:v>MANAGER_SELF_DESCRIPTION; NOT BEHAVIOURAL FREQUENCY</x:v>
      </x:c>
    </x:row>
    <x:row r="766">
      <x:c r="A766" s="48" t="str">
        <x:v>B_GOVERNANCE_SEGMENTATION</x:v>
      </x:c>
      <x:c r="B766" s="48" t="str">
        <x:v>Tier B v1.1 - N=29 rerun</x:v>
      </x:c>
      <x:c r="C766" s="48" t="str">
        <x:v>2026-07-16</x:v>
      </x:c>
      <x:c r="D766" s="48" t="str">
        <x:v>S03</x:v>
      </x:c>
      <x:c r="E766" s="48" t="str">
        <x:v>SOURCING_STRATEGY</x:v>
      </x:c>
      <x:c r="F766" s="48" t="str">
        <x:v>Site visits or operational fieldwork explicit</x:v>
      </x:c>
      <x:c r="G766" s="48" t="str">
        <x:v>geography</x:v>
      </x:c>
      <x:c r="H766" s="48" t="str">
        <x:v>EUROPE</x:v>
      </x:c>
      <x:c r="I766" s="48" t="str">
        <x:v>2</x:v>
      </x:c>
      <x:c r="J766" s="48" t="str">
        <x:v>1</x:v>
      </x:c>
      <x:c r="K766" s="48" t="str">
        <x:v>0</x:v>
      </x:c>
      <x:c r="L766" s="48" t="str">
        <x:v>0</x:v>
      </x:c>
      <x:c r="M766" s="48" t="str">
        <x:v>1</x:v>
      </x:c>
      <x:c r="N766" s="48" t="str">
        <x:v>1</x:v>
      </x:c>
      <x:c r="O766" s="48" t="str">
        <x:v>0</x:v>
      </x:c>
      <x:c r="P766" s="48" t="str">
        <x:v>0</x:v>
      </x:c>
      <x:c r="Q766" s="48" t="str">
        <x:v>1.000</x:v>
      </x:c>
      <x:c r="R766" s="48" t="str">
        <x:v>DRIVER DOES NOT SEPARATE</x:v>
      </x:c>
      <x:c r="S766" s="48" t="str">
        <x:v>0.000</x:v>
      </x:c>
      <x:c r="T766" s="48" t="str">
        <x:v>GLOBAL_TRANSATLANTIC:N=9,p=1.000; NORTH_AMERICA:N=5,p=1.000</x:v>
      </x:c>
      <x:c r="U766" s="48" t="str">
        <x:v>Maximum-minus-minimum prevalence among adequately observed groups is no more than 0.15.</x:v>
      </x:c>
      <x:c r="V766" s="48" t="str">
        <x:v>At least 5 observable manager families in at least 2 driver groups</x:v>
      </x:c>
      <x:c r="W766" s="48" t="str">
        <x:v>&gt;=0.35 separates; &lt;=0.15 does not separate; intermediate is inconclusive/confounded; direct driver-definition tests are CIRCULAR</x:v>
      </x:c>
      <x:c r="X766" s="48" t="str">
        <x:v>MANAGER_SELF_DESCRIPTION; NOT BEHAVIOURAL FREQUENCY</x:v>
      </x:c>
    </x:row>
    <x:row r="767">
      <x:c r="A767" s="48" t="str">
        <x:v>B_GOVERNANCE_SEGMENTATION</x:v>
      </x:c>
      <x:c r="B767" s="48" t="str">
        <x:v>Tier B v1.1 - N=29 rerun</x:v>
      </x:c>
      <x:c r="C767" s="48" t="str">
        <x:v>2026-07-16</x:v>
      </x:c>
      <x:c r="D767" s="48" t="str">
        <x:v>S03</x:v>
      </x:c>
      <x:c r="E767" s="48" t="str">
        <x:v>SOURCING_STRATEGY</x:v>
      </x:c>
      <x:c r="F767" s="48" t="str">
        <x:v>Site visits or operational fieldwork explicit</x:v>
      </x:c>
      <x:c r="G767" s="48" t="str">
        <x:v>geography</x:v>
      </x:c>
      <x:c r="H767" s="48" t="str">
        <x:v>GLOBAL_TRANSATLANTIC</x:v>
      </x:c>
      <x:c r="I767" s="48" t="str">
        <x:v>10</x:v>
      </x:c>
      <x:c r="J767" s="48" t="str">
        <x:v>9</x:v>
      </x:c>
      <x:c r="K767" s="48" t="str">
        <x:v>0</x:v>
      </x:c>
      <x:c r="L767" s="48" t="str">
        <x:v>0</x:v>
      </x:c>
      <x:c r="M767" s="48" t="str">
        <x:v>9</x:v>
      </x:c>
      <x:c r="N767" s="48" t="str">
        <x:v>1</x:v>
      </x:c>
      <x:c r="O767" s="48" t="str">
        <x:v>0</x:v>
      </x:c>
      <x:c r="P767" s="48" t="str">
        <x:v>0</x:v>
      </x:c>
      <x:c r="Q767" s="48" t="str">
        <x:v>1.000</x:v>
      </x:c>
      <x:c r="R767" s="48" t="str">
        <x:v>DRIVER DOES NOT SEPARATE</x:v>
      </x:c>
      <x:c r="S767" s="48" t="str">
        <x:v>0.000</x:v>
      </x:c>
      <x:c r="T767" s="48" t="str">
        <x:v>GLOBAL_TRANSATLANTIC:N=9,p=1.000; NORTH_AMERICA:N=5,p=1.000</x:v>
      </x:c>
      <x:c r="U767" s="48" t="str">
        <x:v>Maximum-minus-minimum prevalence among adequately observed groups is no more than 0.15.</x:v>
      </x:c>
      <x:c r="V767" s="48" t="str">
        <x:v>At least 5 observable manager families in at least 2 driver groups</x:v>
      </x:c>
      <x:c r="W767" s="48" t="str">
        <x:v>&gt;=0.35 separates; &lt;=0.15 does not separate; intermediate is inconclusive/confounded; direct driver-definition tests are CIRCULAR</x:v>
      </x:c>
      <x:c r="X767" s="48" t="str">
        <x:v>MANAGER_SELF_DESCRIPTION; NOT BEHAVIOURAL FREQUENCY</x:v>
      </x:c>
    </x:row>
    <x:row r="768">
      <x:c r="A768" s="48" t="str">
        <x:v>B_GOVERNANCE_SEGMENTATION</x:v>
      </x:c>
      <x:c r="B768" s="48" t="str">
        <x:v>Tier B v1.1 - N=29 rerun</x:v>
      </x:c>
      <x:c r="C768" s="48" t="str">
        <x:v>2026-07-16</x:v>
      </x:c>
      <x:c r="D768" s="48" t="str">
        <x:v>S03</x:v>
      </x:c>
      <x:c r="E768" s="48" t="str">
        <x:v>SOURCING_STRATEGY</x:v>
      </x:c>
      <x:c r="F768" s="48" t="str">
        <x:v>Site visits or operational fieldwork explicit</x:v>
      </x:c>
      <x:c r="G768" s="48" t="str">
        <x:v>geography</x:v>
      </x:c>
      <x:c r="H768" s="48" t="str">
        <x:v>NORTH_AMERICA</x:v>
      </x:c>
      <x:c r="I768" s="48" t="str">
        <x:v>13</x:v>
      </x:c>
      <x:c r="J768" s="48" t="str">
        <x:v>5</x:v>
      </x:c>
      <x:c r="K768" s="48" t="str">
        <x:v>0</x:v>
      </x:c>
      <x:c r="L768" s="48" t="str">
        <x:v>0</x:v>
      </x:c>
      <x:c r="M768" s="48" t="str">
        <x:v>5</x:v>
      </x:c>
      <x:c r="N768" s="48" t="str">
        <x:v>8</x:v>
      </x:c>
      <x:c r="O768" s="48" t="str">
        <x:v>0</x:v>
      </x:c>
      <x:c r="P768" s="48" t="str">
        <x:v>0</x:v>
      </x:c>
      <x:c r="Q768" s="48" t="str">
        <x:v>1.000</x:v>
      </x:c>
      <x:c r="R768" s="48" t="str">
        <x:v>DRIVER DOES NOT SEPARATE</x:v>
      </x:c>
      <x:c r="S768" s="48" t="str">
        <x:v>0.000</x:v>
      </x:c>
      <x:c r="T768" s="48" t="str">
        <x:v>GLOBAL_TRANSATLANTIC:N=9,p=1.000; NORTH_AMERICA:N=5,p=1.000</x:v>
      </x:c>
      <x:c r="U768" s="48" t="str">
        <x:v>Maximum-minus-minimum prevalence among adequately observed groups is no more than 0.15.</x:v>
      </x:c>
      <x:c r="V768" s="48" t="str">
        <x:v>At least 5 observable manager families in at least 2 driver groups</x:v>
      </x:c>
      <x:c r="W768" s="48" t="str">
        <x:v>&gt;=0.35 separates; &lt;=0.15 does not separate; intermediate is inconclusive/confounded; direct driver-definition tests are CIRCULAR</x:v>
      </x:c>
      <x:c r="X768" s="48" t="str">
        <x:v>MANAGER_SELF_DESCRIPTION; NOT BEHAVIOURAL FREQUENCY</x:v>
      </x:c>
    </x:row>
    <x:row r="769">
      <x:c r="A769" s="48" t="str">
        <x:v>B_GOVERNANCE_SEGMENTATION</x:v>
      </x:c>
      <x:c r="B769" s="48" t="str">
        <x:v>Tier B v1.1 - N=29 rerun</x:v>
      </x:c>
      <x:c r="C769" s="48" t="str">
        <x:v>2026-07-16</x:v>
      </x:c>
      <x:c r="D769" s="48" t="str">
        <x:v>S03</x:v>
      </x:c>
      <x:c r="E769" s="48" t="str">
        <x:v>SOURCING_STRATEGY</x:v>
      </x:c>
      <x:c r="F769" s="48" t="str">
        <x:v>Site visits or operational fieldwork explicit</x:v>
      </x:c>
      <x:c r="G769" s="48" t="str">
        <x:v>source_vintage_bin</x:v>
      </x:c>
      <x:c r="H769" s="48" t="str">
        <x:v>2018_2020</x:v>
      </x:c>
      <x:c r="I769" s="48" t="str">
        <x:v>6</x:v>
      </x:c>
      <x:c r="J769" s="48" t="str">
        <x:v>4</x:v>
      </x:c>
      <x:c r="K769" s="48" t="str">
        <x:v>0</x:v>
      </x:c>
      <x:c r="L769" s="48" t="str">
        <x:v>0</x:v>
      </x:c>
      <x:c r="M769" s="48" t="str">
        <x:v>4</x:v>
      </x:c>
      <x:c r="N769" s="48" t="str">
        <x:v>2</x:v>
      </x:c>
      <x:c r="O769" s="48" t="str">
        <x:v>0</x:v>
      </x:c>
      <x:c r="P769" s="48" t="str">
        <x:v>0</x:v>
      </x:c>
      <x:c r="Q769" s="48" t="str">
        <x:v>1.000</x:v>
      </x:c>
      <x:c r="R769" s="48" t="str">
        <x:v>DRIVER DOES NOT SEPARATE</x:v>
      </x:c>
      <x:c r="S769" s="48" t="str">
        <x:v>0.000</x:v>
      </x:c>
      <x:c r="T769" s="48" t="str">
        <x:v>2021_2023:N=8,p=1.000; 2024_2026:N=6,p=1.000</x:v>
      </x:c>
      <x:c r="U769" s="48" t="str">
        <x:v>Maximum-minus-minimum prevalence among adequately observed groups is no more than 0.15.</x:v>
      </x:c>
      <x:c r="V769" s="48" t="str">
        <x:v>At least 5 observable manager families in at least 2 driver groups</x:v>
      </x:c>
      <x:c r="W769" s="48" t="str">
        <x:v>&gt;=0.35 separates; &lt;=0.15 does not separate; intermediate is inconclusive/confounded; direct driver-definition tests are CIRCULAR</x:v>
      </x:c>
      <x:c r="X769" s="48" t="str">
        <x:v>MANAGER_SELF_DESCRIPTION; NOT BEHAVIOURAL FREQUENCY</x:v>
      </x:c>
    </x:row>
    <x:row r="770">
      <x:c r="A770" s="48" t="str">
        <x:v>B_GOVERNANCE_SEGMENTATION</x:v>
      </x:c>
      <x:c r="B770" s="48" t="str">
        <x:v>Tier B v1.1 - N=29 rerun</x:v>
      </x:c>
      <x:c r="C770" s="48" t="str">
        <x:v>2026-07-16</x:v>
      </x:c>
      <x:c r="D770" s="48" t="str">
        <x:v>S03</x:v>
      </x:c>
      <x:c r="E770" s="48" t="str">
        <x:v>SOURCING_STRATEGY</x:v>
      </x:c>
      <x:c r="F770" s="48" t="str">
        <x:v>Site visits or operational fieldwork explicit</x:v>
      </x:c>
      <x:c r="G770" s="48" t="str">
        <x:v>source_vintage_bin</x:v>
      </x:c>
      <x:c r="H770" s="48" t="str">
        <x:v>2021_2023</x:v>
      </x:c>
      <x:c r="I770" s="48" t="str">
        <x:v>11</x:v>
      </x:c>
      <x:c r="J770" s="48" t="str">
        <x:v>8</x:v>
      </x:c>
      <x:c r="K770" s="48" t="str">
        <x:v>0</x:v>
      </x:c>
      <x:c r="L770" s="48" t="str">
        <x:v>0</x:v>
      </x:c>
      <x:c r="M770" s="48" t="str">
        <x:v>8</x:v>
      </x:c>
      <x:c r="N770" s="48" t="str">
        <x:v>3</x:v>
      </x:c>
      <x:c r="O770" s="48" t="str">
        <x:v>0</x:v>
      </x:c>
      <x:c r="P770" s="48" t="str">
        <x:v>0</x:v>
      </x:c>
      <x:c r="Q770" s="48" t="str">
        <x:v>1.000</x:v>
      </x:c>
      <x:c r="R770" s="48" t="str">
        <x:v>DRIVER DOES NOT SEPARATE</x:v>
      </x:c>
      <x:c r="S770" s="48" t="str">
        <x:v>0.000</x:v>
      </x:c>
      <x:c r="T770" s="48" t="str">
        <x:v>2021_2023:N=8,p=1.000; 2024_2026:N=6,p=1.000</x:v>
      </x:c>
      <x:c r="U770" s="48" t="str">
        <x:v>Maximum-minus-minimum prevalence among adequately observed groups is no more than 0.15.</x:v>
      </x:c>
      <x:c r="V770" s="48" t="str">
        <x:v>At least 5 observable manager families in at least 2 driver groups</x:v>
      </x:c>
      <x:c r="W770" s="48" t="str">
        <x:v>&gt;=0.35 separates; &lt;=0.15 does not separate; intermediate is inconclusive/confounded; direct driver-definition tests are CIRCULAR</x:v>
      </x:c>
      <x:c r="X770" s="48" t="str">
        <x:v>MANAGER_SELF_DESCRIPTION; NOT BEHAVIOURAL FREQUENCY</x:v>
      </x:c>
    </x:row>
    <x:row r="771">
      <x:c r="A771" s="48" t="str">
        <x:v>B_GOVERNANCE_SEGMENTATION</x:v>
      </x:c>
      <x:c r="B771" s="48" t="str">
        <x:v>Tier B v1.1 - N=29 rerun</x:v>
      </x:c>
      <x:c r="C771" s="48" t="str">
        <x:v>2026-07-16</x:v>
      </x:c>
      <x:c r="D771" s="48" t="str">
        <x:v>S03</x:v>
      </x:c>
      <x:c r="E771" s="48" t="str">
        <x:v>SOURCING_STRATEGY</x:v>
      </x:c>
      <x:c r="F771" s="48" t="str">
        <x:v>Site visits or operational fieldwork explicit</x:v>
      </x:c>
      <x:c r="G771" s="48" t="str">
        <x:v>source_vintage_bin</x:v>
      </x:c>
      <x:c r="H771" s="48" t="str">
        <x:v>2024_2026</x:v>
      </x:c>
      <x:c r="I771" s="48" t="str">
        <x:v>12</x:v>
      </x:c>
      <x:c r="J771" s="48" t="str">
        <x:v>6</x:v>
      </x:c>
      <x:c r="K771" s="48" t="str">
        <x:v>0</x:v>
      </x:c>
      <x:c r="L771" s="48" t="str">
        <x:v>0</x:v>
      </x:c>
      <x:c r="M771" s="48" t="str">
        <x:v>6</x:v>
      </x:c>
      <x:c r="N771" s="48" t="str">
        <x:v>6</x:v>
      </x:c>
      <x:c r="O771" s="48" t="str">
        <x:v>0</x:v>
      </x:c>
      <x:c r="P771" s="48" t="str">
        <x:v>0</x:v>
      </x:c>
      <x:c r="Q771" s="48" t="str">
        <x:v>1.000</x:v>
      </x:c>
      <x:c r="R771" s="48" t="str">
        <x:v>DRIVER DOES NOT SEPARATE</x:v>
      </x:c>
      <x:c r="S771" s="48" t="str">
        <x:v>0.000</x:v>
      </x:c>
      <x:c r="T771" s="48" t="str">
        <x:v>2021_2023:N=8,p=1.000; 2024_2026:N=6,p=1.000</x:v>
      </x:c>
      <x:c r="U771" s="48" t="str">
        <x:v>Maximum-minus-minimum prevalence among adequately observed groups is no more than 0.15.</x:v>
      </x:c>
      <x:c r="V771" s="48" t="str">
        <x:v>At least 5 observable manager families in at least 2 driver groups</x:v>
      </x:c>
      <x:c r="W771" s="48" t="str">
        <x:v>&gt;=0.35 separates; &lt;=0.15 does not separate; intermediate is inconclusive/confounded; direct driver-definition tests are CIRCULAR</x:v>
      </x:c>
      <x:c r="X771" s="48" t="str">
        <x:v>MANAGER_SELF_DESCRIPTION; NOT BEHAVIOURAL FREQUENCY</x:v>
      </x:c>
    </x:row>
    <x:row r="772">
      <x:c r="A772" s="48" t="str">
        <x:v>B_GOVERNANCE_SEGMENTATION</x:v>
      </x:c>
      <x:c r="B772" s="48" t="str">
        <x:v>Tier B v1.1 - N=29 rerun</x:v>
      </x:c>
      <x:c r="C772" s="48" t="str">
        <x:v>2026-07-16</x:v>
      </x:c>
      <x:c r="D772" s="48" t="str">
        <x:v>S03</x:v>
      </x:c>
      <x:c r="E772" s="48" t="str">
        <x:v>SOURCING_STRATEGY</x:v>
      </x:c>
      <x:c r="F772" s="48" t="str">
        <x:v>Site visits or operational fieldwork explicit</x:v>
      </x:c>
      <x:c r="G772" s="48" t="str">
        <x:v>governance_architecture</x:v>
      </x:c>
      <x:c r="H772" s="48" t="str">
        <x:v>IC_FINAL_OR_DE_FACTO</x:v>
      </x:c>
      <x:c r="I772" s="48" t="str">
        <x:v>26</x:v>
      </x:c>
      <x:c r="J772" s="48" t="str">
        <x:v>16</x:v>
      </x:c>
      <x:c r="K772" s="48" t="str">
        <x:v>0</x:v>
      </x:c>
      <x:c r="L772" s="48" t="str">
        <x:v>0</x:v>
      </x:c>
      <x:c r="M772" s="48" t="str">
        <x:v>16</x:v>
      </x:c>
      <x:c r="N772" s="48" t="str">
        <x:v>10</x:v>
      </x:c>
      <x:c r="O772" s="48" t="str">
        <x:v>0</x:v>
      </x:c>
      <x:c r="P772" s="48" t="str">
        <x:v>0</x:v>
      </x:c>
      <x:c r="Q772" s="48" t="str">
        <x:v>1.000</x:v>
      </x:c>
      <x:c r="R772" s="48" t="str">
        <x:v>N TOO SMALL</x:v>
      </x:c>
      <x:c r="S772" s="48" t="str"/>
      <x:c r="T772" s="48" t="str">
        <x:v>IC_FINAL_OR_DE_FACTO:N=16,p=1.000</x:v>
      </x:c>
      <x:c r="U772" s="48" t="str">
        <x:v>Fewer than two driver groups have at least 5 observable manager families.</x:v>
      </x:c>
      <x:c r="V772" s="48" t="str">
        <x:v>At least 5 observable manager families in at least 2 driver groups</x:v>
      </x:c>
      <x:c r="W772" s="48" t="str">
        <x:v>&gt;=0.35 separates; &lt;=0.15 does not separate; intermediate is inconclusive/confounded; direct driver-definition tests are CIRCULAR</x:v>
      </x:c>
      <x:c r="X772" s="48" t="str">
        <x:v>MANAGER_SELF_DESCRIPTION; NOT BEHAVIOURAL FREQUENCY</x:v>
      </x:c>
    </x:row>
    <x:row r="773">
      <x:c r="A773" s="48" t="str">
        <x:v>B_GOVERNANCE_SEGMENTATION</x:v>
      </x:c>
      <x:c r="B773" s="48" t="str">
        <x:v>Tier B v1.1 - N=29 rerun</x:v>
      </x:c>
      <x:c r="C773" s="48" t="str">
        <x:v>2026-07-16</x:v>
      </x:c>
      <x:c r="D773" s="48" t="str">
        <x:v>S03</x:v>
      </x:c>
      <x:c r="E773" s="48" t="str">
        <x:v>SOURCING_STRATEGY</x:v>
      </x:c>
      <x:c r="F773" s="48" t="str">
        <x:v>Site visits or operational fieldwork explicit</x:v>
      </x:c>
      <x:c r="G773" s="48" t="str">
        <x:v>governance_architecture</x:v>
      </x:c>
      <x:c r="H773" s="48" t="str">
        <x:v>IC_RECOMMENDS_SEPARATE_FINAL_AUTHORITY</x:v>
      </x:c>
      <x:c r="I773" s="48" t="str">
        <x:v>3</x:v>
      </x:c>
      <x:c r="J773" s="48" t="str">
        <x:v>2</x:v>
      </x:c>
      <x:c r="K773" s="48" t="str">
        <x:v>0</x:v>
      </x:c>
      <x:c r="L773" s="48" t="str">
        <x:v>0</x:v>
      </x:c>
      <x:c r="M773" s="48" t="str">
        <x:v>2</x:v>
      </x:c>
      <x:c r="N773" s="48" t="str">
        <x:v>1</x:v>
      </x:c>
      <x:c r="O773" s="48" t="str">
        <x:v>0</x:v>
      </x:c>
      <x:c r="P773" s="48" t="str">
        <x:v>0</x:v>
      </x:c>
      <x:c r="Q773" s="48" t="str">
        <x:v>1.000</x:v>
      </x:c>
      <x:c r="R773" s="48" t="str">
        <x:v>N TOO SMALL</x:v>
      </x:c>
      <x:c r="S773" s="48" t="str"/>
      <x:c r="T773" s="48" t="str">
        <x:v>IC_FINAL_OR_DE_FACTO:N=16,p=1.000</x:v>
      </x:c>
      <x:c r="U773" s="48" t="str">
        <x:v>Fewer than two driver groups have at least 5 observable manager families.</x:v>
      </x:c>
      <x:c r="V773" s="48" t="str">
        <x:v>At least 5 observable manager families in at least 2 driver groups</x:v>
      </x:c>
      <x:c r="W773" s="48" t="str">
        <x:v>&gt;=0.35 separates; &lt;=0.15 does not separate; intermediate is inconclusive/confounded; direct driver-definition tests are CIRCULAR</x:v>
      </x:c>
      <x:c r="X773" s="48" t="str">
        <x:v>MANAGER_SELF_DESCRIPTION; NOT BEHAVIOURAL FREQUENCY</x:v>
      </x:c>
    </x:row>
    <x:row r="774">
      <x:c r="A774" s="48" t="str">
        <x:v>B_GOVERNANCE_SEGMENTATION</x:v>
      </x:c>
      <x:c r="B774" s="48" t="str">
        <x:v>Tier B v1.1 - N=29 rerun</x:v>
      </x:c>
      <x:c r="C774" s="48" t="str">
        <x:v>2026-07-16</x:v>
      </x:c>
      <x:c r="D774" s="48" t="str">
        <x:v>S03</x:v>
      </x:c>
      <x:c r="E774" s="48" t="str">
        <x:v>SOURCING_STRATEGY</x:v>
      </x:c>
      <x:c r="F774" s="48" t="str">
        <x:v>Site visits or operational fieldwork explicit</x:v>
      </x:c>
      <x:c r="G774" s="48" t="str">
        <x:v>dedicated_operating_team</x:v>
      </x:c>
      <x:c r="H774" s="48" t="str">
        <x:v>NO_OR_LIMITED</x:v>
      </x:c>
      <x:c r="I774" s="48" t="str">
        <x:v>6</x:v>
      </x:c>
      <x:c r="J774" s="48" t="str">
        <x:v>1</x:v>
      </x:c>
      <x:c r="K774" s="48" t="str">
        <x:v>0</x:v>
      </x:c>
      <x:c r="L774" s="48" t="str">
        <x:v>0</x:v>
      </x:c>
      <x:c r="M774" s="48" t="str">
        <x:v>1</x:v>
      </x:c>
      <x:c r="N774" s="48" t="str">
        <x:v>5</x:v>
      </x:c>
      <x:c r="O774" s="48" t="str">
        <x:v>0</x:v>
      </x:c>
      <x:c r="P774" s="48" t="str">
        <x:v>0</x:v>
      </x:c>
      <x:c r="Q774" s="48" t="str">
        <x:v>1.000</x:v>
      </x:c>
      <x:c r="R774" s="48" t="str">
        <x:v>N TOO SMALL</x:v>
      </x:c>
      <x:c r="S774" s="48" t="str"/>
      <x:c r="T774" s="48" t="str">
        <x:v>YES_DEDICATED:N=17,p=1.000</x:v>
      </x:c>
      <x:c r="U774" s="48" t="str">
        <x:v>Fewer than two driver groups have at least 5 observable manager families.</x:v>
      </x:c>
      <x:c r="V774" s="48" t="str">
        <x:v>At least 5 observable manager families in at least 2 driver groups</x:v>
      </x:c>
      <x:c r="W774" s="48" t="str">
        <x:v>&gt;=0.35 separates; &lt;=0.15 does not separate; intermediate is inconclusive/confounded; direct driver-definition tests are CIRCULAR</x:v>
      </x:c>
      <x:c r="X774" s="48" t="str">
        <x:v>MANAGER_SELF_DESCRIPTION; NOT BEHAVIOURAL FREQUENCY</x:v>
      </x:c>
    </x:row>
    <x:row r="775">
      <x:c r="A775" s="48" t="str">
        <x:v>B_GOVERNANCE_SEGMENTATION</x:v>
      </x:c>
      <x:c r="B775" s="48" t="str">
        <x:v>Tier B v1.1 - N=29 rerun</x:v>
      </x:c>
      <x:c r="C775" s="48" t="str">
        <x:v>2026-07-16</x:v>
      </x:c>
      <x:c r="D775" s="48" t="str">
        <x:v>S03</x:v>
      </x:c>
      <x:c r="E775" s="48" t="str">
        <x:v>SOURCING_STRATEGY</x:v>
      </x:c>
      <x:c r="F775" s="48" t="str">
        <x:v>Site visits or operational fieldwork explicit</x:v>
      </x:c>
      <x:c r="G775" s="48" t="str">
        <x:v>dedicated_operating_team</x:v>
      </x:c>
      <x:c r="H775" s="48" t="str">
        <x:v>YES_DEDICATED</x:v>
      </x:c>
      <x:c r="I775" s="48" t="str">
        <x:v>23</x:v>
      </x:c>
      <x:c r="J775" s="48" t="str">
        <x:v>17</x:v>
      </x:c>
      <x:c r="K775" s="48" t="str">
        <x:v>0</x:v>
      </x:c>
      <x:c r="L775" s="48" t="str">
        <x:v>0</x:v>
      </x:c>
      <x:c r="M775" s="48" t="str">
        <x:v>17</x:v>
      </x:c>
      <x:c r="N775" s="48" t="str">
        <x:v>6</x:v>
      </x:c>
      <x:c r="O775" s="48" t="str">
        <x:v>0</x:v>
      </x:c>
      <x:c r="P775" s="48" t="str">
        <x:v>0</x:v>
      </x:c>
      <x:c r="Q775" s="48" t="str">
        <x:v>1.000</x:v>
      </x:c>
      <x:c r="R775" s="48" t="str">
        <x:v>N TOO SMALL</x:v>
      </x:c>
      <x:c r="S775" s="48" t="str"/>
      <x:c r="T775" s="48" t="str">
        <x:v>YES_DEDICATED:N=17,p=1.000</x:v>
      </x:c>
      <x:c r="U775" s="48" t="str">
        <x:v>Fewer than two driver groups have at least 5 observable manager families.</x:v>
      </x:c>
      <x:c r="V775" s="48" t="str">
        <x:v>At least 5 observable manager families in at least 2 driver groups</x:v>
      </x:c>
      <x:c r="W775" s="48" t="str">
        <x:v>&gt;=0.35 separates; &lt;=0.15 does not separate; intermediate is inconclusive/confounded; direct driver-definition tests are CIRCULAR</x:v>
      </x:c>
      <x:c r="X775" s="48" t="str">
        <x:v>MANAGER_SELF_DESCRIPTION; NOT BEHAVIOURAL FREQUENCY</x:v>
      </x:c>
    </x:row>
    <x:row r="776">
      <x:c r="A776" s="48" t="str">
        <x:v>B_GOVERNANCE_SEGMENTATION</x:v>
      </x:c>
      <x:c r="B776" s="48" t="str">
        <x:v>Tier B v1.1 - N=29 rerun</x:v>
      </x:c>
      <x:c r="C776" s="48" t="str">
        <x:v>2026-07-16</x:v>
      </x:c>
      <x:c r="D776" s="48" t="str">
        <x:v>S04</x:v>
      </x:c>
      <x:c r="E776" s="48" t="str">
        <x:v>SOURCING_STRATEGY</x:v>
      </x:c>
      <x:c r="F776" s="48" t="str">
        <x:v>CRM or formal process-tracking system explicit</x:v>
      </x:c>
      <x:c r="G776" s="48" t="str">
        <x:v>fund_size_archetype</x:v>
      </x:c>
      <x:c r="H776" s="48" t="str">
        <x:v>LARGE_2_TO_LT_5B</x:v>
      </x:c>
      <x:c r="I776" s="48" t="str">
        <x:v>9</x:v>
      </x:c>
      <x:c r="J776" s="48" t="str">
        <x:v>0</x:v>
      </x:c>
      <x:c r="K776" s="48" t="str">
        <x:v>0</x:v>
      </x:c>
      <x:c r="L776" s="48" t="str">
        <x:v>0</x:v>
      </x:c>
      <x:c r="M776" s="48" t="str">
        <x:v>0</x:v>
      </x:c>
      <x:c r="N776" s="48" t="str">
        <x:v>9</x:v>
      </x:c>
      <x:c r="O776" s="48" t="str">
        <x:v>0</x:v>
      </x:c>
      <x:c r="P776" s="48" t="str">
        <x:v>0</x:v>
      </x:c>
      <x:c r="Q776" s="48" t="str"/>
      <x:c r="R776" s="48" t="str">
        <x:v>N TOO SMALL</x:v>
      </x:c>
      <x:c r="S776" s="48" t="str"/>
      <x:c r="T776" s="48" t="str"/>
      <x:c r="U776" s="48" t="str">
        <x:v>Fewer than two driver groups have at least 5 observable manager families.</x:v>
      </x:c>
      <x:c r="V776" s="48" t="str">
        <x:v>At least 5 observable manager families in at least 2 driver groups</x:v>
      </x:c>
      <x:c r="W776" s="48" t="str">
        <x:v>&gt;=0.35 separates; &lt;=0.15 does not separate; intermediate is inconclusive/confounded; direct driver-definition tests are CIRCULAR</x:v>
      </x:c>
      <x:c r="X776" s="48" t="str">
        <x:v>MANAGER_SELF_DESCRIPTION; NOT BEHAVIOURAL FREQUENCY</x:v>
      </x:c>
    </x:row>
    <x:row r="777">
      <x:c r="A777" s="48" t="str">
        <x:v>B_GOVERNANCE_SEGMENTATION</x:v>
      </x:c>
      <x:c r="B777" s="48" t="str">
        <x:v>Tier B v1.1 - N=29 rerun</x:v>
      </x:c>
      <x:c r="C777" s="48" t="str">
        <x:v>2026-07-16</x:v>
      </x:c>
      <x:c r="D777" s="48" t="str">
        <x:v>S04</x:v>
      </x:c>
      <x:c r="E777" s="48" t="str">
        <x:v>SOURCING_STRATEGY</x:v>
      </x:c>
      <x:c r="F777" s="48" t="str">
        <x:v>CRM or formal process-tracking system explicit</x:v>
      </x:c>
      <x:c r="G777" s="48" t="str">
        <x:v>fund_size_archetype</x:v>
      </x:c>
      <x:c r="H777" s="48" t="str">
        <x:v>LOWER_MID_LT_2B</x:v>
      </x:c>
      <x:c r="I777" s="48" t="str">
        <x:v>8</x:v>
      </x:c>
      <x:c r="J777" s="48" t="str">
        <x:v>4</x:v>
      </x:c>
      <x:c r="K777" s="48" t="str">
        <x:v>0</x:v>
      </x:c>
      <x:c r="L777" s="48" t="str">
        <x:v>0</x:v>
      </x:c>
      <x:c r="M777" s="48" t="str">
        <x:v>4</x:v>
      </x:c>
      <x:c r="N777" s="48" t="str">
        <x:v>4</x:v>
      </x:c>
      <x:c r="O777" s="48" t="str">
        <x:v>0</x:v>
      </x:c>
      <x:c r="P777" s="48" t="str">
        <x:v>0</x:v>
      </x:c>
      <x:c r="Q777" s="48" t="str">
        <x:v>1.000</x:v>
      </x:c>
      <x:c r="R777" s="48" t="str">
        <x:v>N TOO SMALL</x:v>
      </x:c>
      <x:c r="S777" s="48" t="str"/>
      <x:c r="T777" s="48" t="str"/>
      <x:c r="U777" s="48" t="str">
        <x:v>Fewer than two driver groups have at least 5 observable manager families.</x:v>
      </x:c>
      <x:c r="V777" s="48" t="str">
        <x:v>At least 5 observable manager families in at least 2 driver groups</x:v>
      </x:c>
      <x:c r="W777" s="48" t="str">
        <x:v>&gt;=0.35 separates; &lt;=0.15 does not separate; intermediate is inconclusive/confounded; direct driver-definition tests are CIRCULAR</x:v>
      </x:c>
      <x:c r="X777" s="48" t="str">
        <x:v>MANAGER_SELF_DESCRIPTION; NOT BEHAVIOURAL FREQUENCY</x:v>
      </x:c>
    </x:row>
    <x:row r="778">
      <x:c r="A778" s="48" t="str">
        <x:v>B_GOVERNANCE_SEGMENTATION</x:v>
      </x:c>
      <x:c r="B778" s="48" t="str">
        <x:v>Tier B v1.1 - N=29 rerun</x:v>
      </x:c>
      <x:c r="C778" s="48" t="str">
        <x:v>2026-07-16</x:v>
      </x:c>
      <x:c r="D778" s="48" t="str">
        <x:v>S04</x:v>
      </x:c>
      <x:c r="E778" s="48" t="str">
        <x:v>SOURCING_STRATEGY</x:v>
      </x:c>
      <x:c r="F778" s="48" t="str">
        <x:v>CRM or formal process-tracking system explicit</x:v>
      </x:c>
      <x:c r="G778" s="48" t="str">
        <x:v>fund_size_archetype</x:v>
      </x:c>
      <x:c r="H778" s="48" t="str">
        <x:v>MEGA_GE_5B</x:v>
      </x:c>
      <x:c r="I778" s="48" t="str">
        <x:v>11</x:v>
      </x:c>
      <x:c r="J778" s="48" t="str">
        <x:v>2</x:v>
      </x:c>
      <x:c r="K778" s="48" t="str">
        <x:v>2</x:v>
      </x:c>
      <x:c r="L778" s="48" t="str">
        <x:v>0</x:v>
      </x:c>
      <x:c r="M778" s="48" t="str">
        <x:v>2</x:v>
      </x:c>
      <x:c r="N778" s="48" t="str">
        <x:v>9</x:v>
      </x:c>
      <x:c r="O778" s="48" t="str">
        <x:v>0</x:v>
      </x:c>
      <x:c r="P778" s="48" t="str">
        <x:v>0</x:v>
      </x:c>
      <x:c r="Q778" s="48" t="str">
        <x:v>1.000</x:v>
      </x:c>
      <x:c r="R778" s="48" t="str">
        <x:v>N TOO SMALL</x:v>
      </x:c>
      <x:c r="S778" s="48" t="str"/>
      <x:c r="T778" s="48" t="str"/>
      <x:c r="U778" s="48" t="str">
        <x:v>Fewer than two driver groups have at least 5 observable manager families.</x:v>
      </x:c>
      <x:c r="V778" s="48" t="str">
        <x:v>At least 5 observable manager families in at least 2 driver groups</x:v>
      </x:c>
      <x:c r="W778" s="48" t="str">
        <x:v>&gt;=0.35 separates; &lt;=0.15 does not separate; intermediate is inconclusive/confounded; direct driver-definition tests are CIRCULAR</x:v>
      </x:c>
      <x:c r="X778" s="48" t="str">
        <x:v>MANAGER_SELF_DESCRIPTION; NOT BEHAVIOURAL FREQUENCY</x:v>
      </x:c>
    </x:row>
    <x:row r="779">
      <x:c r="A779" s="48" t="str">
        <x:v>B_GOVERNANCE_SEGMENTATION</x:v>
      </x:c>
      <x:c r="B779" s="48" t="str">
        <x:v>Tier B v1.1 - N=29 rerun</x:v>
      </x:c>
      <x:c r="C779" s="48" t="str">
        <x:v>2026-07-16</x:v>
      </x:c>
      <x:c r="D779" s="48" t="str">
        <x:v>S04</x:v>
      </x:c>
      <x:c r="E779" s="48" t="str">
        <x:v>SOURCING_STRATEGY</x:v>
      </x:c>
      <x:c r="F779" s="48" t="str">
        <x:v>CRM or formal process-tracking system explicit</x:v>
      </x:c>
      <x:c r="G779" s="48" t="str">
        <x:v>fund_size_archetype</x:v>
      </x:c>
      <x:c r="H779" s="48" t="str">
        <x:v>NOT_APPLICABLE</x:v>
      </x:c>
      <x:c r="I779" s="48" t="str">
        <x:v>1</x:v>
      </x:c>
      <x:c r="J779" s="48" t="str">
        <x:v>0</x:v>
      </x:c>
      <x:c r="K779" s="48" t="str">
        <x:v>0</x:v>
      </x:c>
      <x:c r="L779" s="48" t="str">
        <x:v>0</x:v>
      </x:c>
      <x:c r="M779" s="48" t="str">
        <x:v>0</x:v>
      </x:c>
      <x:c r="N779" s="48" t="str">
        <x:v>1</x:v>
      </x:c>
      <x:c r="O779" s="48" t="str">
        <x:v>0</x:v>
      </x:c>
      <x:c r="P779" s="48" t="str">
        <x:v>0</x:v>
      </x:c>
      <x:c r="Q779" s="48" t="str"/>
      <x:c r="R779" s="48" t="str">
        <x:v>N TOO SMALL</x:v>
      </x:c>
      <x:c r="S779" s="48" t="str"/>
      <x:c r="T779" s="48" t="str"/>
      <x:c r="U779" s="48" t="str">
        <x:v>Fewer than two driver groups have at least 5 observable manager families.</x:v>
      </x:c>
      <x:c r="V779" s="48" t="str">
        <x:v>At least 5 observable manager families in at least 2 driver groups</x:v>
      </x:c>
      <x:c r="W779" s="48" t="str">
        <x:v>&gt;=0.35 separates; &lt;=0.15 does not separate; intermediate is inconclusive/confounded; direct driver-definition tests are CIRCULAR</x:v>
      </x:c>
      <x:c r="X779" s="48" t="str">
        <x:v>MANAGER_SELF_DESCRIPTION; NOT BEHAVIOURAL FREQUENCY</x:v>
      </x:c>
    </x:row>
    <x:row r="780">
      <x:c r="A780" s="48" t="str">
        <x:v>B_GOVERNANCE_SEGMENTATION</x:v>
      </x:c>
      <x:c r="B780" s="48" t="str">
        <x:v>Tier B v1.1 - N=29 rerun</x:v>
      </x:c>
      <x:c r="C780" s="48" t="str">
        <x:v>2026-07-16</x:v>
      </x:c>
      <x:c r="D780" s="48" t="str">
        <x:v>S04</x:v>
      </x:c>
      <x:c r="E780" s="48" t="str">
        <x:v>SOURCING_STRATEGY</x:v>
      </x:c>
      <x:c r="F780" s="48" t="str">
        <x:v>CRM or formal process-tracking system explicit</x:v>
      </x:c>
      <x:c r="G780" s="48" t="str">
        <x:v>strategy</x:v>
      </x:c>
      <x:c r="H780" s="48" t="str">
        <x:v>CONTROL_BUYOUT</x:v>
      </x:c>
      <x:c r="I780" s="48" t="str">
        <x:v>22</x:v>
      </x:c>
      <x:c r="J780" s="48" t="str">
        <x:v>5</x:v>
      </x:c>
      <x:c r="K780" s="48" t="str">
        <x:v>2</x:v>
      </x:c>
      <x:c r="L780" s="48" t="str">
        <x:v>0</x:v>
      </x:c>
      <x:c r="M780" s="48" t="str">
        <x:v>5</x:v>
      </x:c>
      <x:c r="N780" s="48" t="str">
        <x:v>17</x:v>
      </x:c>
      <x:c r="O780" s="48" t="str">
        <x:v>0</x:v>
      </x:c>
      <x:c r="P780" s="48" t="str">
        <x:v>0</x:v>
      </x:c>
      <x:c r="Q780" s="48" t="str">
        <x:v>1.000</x:v>
      </x:c>
      <x:c r="R780" s="48" t="str">
        <x:v>N TOO SMALL</x:v>
      </x:c>
      <x:c r="S780" s="48" t="str"/>
      <x:c r="T780" s="48" t="str">
        <x:v>CONTROL_BUYOUT:N=5,p=1.000</x:v>
      </x:c>
      <x:c r="U780" s="48" t="str">
        <x:v>Fewer than two driver groups have at least 5 observable manager families.</x:v>
      </x:c>
      <x:c r="V780" s="48" t="str">
        <x:v>At least 5 observable manager families in at least 2 driver groups</x:v>
      </x:c>
      <x:c r="W780" s="48" t="str">
        <x:v>&gt;=0.35 separates; &lt;=0.15 does not separate; intermediate is inconclusive/confounded; direct driver-definition tests are CIRCULAR</x:v>
      </x:c>
      <x:c r="X780" s="48" t="str">
        <x:v>MANAGER_SELF_DESCRIPTION; NOT BEHAVIOURAL FREQUENCY</x:v>
      </x:c>
    </x:row>
    <x:row r="781">
      <x:c r="A781" s="48" t="str">
        <x:v>B_GOVERNANCE_SEGMENTATION</x:v>
      </x:c>
      <x:c r="B781" s="48" t="str">
        <x:v>Tier B v1.1 - N=29 rerun</x:v>
      </x:c>
      <x:c r="C781" s="48" t="str">
        <x:v>2026-07-16</x:v>
      </x:c>
      <x:c r="D781" s="48" t="str">
        <x:v>S04</x:v>
      </x:c>
      <x:c r="E781" s="48" t="str">
        <x:v>SOURCING_STRATEGY</x:v>
      </x:c>
      <x:c r="F781" s="48" t="str">
        <x:v>CRM or formal process-tracking system explicit</x:v>
      </x:c>
      <x:c r="G781" s="48" t="str">
        <x:v>strategy</x:v>
      </x:c>
      <x:c r="H781" s="48" t="str">
        <x:v>GROWTH_CONTROL_HYBRID</x:v>
      </x:c>
      <x:c r="I781" s="48" t="str">
        <x:v>6</x:v>
      </x:c>
      <x:c r="J781" s="48" t="str">
        <x:v>1</x:v>
      </x:c>
      <x:c r="K781" s="48" t="str">
        <x:v>0</x:v>
      </x:c>
      <x:c r="L781" s="48" t="str">
        <x:v>0</x:v>
      </x:c>
      <x:c r="M781" s="48" t="str">
        <x:v>1</x:v>
      </x:c>
      <x:c r="N781" s="48" t="str">
        <x:v>5</x:v>
      </x:c>
      <x:c r="O781" s="48" t="str">
        <x:v>0</x:v>
      </x:c>
      <x:c r="P781" s="48" t="str">
        <x:v>0</x:v>
      </x:c>
      <x:c r="Q781" s="48" t="str">
        <x:v>1.000</x:v>
      </x:c>
      <x:c r="R781" s="48" t="str">
        <x:v>N TOO SMALL</x:v>
      </x:c>
      <x:c r="S781" s="48" t="str"/>
      <x:c r="T781" s="48" t="str">
        <x:v>CONTROL_BUYOUT:N=5,p=1.000</x:v>
      </x:c>
      <x:c r="U781" s="48" t="str">
        <x:v>Fewer than two driver groups have at least 5 observable manager families.</x:v>
      </x:c>
      <x:c r="V781" s="48" t="str">
        <x:v>At least 5 observable manager families in at least 2 driver groups</x:v>
      </x:c>
      <x:c r="W781" s="48" t="str">
        <x:v>&gt;=0.35 separates; &lt;=0.15 does not separate; intermediate is inconclusive/confounded; direct driver-definition tests are CIRCULAR</x:v>
      </x:c>
      <x:c r="X781" s="48" t="str">
        <x:v>MANAGER_SELF_DESCRIPTION; NOT BEHAVIOURAL FREQUENCY</x:v>
      </x:c>
    </x:row>
    <x:row r="782">
      <x:c r="A782" s="48" t="str">
        <x:v>B_GOVERNANCE_SEGMENTATION</x:v>
      </x:c>
      <x:c r="B782" s="48" t="str">
        <x:v>Tier B v1.1 - N=29 rerun</x:v>
      </x:c>
      <x:c r="C782" s="48" t="str">
        <x:v>2026-07-16</x:v>
      </x:c>
      <x:c r="D782" s="48" t="str">
        <x:v>S04</x:v>
      </x:c>
      <x:c r="E782" s="48" t="str">
        <x:v>SOURCING_STRATEGY</x:v>
      </x:c>
      <x:c r="F782" s="48" t="str">
        <x:v>CRM or formal process-tracking system explicit</x:v>
      </x:c>
      <x:c r="G782" s="48" t="str">
        <x:v>strategy</x:v>
      </x:c>
      <x:c r="H782" s="48" t="str">
        <x:v>OPPORTUNISTIC_CONTROL</x:v>
      </x:c>
      <x:c r="I782" s="48" t="str">
        <x:v>1</x:v>
      </x:c>
      <x:c r="J782" s="48" t="str">
        <x:v>0</x:v>
      </x:c>
      <x:c r="K782" s="48" t="str">
        <x:v>0</x:v>
      </x:c>
      <x:c r="L782" s="48" t="str">
        <x:v>0</x:v>
      </x:c>
      <x:c r="M782" s="48" t="str">
        <x:v>0</x:v>
      </x:c>
      <x:c r="N782" s="48" t="str">
        <x:v>1</x:v>
      </x:c>
      <x:c r="O782" s="48" t="str">
        <x:v>0</x:v>
      </x:c>
      <x:c r="P782" s="48" t="str">
        <x:v>0</x:v>
      </x:c>
      <x:c r="Q782" s="48" t="str"/>
      <x:c r="R782" s="48" t="str">
        <x:v>N TOO SMALL</x:v>
      </x:c>
      <x:c r="S782" s="48" t="str"/>
      <x:c r="T782" s="48" t="str">
        <x:v>CONTROL_BUYOUT:N=5,p=1.000</x:v>
      </x:c>
      <x:c r="U782" s="48" t="str">
        <x:v>Fewer than two driver groups have at least 5 observable manager families.</x:v>
      </x:c>
      <x:c r="V782" s="48" t="str">
        <x:v>At least 5 observable manager families in at least 2 driver groups</x:v>
      </x:c>
      <x:c r="W782" s="48" t="str">
        <x:v>&gt;=0.35 separates; &lt;=0.15 does not separate; intermediate is inconclusive/confounded; direct driver-definition tests are CIRCULAR</x:v>
      </x:c>
      <x:c r="X782" s="48" t="str">
        <x:v>MANAGER_SELF_DESCRIPTION; NOT BEHAVIOURAL FREQUENCY</x:v>
      </x:c>
    </x:row>
    <x:row r="783">
      <x:c r="A783" s="48" t="str">
        <x:v>B_GOVERNANCE_SEGMENTATION</x:v>
      </x:c>
      <x:c r="B783" s="48" t="str">
        <x:v>Tier B v1.1 - N=29 rerun</x:v>
      </x:c>
      <x:c r="C783" s="48" t="str">
        <x:v>2026-07-16</x:v>
      </x:c>
      <x:c r="D783" s="48" t="str">
        <x:v>S04</x:v>
      </x:c>
      <x:c r="E783" s="48" t="str">
        <x:v>SOURCING_STRATEGY</x:v>
      </x:c>
      <x:c r="F783" s="48" t="str">
        <x:v>CRM or formal process-tracking system explicit</x:v>
      </x:c>
      <x:c r="G783" s="48" t="str">
        <x:v>geography</x:v>
      </x:c>
      <x:c r="H783" s="48" t="str">
        <x:v>ASIA_PACIFIC</x:v>
      </x:c>
      <x:c r="I783" s="48" t="str">
        <x:v>4</x:v>
      </x:c>
      <x:c r="J783" s="48" t="str">
        <x:v>1</x:v>
      </x:c>
      <x:c r="K783" s="48" t="str">
        <x:v>0</x:v>
      </x:c>
      <x:c r="L783" s="48" t="str">
        <x:v>0</x:v>
      </x:c>
      <x:c r="M783" s="48" t="str">
        <x:v>1</x:v>
      </x:c>
      <x:c r="N783" s="48" t="str">
        <x:v>3</x:v>
      </x:c>
      <x:c r="O783" s="48" t="str">
        <x:v>0</x:v>
      </x:c>
      <x:c r="P783" s="48" t="str">
        <x:v>0</x:v>
      </x:c>
      <x:c r="Q783" s="48" t="str">
        <x:v>1.000</x:v>
      </x:c>
      <x:c r="R783" s="48" t="str">
        <x:v>N TOO SMALL</x:v>
      </x:c>
      <x:c r="S783" s="48" t="str"/>
      <x:c r="T783" s="48" t="str"/>
      <x:c r="U783" s="48" t="str">
        <x:v>Fewer than two driver groups have at least 5 observable manager families.</x:v>
      </x:c>
      <x:c r="V783" s="48" t="str">
        <x:v>At least 5 observable manager families in at least 2 driver groups</x:v>
      </x:c>
      <x:c r="W783" s="48" t="str">
        <x:v>&gt;=0.35 separates; &lt;=0.15 does not separate; intermediate is inconclusive/confounded; direct driver-definition tests are CIRCULAR</x:v>
      </x:c>
      <x:c r="X783" s="48" t="str">
        <x:v>MANAGER_SELF_DESCRIPTION; NOT BEHAVIOURAL FREQUENCY</x:v>
      </x:c>
    </x:row>
    <x:row r="784">
      <x:c r="A784" s="48" t="str">
        <x:v>B_GOVERNANCE_SEGMENTATION</x:v>
      </x:c>
      <x:c r="B784" s="48" t="str">
        <x:v>Tier B v1.1 - N=29 rerun</x:v>
      </x:c>
      <x:c r="C784" s="48" t="str">
        <x:v>2026-07-16</x:v>
      </x:c>
      <x:c r="D784" s="48" t="str">
        <x:v>S04</x:v>
      </x:c>
      <x:c r="E784" s="48" t="str">
        <x:v>SOURCING_STRATEGY</x:v>
      </x:c>
      <x:c r="F784" s="48" t="str">
        <x:v>CRM or formal process-tracking system explicit</x:v>
      </x:c>
      <x:c r="G784" s="48" t="str">
        <x:v>geography</x:v>
      </x:c>
      <x:c r="H784" s="48" t="str">
        <x:v>EUROPE</x:v>
      </x:c>
      <x:c r="I784" s="48" t="str">
        <x:v>2</x:v>
      </x:c>
      <x:c r="J784" s="48" t="str">
        <x:v>1</x:v>
      </x:c>
      <x:c r="K784" s="48" t="str">
        <x:v>0</x:v>
      </x:c>
      <x:c r="L784" s="48" t="str">
        <x:v>0</x:v>
      </x:c>
      <x:c r="M784" s="48" t="str">
        <x:v>1</x:v>
      </x:c>
      <x:c r="N784" s="48" t="str">
        <x:v>1</x:v>
      </x:c>
      <x:c r="O784" s="48" t="str">
        <x:v>0</x:v>
      </x:c>
      <x:c r="P784" s="48" t="str">
        <x:v>0</x:v>
      </x:c>
      <x:c r="Q784" s="48" t="str">
        <x:v>1.000</x:v>
      </x:c>
      <x:c r="R784" s="48" t="str">
        <x:v>N TOO SMALL</x:v>
      </x:c>
      <x:c r="S784" s="48" t="str"/>
      <x:c r="T784" s="48" t="str"/>
      <x:c r="U784" s="48" t="str">
        <x:v>Fewer than two driver groups have at least 5 observable manager families.</x:v>
      </x:c>
      <x:c r="V784" s="48" t="str">
        <x:v>At least 5 observable manager families in at least 2 driver groups</x:v>
      </x:c>
      <x:c r="W784" s="48" t="str">
        <x:v>&gt;=0.35 separates; &lt;=0.15 does not separate; intermediate is inconclusive/confounded; direct driver-definition tests are CIRCULAR</x:v>
      </x:c>
      <x:c r="X784" s="48" t="str">
        <x:v>MANAGER_SELF_DESCRIPTION; NOT BEHAVIOURAL FREQUENCY</x:v>
      </x:c>
    </x:row>
    <x:row r="785">
      <x:c r="A785" s="48" t="str">
        <x:v>B_GOVERNANCE_SEGMENTATION</x:v>
      </x:c>
      <x:c r="B785" s="48" t="str">
        <x:v>Tier B v1.1 - N=29 rerun</x:v>
      </x:c>
      <x:c r="C785" s="48" t="str">
        <x:v>2026-07-16</x:v>
      </x:c>
      <x:c r="D785" s="48" t="str">
        <x:v>S04</x:v>
      </x:c>
      <x:c r="E785" s="48" t="str">
        <x:v>SOURCING_STRATEGY</x:v>
      </x:c>
      <x:c r="F785" s="48" t="str">
        <x:v>CRM or formal process-tracking system explicit</x:v>
      </x:c>
      <x:c r="G785" s="48" t="str">
        <x:v>geography</x:v>
      </x:c>
      <x:c r="H785" s="48" t="str">
        <x:v>GLOBAL_TRANSATLANTIC</x:v>
      </x:c>
      <x:c r="I785" s="48" t="str">
        <x:v>10</x:v>
      </x:c>
      <x:c r="J785" s="48" t="str">
        <x:v>2</x:v>
      </x:c>
      <x:c r="K785" s="48" t="str">
        <x:v>2</x:v>
      </x:c>
      <x:c r="L785" s="48" t="str">
        <x:v>0</x:v>
      </x:c>
      <x:c r="M785" s="48" t="str">
        <x:v>2</x:v>
      </x:c>
      <x:c r="N785" s="48" t="str">
        <x:v>8</x:v>
      </x:c>
      <x:c r="O785" s="48" t="str">
        <x:v>0</x:v>
      </x:c>
      <x:c r="P785" s="48" t="str">
        <x:v>0</x:v>
      </x:c>
      <x:c r="Q785" s="48" t="str">
        <x:v>1.000</x:v>
      </x:c>
      <x:c r="R785" s="48" t="str">
        <x:v>N TOO SMALL</x:v>
      </x:c>
      <x:c r="S785" s="48" t="str"/>
      <x:c r="T785" s="48" t="str"/>
      <x:c r="U785" s="48" t="str">
        <x:v>Fewer than two driver groups have at least 5 observable manager families.</x:v>
      </x:c>
      <x:c r="V785" s="48" t="str">
        <x:v>At least 5 observable manager families in at least 2 driver groups</x:v>
      </x:c>
      <x:c r="W785" s="48" t="str">
        <x:v>&gt;=0.35 separates; &lt;=0.15 does not separate; intermediate is inconclusive/confounded; direct driver-definition tests are CIRCULAR</x:v>
      </x:c>
      <x:c r="X785" s="48" t="str">
        <x:v>MANAGER_SELF_DESCRIPTION; NOT BEHAVIOURAL FREQUENCY</x:v>
      </x:c>
    </x:row>
    <x:row r="786">
      <x:c r="A786" s="48" t="str">
        <x:v>B_GOVERNANCE_SEGMENTATION</x:v>
      </x:c>
      <x:c r="B786" s="48" t="str">
        <x:v>Tier B v1.1 - N=29 rerun</x:v>
      </x:c>
      <x:c r="C786" s="48" t="str">
        <x:v>2026-07-16</x:v>
      </x:c>
      <x:c r="D786" s="48" t="str">
        <x:v>S04</x:v>
      </x:c>
      <x:c r="E786" s="48" t="str">
        <x:v>SOURCING_STRATEGY</x:v>
      </x:c>
      <x:c r="F786" s="48" t="str">
        <x:v>CRM or formal process-tracking system explicit</x:v>
      </x:c>
      <x:c r="G786" s="48" t="str">
        <x:v>geography</x:v>
      </x:c>
      <x:c r="H786" s="48" t="str">
        <x:v>NORTH_AMERICA</x:v>
      </x:c>
      <x:c r="I786" s="48" t="str">
        <x:v>13</x:v>
      </x:c>
      <x:c r="J786" s="48" t="str">
        <x:v>2</x:v>
      </x:c>
      <x:c r="K786" s="48" t="str">
        <x:v>0</x:v>
      </x:c>
      <x:c r="L786" s="48" t="str">
        <x:v>0</x:v>
      </x:c>
      <x:c r="M786" s="48" t="str">
        <x:v>2</x:v>
      </x:c>
      <x:c r="N786" s="48" t="str">
        <x:v>11</x:v>
      </x:c>
      <x:c r="O786" s="48" t="str">
        <x:v>0</x:v>
      </x:c>
      <x:c r="P786" s="48" t="str">
        <x:v>0</x:v>
      </x:c>
      <x:c r="Q786" s="48" t="str">
        <x:v>1.000</x:v>
      </x:c>
      <x:c r="R786" s="48" t="str">
        <x:v>N TOO SMALL</x:v>
      </x:c>
      <x:c r="S786" s="48" t="str"/>
      <x:c r="T786" s="48" t="str"/>
      <x:c r="U786" s="48" t="str">
        <x:v>Fewer than two driver groups have at least 5 observable manager families.</x:v>
      </x:c>
      <x:c r="V786" s="48" t="str">
        <x:v>At least 5 observable manager families in at least 2 driver groups</x:v>
      </x:c>
      <x:c r="W786" s="48" t="str">
        <x:v>&gt;=0.35 separates; &lt;=0.15 does not separate; intermediate is inconclusive/confounded; direct driver-definition tests are CIRCULAR</x:v>
      </x:c>
      <x:c r="X786" s="48" t="str">
        <x:v>MANAGER_SELF_DESCRIPTION; NOT BEHAVIOURAL FREQUENCY</x:v>
      </x:c>
    </x:row>
    <x:row r="787">
      <x:c r="A787" s="48" t="str">
        <x:v>B_GOVERNANCE_SEGMENTATION</x:v>
      </x:c>
      <x:c r="B787" s="48" t="str">
        <x:v>Tier B v1.1 - N=29 rerun</x:v>
      </x:c>
      <x:c r="C787" s="48" t="str">
        <x:v>2026-07-16</x:v>
      </x:c>
      <x:c r="D787" s="48" t="str">
        <x:v>S04</x:v>
      </x:c>
      <x:c r="E787" s="48" t="str">
        <x:v>SOURCING_STRATEGY</x:v>
      </x:c>
      <x:c r="F787" s="48" t="str">
        <x:v>CRM or formal process-tracking system explicit</x:v>
      </x:c>
      <x:c r="G787" s="48" t="str">
        <x:v>source_vintage_bin</x:v>
      </x:c>
      <x:c r="H787" s="48" t="str">
        <x:v>2018_2020</x:v>
      </x:c>
      <x:c r="I787" s="48" t="str">
        <x:v>6</x:v>
      </x:c>
      <x:c r="J787" s="48" t="str">
        <x:v>1</x:v>
      </x:c>
      <x:c r="K787" s="48" t="str">
        <x:v>0</x:v>
      </x:c>
      <x:c r="L787" s="48" t="str">
        <x:v>0</x:v>
      </x:c>
      <x:c r="M787" s="48" t="str">
        <x:v>1</x:v>
      </x:c>
      <x:c r="N787" s="48" t="str">
        <x:v>5</x:v>
      </x:c>
      <x:c r="O787" s="48" t="str">
        <x:v>0</x:v>
      </x:c>
      <x:c r="P787" s="48" t="str">
        <x:v>0</x:v>
      </x:c>
      <x:c r="Q787" s="48" t="str">
        <x:v>1.000</x:v>
      </x:c>
      <x:c r="R787" s="48" t="str">
        <x:v>N TOO SMALL</x:v>
      </x:c>
      <x:c r="S787" s="48" t="str"/>
      <x:c r="T787" s="48" t="str"/>
      <x:c r="U787" s="48" t="str">
        <x:v>Fewer than two driver groups have at least 5 observable manager families.</x:v>
      </x:c>
      <x:c r="V787" s="48" t="str">
        <x:v>At least 5 observable manager families in at least 2 driver groups</x:v>
      </x:c>
      <x:c r="W787" s="48" t="str">
        <x:v>&gt;=0.35 separates; &lt;=0.15 does not separate; intermediate is inconclusive/confounded; direct driver-definition tests are CIRCULAR</x:v>
      </x:c>
      <x:c r="X787" s="48" t="str">
        <x:v>MANAGER_SELF_DESCRIPTION; NOT BEHAVIOURAL FREQUENCY</x:v>
      </x:c>
    </x:row>
    <x:row r="788">
      <x:c r="A788" s="48" t="str">
        <x:v>B_GOVERNANCE_SEGMENTATION</x:v>
      </x:c>
      <x:c r="B788" s="48" t="str">
        <x:v>Tier B v1.1 - N=29 rerun</x:v>
      </x:c>
      <x:c r="C788" s="48" t="str">
        <x:v>2026-07-16</x:v>
      </x:c>
      <x:c r="D788" s="48" t="str">
        <x:v>S04</x:v>
      </x:c>
      <x:c r="E788" s="48" t="str">
        <x:v>SOURCING_STRATEGY</x:v>
      </x:c>
      <x:c r="F788" s="48" t="str">
        <x:v>CRM or formal process-tracking system explicit</x:v>
      </x:c>
      <x:c r="G788" s="48" t="str">
        <x:v>source_vintage_bin</x:v>
      </x:c>
      <x:c r="H788" s="48" t="str">
        <x:v>2021_2023</x:v>
      </x:c>
      <x:c r="I788" s="48" t="str">
        <x:v>11</x:v>
      </x:c>
      <x:c r="J788" s="48" t="str">
        <x:v>3</x:v>
      </x:c>
      <x:c r="K788" s="48" t="str">
        <x:v>2</x:v>
      </x:c>
      <x:c r="L788" s="48" t="str">
        <x:v>0</x:v>
      </x:c>
      <x:c r="M788" s="48" t="str">
        <x:v>3</x:v>
      </x:c>
      <x:c r="N788" s="48" t="str">
        <x:v>8</x:v>
      </x:c>
      <x:c r="O788" s="48" t="str">
        <x:v>0</x:v>
      </x:c>
      <x:c r="P788" s="48" t="str">
        <x:v>0</x:v>
      </x:c>
      <x:c r="Q788" s="48" t="str">
        <x:v>1.000</x:v>
      </x:c>
      <x:c r="R788" s="48" t="str">
        <x:v>N TOO SMALL</x:v>
      </x:c>
      <x:c r="S788" s="48" t="str"/>
      <x:c r="T788" s="48" t="str"/>
      <x:c r="U788" s="48" t="str">
        <x:v>Fewer than two driver groups have at least 5 observable manager families.</x:v>
      </x:c>
      <x:c r="V788" s="48" t="str">
        <x:v>At least 5 observable manager families in at least 2 driver groups</x:v>
      </x:c>
      <x:c r="W788" s="48" t="str">
        <x:v>&gt;=0.35 separates; &lt;=0.15 does not separate; intermediate is inconclusive/confounded; direct driver-definition tests are CIRCULAR</x:v>
      </x:c>
      <x:c r="X788" s="48" t="str">
        <x:v>MANAGER_SELF_DESCRIPTION; NOT BEHAVIOURAL FREQUENCY</x:v>
      </x:c>
    </x:row>
    <x:row r="789">
      <x:c r="A789" s="48" t="str">
        <x:v>B_GOVERNANCE_SEGMENTATION</x:v>
      </x:c>
      <x:c r="B789" s="48" t="str">
        <x:v>Tier B v1.1 - N=29 rerun</x:v>
      </x:c>
      <x:c r="C789" s="48" t="str">
        <x:v>2026-07-16</x:v>
      </x:c>
      <x:c r="D789" s="48" t="str">
        <x:v>S04</x:v>
      </x:c>
      <x:c r="E789" s="48" t="str">
        <x:v>SOURCING_STRATEGY</x:v>
      </x:c>
      <x:c r="F789" s="48" t="str">
        <x:v>CRM or formal process-tracking system explicit</x:v>
      </x:c>
      <x:c r="G789" s="48" t="str">
        <x:v>source_vintage_bin</x:v>
      </x:c>
      <x:c r="H789" s="48" t="str">
        <x:v>2024_2026</x:v>
      </x:c>
      <x:c r="I789" s="48" t="str">
        <x:v>12</x:v>
      </x:c>
      <x:c r="J789" s="48" t="str">
        <x:v>2</x:v>
      </x:c>
      <x:c r="K789" s="48" t="str">
        <x:v>0</x:v>
      </x:c>
      <x:c r="L789" s="48" t="str">
        <x:v>0</x:v>
      </x:c>
      <x:c r="M789" s="48" t="str">
        <x:v>2</x:v>
      </x:c>
      <x:c r="N789" s="48" t="str">
        <x:v>10</x:v>
      </x:c>
      <x:c r="O789" s="48" t="str">
        <x:v>0</x:v>
      </x:c>
      <x:c r="P789" s="48" t="str">
        <x:v>0</x:v>
      </x:c>
      <x:c r="Q789" s="48" t="str">
        <x:v>1.000</x:v>
      </x:c>
      <x:c r="R789" s="48" t="str">
        <x:v>N TOO SMALL</x:v>
      </x:c>
      <x:c r="S789" s="48" t="str"/>
      <x:c r="T789" s="48" t="str"/>
      <x:c r="U789" s="48" t="str">
        <x:v>Fewer than two driver groups have at least 5 observable manager families.</x:v>
      </x:c>
      <x:c r="V789" s="48" t="str">
        <x:v>At least 5 observable manager families in at least 2 driver groups</x:v>
      </x:c>
      <x:c r="W789" s="48" t="str">
        <x:v>&gt;=0.35 separates; &lt;=0.15 does not separate; intermediate is inconclusive/confounded; direct driver-definition tests are CIRCULAR</x:v>
      </x:c>
      <x:c r="X789" s="48" t="str">
        <x:v>MANAGER_SELF_DESCRIPTION; NOT BEHAVIOURAL FREQUENCY</x:v>
      </x:c>
    </x:row>
    <x:row r="790">
      <x:c r="A790" s="48" t="str">
        <x:v>B_GOVERNANCE_SEGMENTATION</x:v>
      </x:c>
      <x:c r="B790" s="48" t="str">
        <x:v>Tier B v1.1 - N=29 rerun</x:v>
      </x:c>
      <x:c r="C790" s="48" t="str">
        <x:v>2026-07-16</x:v>
      </x:c>
      <x:c r="D790" s="48" t="str">
        <x:v>S04</x:v>
      </x:c>
      <x:c r="E790" s="48" t="str">
        <x:v>SOURCING_STRATEGY</x:v>
      </x:c>
      <x:c r="F790" s="48" t="str">
        <x:v>CRM or formal process-tracking system explicit</x:v>
      </x:c>
      <x:c r="G790" s="48" t="str">
        <x:v>governance_architecture</x:v>
      </x:c>
      <x:c r="H790" s="48" t="str">
        <x:v>IC_FINAL_OR_DE_FACTO</x:v>
      </x:c>
      <x:c r="I790" s="48" t="str">
        <x:v>26</x:v>
      </x:c>
      <x:c r="J790" s="48" t="str">
        <x:v>6</x:v>
      </x:c>
      <x:c r="K790" s="48" t="str">
        <x:v>2</x:v>
      </x:c>
      <x:c r="L790" s="48" t="str">
        <x:v>0</x:v>
      </x:c>
      <x:c r="M790" s="48" t="str">
        <x:v>6</x:v>
      </x:c>
      <x:c r="N790" s="48" t="str">
        <x:v>20</x:v>
      </x:c>
      <x:c r="O790" s="48" t="str">
        <x:v>0</x:v>
      </x:c>
      <x:c r="P790" s="48" t="str">
        <x:v>0</x:v>
      </x:c>
      <x:c r="Q790" s="48" t="str">
        <x:v>1.000</x:v>
      </x:c>
      <x:c r="R790" s="48" t="str">
        <x:v>N TOO SMALL</x:v>
      </x:c>
      <x:c r="S790" s="48" t="str"/>
      <x:c r="T790" s="48" t="str">
        <x:v>IC_FINAL_OR_DE_FACTO:N=6,p=1.000</x:v>
      </x:c>
      <x:c r="U790" s="48" t="str">
        <x:v>Fewer than two driver groups have at least 5 observable manager families.</x:v>
      </x:c>
      <x:c r="V790" s="48" t="str">
        <x:v>At least 5 observable manager families in at least 2 driver groups</x:v>
      </x:c>
      <x:c r="W790" s="48" t="str">
        <x:v>&gt;=0.35 separates; &lt;=0.15 does not separate; intermediate is inconclusive/confounded; direct driver-definition tests are CIRCULAR</x:v>
      </x:c>
      <x:c r="X790" s="48" t="str">
        <x:v>MANAGER_SELF_DESCRIPTION; NOT BEHAVIOURAL FREQUENCY</x:v>
      </x:c>
    </x:row>
    <x:row r="791">
      <x:c r="A791" s="48" t="str">
        <x:v>B_GOVERNANCE_SEGMENTATION</x:v>
      </x:c>
      <x:c r="B791" s="48" t="str">
        <x:v>Tier B v1.1 - N=29 rerun</x:v>
      </x:c>
      <x:c r="C791" s="48" t="str">
        <x:v>2026-07-16</x:v>
      </x:c>
      <x:c r="D791" s="48" t="str">
        <x:v>S04</x:v>
      </x:c>
      <x:c r="E791" s="48" t="str">
        <x:v>SOURCING_STRATEGY</x:v>
      </x:c>
      <x:c r="F791" s="48" t="str">
        <x:v>CRM or formal process-tracking system explicit</x:v>
      </x:c>
      <x:c r="G791" s="48" t="str">
        <x:v>governance_architecture</x:v>
      </x:c>
      <x:c r="H791" s="48" t="str">
        <x:v>IC_RECOMMENDS_SEPARATE_FINAL_AUTHORITY</x:v>
      </x:c>
      <x:c r="I791" s="48" t="str">
        <x:v>3</x:v>
      </x:c>
      <x:c r="J791" s="48" t="str">
        <x:v>0</x:v>
      </x:c>
      <x:c r="K791" s="48" t="str">
        <x:v>0</x:v>
      </x:c>
      <x:c r="L791" s="48" t="str">
        <x:v>0</x:v>
      </x:c>
      <x:c r="M791" s="48" t="str">
        <x:v>0</x:v>
      </x:c>
      <x:c r="N791" s="48" t="str">
        <x:v>3</x:v>
      </x:c>
      <x:c r="O791" s="48" t="str">
        <x:v>0</x:v>
      </x:c>
      <x:c r="P791" s="48" t="str">
        <x:v>0</x:v>
      </x:c>
      <x:c r="Q791" s="48" t="str"/>
      <x:c r="R791" s="48" t="str">
        <x:v>N TOO SMALL</x:v>
      </x:c>
      <x:c r="S791" s="48" t="str"/>
      <x:c r="T791" s="48" t="str">
        <x:v>IC_FINAL_OR_DE_FACTO:N=6,p=1.000</x:v>
      </x:c>
      <x:c r="U791" s="48" t="str">
        <x:v>Fewer than two driver groups have at least 5 observable manager families.</x:v>
      </x:c>
      <x:c r="V791" s="48" t="str">
        <x:v>At least 5 observable manager families in at least 2 driver groups</x:v>
      </x:c>
      <x:c r="W791" s="48" t="str">
        <x:v>&gt;=0.35 separates; &lt;=0.15 does not separate; intermediate is inconclusive/confounded; direct driver-definition tests are CIRCULAR</x:v>
      </x:c>
      <x:c r="X791" s="48" t="str">
        <x:v>MANAGER_SELF_DESCRIPTION; NOT BEHAVIOURAL FREQUENCY</x:v>
      </x:c>
    </x:row>
    <x:row r="792">
      <x:c r="A792" s="48" t="str">
        <x:v>B_GOVERNANCE_SEGMENTATION</x:v>
      </x:c>
      <x:c r="B792" s="48" t="str">
        <x:v>Tier B v1.1 - N=29 rerun</x:v>
      </x:c>
      <x:c r="C792" s="48" t="str">
        <x:v>2026-07-16</x:v>
      </x:c>
      <x:c r="D792" s="48" t="str">
        <x:v>S04</x:v>
      </x:c>
      <x:c r="E792" s="48" t="str">
        <x:v>SOURCING_STRATEGY</x:v>
      </x:c>
      <x:c r="F792" s="48" t="str">
        <x:v>CRM or formal process-tracking system explicit</x:v>
      </x:c>
      <x:c r="G792" s="48" t="str">
        <x:v>dedicated_operating_team</x:v>
      </x:c>
      <x:c r="H792" s="48" t="str">
        <x:v>NO_OR_LIMITED</x:v>
      </x:c>
      <x:c r="I792" s="48" t="str">
        <x:v>6</x:v>
      </x:c>
      <x:c r="J792" s="48" t="str">
        <x:v>4</x:v>
      </x:c>
      <x:c r="K792" s="48" t="str">
        <x:v>0</x:v>
      </x:c>
      <x:c r="L792" s="48" t="str">
        <x:v>0</x:v>
      </x:c>
      <x:c r="M792" s="48" t="str">
        <x:v>4</x:v>
      </x:c>
      <x:c r="N792" s="48" t="str">
        <x:v>2</x:v>
      </x:c>
      <x:c r="O792" s="48" t="str">
        <x:v>0</x:v>
      </x:c>
      <x:c r="P792" s="48" t="str">
        <x:v>0</x:v>
      </x:c>
      <x:c r="Q792" s="48" t="str">
        <x:v>1.000</x:v>
      </x:c>
      <x:c r="R792" s="48" t="str">
        <x:v>N TOO SMALL</x:v>
      </x:c>
      <x:c r="S792" s="48" t="str"/>
      <x:c r="T792" s="48" t="str"/>
      <x:c r="U792" s="48" t="str">
        <x:v>Fewer than two driver groups have at least 5 observable manager families.</x:v>
      </x:c>
      <x:c r="V792" s="48" t="str">
        <x:v>At least 5 observable manager families in at least 2 driver groups</x:v>
      </x:c>
      <x:c r="W792" s="48" t="str">
        <x:v>&gt;=0.35 separates; &lt;=0.15 does not separate; intermediate is inconclusive/confounded; direct driver-definition tests are CIRCULAR</x:v>
      </x:c>
      <x:c r="X792" s="48" t="str">
        <x:v>MANAGER_SELF_DESCRIPTION; NOT BEHAVIOURAL FREQUENCY</x:v>
      </x:c>
    </x:row>
    <x:row r="793">
      <x:c r="A793" s="48" t="str">
        <x:v>B_GOVERNANCE_SEGMENTATION</x:v>
      </x:c>
      <x:c r="B793" s="48" t="str">
        <x:v>Tier B v1.1 - N=29 rerun</x:v>
      </x:c>
      <x:c r="C793" s="48" t="str">
        <x:v>2026-07-16</x:v>
      </x:c>
      <x:c r="D793" s="48" t="str">
        <x:v>S04</x:v>
      </x:c>
      <x:c r="E793" s="48" t="str">
        <x:v>SOURCING_STRATEGY</x:v>
      </x:c>
      <x:c r="F793" s="48" t="str">
        <x:v>CRM or formal process-tracking system explicit</x:v>
      </x:c>
      <x:c r="G793" s="48" t="str">
        <x:v>dedicated_operating_team</x:v>
      </x:c>
      <x:c r="H793" s="48" t="str">
        <x:v>YES_DEDICATED</x:v>
      </x:c>
      <x:c r="I793" s="48" t="str">
        <x:v>23</x:v>
      </x:c>
      <x:c r="J793" s="48" t="str">
        <x:v>2</x:v>
      </x:c>
      <x:c r="K793" s="48" t="str">
        <x:v>2</x:v>
      </x:c>
      <x:c r="L793" s="48" t="str">
        <x:v>0</x:v>
      </x:c>
      <x:c r="M793" s="48" t="str">
        <x:v>2</x:v>
      </x:c>
      <x:c r="N793" s="48" t="str">
        <x:v>21</x:v>
      </x:c>
      <x:c r="O793" s="48" t="str">
        <x:v>0</x:v>
      </x:c>
      <x:c r="P793" s="48" t="str">
        <x:v>0</x:v>
      </x:c>
      <x:c r="Q793" s="48" t="str">
        <x:v>1.000</x:v>
      </x:c>
      <x:c r="R793" s="48" t="str">
        <x:v>N TOO SMALL</x:v>
      </x:c>
      <x:c r="S793" s="48" t="str"/>
      <x:c r="T793" s="48" t="str"/>
      <x:c r="U793" s="48" t="str">
        <x:v>Fewer than two driver groups have at least 5 observable manager families.</x:v>
      </x:c>
      <x:c r="V793" s="48" t="str">
        <x:v>At least 5 observable manager families in at least 2 driver groups</x:v>
      </x:c>
      <x:c r="W793" s="48" t="str">
        <x:v>&gt;=0.35 separates; &lt;=0.15 does not separate; intermediate is inconclusive/confounded; direct driver-definition tests are CIRCULAR</x:v>
      </x:c>
      <x:c r="X793" s="48" t="str">
        <x:v>MANAGER_SELF_DESCRIPTION; NOT BEHAVIOURAL FREQUENCY</x:v>
      </x:c>
    </x:row>
  </x:sheetData>
  <x:pageMargins left="0.7" right="0.7" top="0.75" bottom="0.75" header="0.3" footer="0.3"/>
  <x:tableParts count="1">
    <x:tablePart xmlns:r="http://schemas.openxmlformats.org/officeDocument/2006/relationships" r:id="Rf6e33c8ec770470e"/>
  </x:tableParts>
</x:worksheet>
</file>

<file path=xl/worksheets/sheet8.xml><?xml version="1.0" encoding="utf-8"?>
<x:worksheet xmlns:x="http://schemas.openxmlformats.org/spreadsheetml/2006/main">
  <x:sheetFormatPr defaultRowHeight="15"/>
  <x:cols>
    <x:col min="1" max="1" width="14" hidden="0" customWidth="1"/>
    <x:col min="2" max="2" width="18" hidden="0" customWidth="1"/>
    <x:col min="3" max="3" width="16" hidden="0" customWidth="1"/>
    <x:col min="4" max="4" width="16" hidden="0" customWidth="1"/>
    <x:col min="5" max="5" width="16" hidden="0" customWidth="1"/>
  </x:cols>
  <x:sheetData>
    <x:row r="1">
      <x:c r="A1" s="42" t="str">
        <x:v>feature_id</x:v>
      </x:c>
      <x:c r="B1" s="42" t="str">
        <x:v>driver</x:v>
      </x:c>
      <x:c r="C1" s="42" t="str">
        <x:v>verdict</x:v>
      </x:c>
      <x:c r="D1" s="42" t="str">
        <x:v>effect</x:v>
      </x:c>
      <x:c r="E1" s="42" t="str">
        <x:v>groups</x:v>
      </x:c>
    </x:row>
    <x:row r="2">
      <x:c r="A2" s="48" t="str">
        <x:v>G01</x:v>
      </x:c>
      <x:c r="B2" s="48" t="str">
        <x:v>fund_size_archetype</x:v>
      </x:c>
      <x:c r="C2" s="48" t="str">
        <x:v>DRIVER DOES NOT SEPARATE</x:v>
      </x:c>
      <x:c r="D2" s="48" t="str">
        <x:v>0.000</x:v>
      </x:c>
      <x:c r="E2" s="48" t="str">
        <x:v>LARGE_2_TO_LT_5B:N=9,p=1.000; LOWER_MID_LT_2B:N=8,p=1.000; MEGA_GE_5B:N=11,p=1.000</x:v>
      </x:c>
    </x:row>
    <x:row r="3">
      <x:c r="A3" s="48" t="str">
        <x:v>G01</x:v>
      </x:c>
      <x:c r="B3" s="48" t="str">
        <x:v>strategy</x:v>
      </x:c>
      <x:c r="C3" s="48" t="str">
        <x:v>DRIVER DOES NOT SEPARATE</x:v>
      </x:c>
      <x:c r="D3" s="48" t="str">
        <x:v>0.000</x:v>
      </x:c>
      <x:c r="E3" s="48" t="str">
        <x:v>CONTROL_BUYOUT:N=22,p=1.000; GROWTH_CONTROL_HYBRID:N=6,p=1.000</x:v>
      </x:c>
    </x:row>
    <x:row r="4">
      <x:c r="A4" s="48" t="str">
        <x:v>G01</x:v>
      </x:c>
      <x:c r="B4" s="48" t="str">
        <x:v>geography</x:v>
      </x:c>
      <x:c r="C4" s="48" t="str">
        <x:v>DRIVER DOES NOT SEPARATE</x:v>
      </x:c>
      <x:c r="D4" s="48" t="str">
        <x:v>0.000</x:v>
      </x:c>
      <x:c r="E4" s="48" t="str">
        <x:v>GLOBAL_TRANSATLANTIC:N=10,p=1.000; NORTH_AMERICA:N=13,p=1.000</x:v>
      </x:c>
    </x:row>
    <x:row r="5">
      <x:c r="A5" s="48" t="str">
        <x:v>G01</x:v>
      </x:c>
      <x:c r="B5" s="48" t="str">
        <x:v>source_vintage_bin</x:v>
      </x:c>
      <x:c r="C5" s="48" t="str">
        <x:v>DRIVER DOES NOT SEPARATE</x:v>
      </x:c>
      <x:c r="D5" s="48" t="str">
        <x:v>0.000</x:v>
      </x:c>
      <x:c r="E5" s="48" t="str">
        <x:v>2018_2020:N=6,p=1.000; 2021_2023:N=11,p=1.000; 2024_2026:N=12,p=1.000</x:v>
      </x:c>
    </x:row>
    <x:row r="6">
      <x:c r="A6" s="48" t="str">
        <x:v>G01</x:v>
      </x:c>
      <x:c r="B6" s="48" t="str">
        <x:v>governance_architecture</x:v>
      </x:c>
      <x:c r="C6" s="48" t="str">
        <x:v>N TOO SMALL</x:v>
      </x:c>
      <x:c r="D6" s="48" t="str"/>
      <x:c r="E6" s="48" t="str">
        <x:v>IC_FINAL_OR_DE_FACTO:N=26,p=1.000</x:v>
      </x:c>
    </x:row>
    <x:row r="7">
      <x:c r="A7" s="48" t="str">
        <x:v>G01</x:v>
      </x:c>
      <x:c r="B7" s="48" t="str">
        <x:v>dedicated_operating_team</x:v>
      </x:c>
      <x:c r="C7" s="48" t="str">
        <x:v>DRIVER DOES NOT SEPARATE</x:v>
      </x:c>
      <x:c r="D7" s="48" t="str">
        <x:v>0.000</x:v>
      </x:c>
      <x:c r="E7" s="48" t="str">
        <x:v>NO_OR_LIMITED:N=6,p=1.000; YES_DEDICATED:N=23,p=1.000</x:v>
      </x:c>
    </x:row>
    <x:row r="8">
      <x:c r="A8" s="48" t="str">
        <x:v>G02</x:v>
      </x:c>
      <x:c r="B8" s="48" t="str">
        <x:v>fund_size_archetype</x:v>
      </x:c>
      <x:c r="C8" s="48" t="str">
        <x:v>DRIVER DOES NOT SEPARATE</x:v>
      </x:c>
      <x:c r="D8" s="48" t="str">
        <x:v>0.000</x:v>
      </x:c>
      <x:c r="E8" s="48" t="str">
        <x:v>LARGE_2_TO_LT_5B:N=9,p=1.000; LOWER_MID_LT_2B:N=6,p=1.000; MEGA_GE_5B:N=8,p=1.000</x:v>
      </x:c>
    </x:row>
    <x:row r="9">
      <x:c r="A9" s="48" t="str">
        <x:v>G02</x:v>
      </x:c>
      <x:c r="B9" s="48" t="str">
        <x:v>strategy</x:v>
      </x:c>
      <x:c r="C9" s="48" t="str">
        <x:v>N TOO SMALL</x:v>
      </x:c>
      <x:c r="D9" s="48" t="str"/>
      <x:c r="E9" s="48" t="str">
        <x:v>CONTROL_BUYOUT:N=19,p=1.000</x:v>
      </x:c>
    </x:row>
    <x:row r="10">
      <x:c r="A10" s="48" t="str">
        <x:v>G02</x:v>
      </x:c>
      <x:c r="B10" s="48" t="str">
        <x:v>geography</x:v>
      </x:c>
      <x:c r="C10" s="48" t="str">
        <x:v>DRIVER DOES NOT SEPARATE</x:v>
      </x:c>
      <x:c r="D10" s="48" t="str">
        <x:v>0.000</x:v>
      </x:c>
      <x:c r="E10" s="48" t="str">
        <x:v>GLOBAL_TRANSATLANTIC:N=7,p=1.000; NORTH_AMERICA:N=11,p=1.000</x:v>
      </x:c>
    </x:row>
    <x:row r="11">
      <x:c r="A11" s="48" t="str">
        <x:v>G02</x:v>
      </x:c>
      <x:c r="B11" s="48" t="str">
        <x:v>source_vintage_bin</x:v>
      </x:c>
      <x:c r="C11" s="48" t="str">
        <x:v>DRIVER DOES NOT SEPARATE</x:v>
      </x:c>
      <x:c r="D11" s="48" t="str">
        <x:v>0.000</x:v>
      </x:c>
      <x:c r="E11" s="48" t="str">
        <x:v>2018_2020:N=5,p=1.000; 2021_2023:N=9,p=1.000; 2024_2026:N=10,p=1.000</x:v>
      </x:c>
    </x:row>
    <x:row r="12">
      <x:c r="A12" s="48" t="str">
        <x:v>G02</x:v>
      </x:c>
      <x:c r="B12" s="48" t="str">
        <x:v>governance_architecture</x:v>
      </x:c>
      <x:c r="C12" s="48" t="str">
        <x:v>N TOO SMALL</x:v>
      </x:c>
      <x:c r="D12" s="48" t="str"/>
      <x:c r="E12" s="48" t="str">
        <x:v>IC_FINAL_OR_DE_FACTO:N=21,p=1.000</x:v>
      </x:c>
    </x:row>
    <x:row r="13">
      <x:c r="A13" s="48" t="str">
        <x:v>G02</x:v>
      </x:c>
      <x:c r="B13" s="48" t="str">
        <x:v>dedicated_operating_team</x:v>
      </x:c>
      <x:c r="C13" s="48" t="str">
        <x:v>N TOO SMALL</x:v>
      </x:c>
      <x:c r="D13" s="48" t="str"/>
      <x:c r="E13" s="48" t="str">
        <x:v>YES_DEDICATED:N=20,p=1.000</x:v>
      </x:c>
    </x:row>
    <x:row r="14">
      <x:c r="A14" s="48" t="str">
        <x:v>G03</x:v>
      </x:c>
      <x:c r="B14" s="48" t="str">
        <x:v>fund_size_archetype</x:v>
      </x:c>
      <x:c r="C14" s="48" t="str">
        <x:v>DRIVER DOES NOT SEPARATE</x:v>
      </x:c>
      <x:c r="D14" s="48" t="str">
        <x:v>0.000</x:v>
      </x:c>
      <x:c r="E14" s="48" t="str">
        <x:v>LOWER_MID_LT_2B:N=5,p=1.000; MEGA_GE_5B:N=5,p=1.000</x:v>
      </x:c>
    </x:row>
    <x:row r="15">
      <x:c r="A15" s="48" t="str">
        <x:v>G03</x:v>
      </x:c>
      <x:c r="B15" s="48" t="str">
        <x:v>strategy</x:v>
      </x:c>
      <x:c r="C15" s="48" t="str">
        <x:v>N TOO SMALL</x:v>
      </x:c>
      <x:c r="D15" s="48" t="str"/>
      <x:c r="E15" s="48" t="str">
        <x:v>CONTROL_BUYOUT:N=12,p=1.000</x:v>
      </x:c>
    </x:row>
    <x:row r="16">
      <x:c r="A16" s="48" t="str">
        <x:v>G03</x:v>
      </x:c>
      <x:c r="B16" s="48" t="str">
        <x:v>geography</x:v>
      </x:c>
      <x:c r="C16" s="48" t="str">
        <x:v>DRIVER DOES NOT SEPARATE</x:v>
      </x:c>
      <x:c r="D16" s="48" t="str">
        <x:v>0.000</x:v>
      </x:c>
      <x:c r="E16" s="48" t="str">
        <x:v>GLOBAL_TRANSATLANTIC:N=5,p=1.000; NORTH_AMERICA:N=5,p=1.000</x:v>
      </x:c>
    </x:row>
    <x:row r="17">
      <x:c r="A17" s="48" t="str">
        <x:v>G03</x:v>
      </x:c>
      <x:c r="B17" s="48" t="str">
        <x:v>source_vintage_bin</x:v>
      </x:c>
      <x:c r="C17" s="48" t="str">
        <x:v>DRIVER DOES NOT SEPARATE</x:v>
      </x:c>
      <x:c r="D17" s="48" t="str">
        <x:v>0.000</x:v>
      </x:c>
      <x:c r="E17" s="48" t="str">
        <x:v>2021_2023:N=7,p=1.000; 2024_2026:N=6,p=1.000</x:v>
      </x:c>
    </x:row>
    <x:row r="18">
      <x:c r="A18" s="48" t="str">
        <x:v>G03</x:v>
      </x:c>
      <x:c r="B18" s="48" t="str">
        <x:v>governance_architecture</x:v>
      </x:c>
      <x:c r="C18" s="48" t="str">
        <x:v>N TOO SMALL</x:v>
      </x:c>
      <x:c r="D18" s="48" t="str"/>
      <x:c r="E18" s="48" t="str">
        <x:v>IC_FINAL_OR_DE_FACTO:N=12,p=1.000</x:v>
      </x:c>
    </x:row>
    <x:row r="19">
      <x:c r="A19" s="48" t="str">
        <x:v>G03</x:v>
      </x:c>
      <x:c r="B19" s="48" t="str">
        <x:v>dedicated_operating_team</x:v>
      </x:c>
      <x:c r="C19" s="48" t="str">
        <x:v>N TOO SMALL</x:v>
      </x:c>
      <x:c r="D19" s="48" t="str"/>
      <x:c r="E19" s="48" t="str">
        <x:v>YES_DEDICATED:N=11,p=1.000</x:v>
      </x:c>
    </x:row>
    <x:row r="20">
      <x:c r="A20" s="48" t="str">
        <x:v>G04</x:v>
      </x:c>
      <x:c r="B20" s="48" t="str">
        <x:v>fund_size_archetype</x:v>
      </x:c>
      <x:c r="C20" s="48" t="str">
        <x:v>DRIVER DOES NOT SEPARATE</x:v>
      </x:c>
      <x:c r="D20" s="48" t="str">
        <x:v>0.000</x:v>
      </x:c>
      <x:c r="E20" s="48" t="str">
        <x:v>LARGE_2_TO_LT_5B:N=5,p=1.000; LOWER_MID_LT_2B:N=5,p=1.000</x:v>
      </x:c>
    </x:row>
    <x:row r="21">
      <x:c r="A21" s="48" t="str">
        <x:v>G04</x:v>
      </x:c>
      <x:c r="B21" s="48" t="str">
        <x:v>strategy</x:v>
      </x:c>
      <x:c r="C21" s="48" t="str">
        <x:v>N TOO SMALL</x:v>
      </x:c>
      <x:c r="D21" s="48" t="str"/>
      <x:c r="E21" s="48" t="str">
        <x:v>CONTROL_BUYOUT:N=11,p=1.000</x:v>
      </x:c>
    </x:row>
    <x:row r="22">
      <x:c r="A22" s="48" t="str">
        <x:v>G04</x:v>
      </x:c>
      <x:c r="B22" s="48" t="str">
        <x:v>geography</x:v>
      </x:c>
      <x:c r="C22" s="48" t="str">
        <x:v>N TOO SMALL</x:v>
      </x:c>
      <x:c r="D22" s="48" t="str"/>
      <x:c r="E22" s="48" t="str">
        <x:v>NORTH_AMERICA:N=7,p=1.000</x:v>
      </x:c>
    </x:row>
    <x:row r="23">
      <x:c r="A23" s="48" t="str">
        <x:v>G04</x:v>
      </x:c>
      <x:c r="B23" s="48" t="str">
        <x:v>source_vintage_bin</x:v>
      </x:c>
      <x:c r="C23" s="48" t="str">
        <x:v>DRIVER DOES NOT SEPARATE</x:v>
      </x:c>
      <x:c r="D23" s="48" t="str">
        <x:v>0.000</x:v>
      </x:c>
      <x:c r="E23" s="48" t="str">
        <x:v>2021_2023:N=6,p=1.000; 2024_2026:N=7,p=1.000</x:v>
      </x:c>
    </x:row>
    <x:row r="24">
      <x:c r="A24" s="48" t="str">
        <x:v>G04</x:v>
      </x:c>
      <x:c r="B24" s="48" t="str">
        <x:v>governance_architecture</x:v>
      </x:c>
      <x:c r="C24" s="48" t="str">
        <x:v>N TOO SMALL</x:v>
      </x:c>
      <x:c r="D24" s="48" t="str"/>
      <x:c r="E24" s="48" t="str">
        <x:v>IC_FINAL_OR_DE_FACTO:N=12,p=1.000</x:v>
      </x:c>
    </x:row>
    <x:row r="25">
      <x:c r="A25" s="48" t="str">
        <x:v>G04</x:v>
      </x:c>
      <x:c r="B25" s="48" t="str">
        <x:v>dedicated_operating_team</x:v>
      </x:c>
      <x:c r="C25" s="48" t="str">
        <x:v>N TOO SMALL</x:v>
      </x:c>
      <x:c r="D25" s="48" t="str"/>
      <x:c r="E25" s="48" t="str">
        <x:v>YES_DEDICATED:N=12,p=1.000</x:v>
      </x:c>
    </x:row>
    <x:row r="26">
      <x:c r="A26" s="48" t="str">
        <x:v>G05</x:v>
      </x:c>
      <x:c r="B26" s="48" t="str">
        <x:v>fund_size_archetype</x:v>
      </x:c>
      <x:c r="C26" s="48" t="str">
        <x:v>DRIVER DOES NOT SEPARATE</x:v>
      </x:c>
      <x:c r="D26" s="48" t="str">
        <x:v>0.111</x:v>
      </x:c>
      <x:c r="E26" s="48" t="str">
        <x:v>LARGE_2_TO_LT_5B:N=9,p=0.889; LOWER_MID_LT_2B:N=8,p=1.000; MEGA_GE_5B:N=11,p=0.909</x:v>
      </x:c>
    </x:row>
    <x:row r="27">
      <x:c r="A27" s="48" t="str">
        <x:v>G05</x:v>
      </x:c>
      <x:c r="B27" s="48" t="str">
        <x:v>strategy</x:v>
      </x:c>
      <x:c r="C27" s="48" t="str">
        <x:v>DRIVER DOES NOT SEPARATE</x:v>
      </x:c>
      <x:c r="D27" s="48" t="str">
        <x:v>0.091</x:v>
      </x:c>
      <x:c r="E27" s="48" t="str">
        <x:v>CONTROL_BUYOUT:N=22,p=0.909; GROWTH_CONTROL_HYBRID:N=6,p=1.000</x:v>
      </x:c>
    </x:row>
    <x:row r="28">
      <x:c r="A28" s="48" t="str">
        <x:v>G05</x:v>
      </x:c>
      <x:c r="B28" s="48" t="str">
        <x:v>geography</x:v>
      </x:c>
      <x:c r="C28" s="48" t="str">
        <x:v>DRIVER DOES NOT SEPARATE</x:v>
      </x:c>
      <x:c r="D28" s="48" t="str">
        <x:v>0.023</x:v>
      </x:c>
      <x:c r="E28" s="48" t="str">
        <x:v>GLOBAL_TRANSATLANTIC:N=10,p=0.900; NORTH_AMERICA:N=13,p=0.923</x:v>
      </x:c>
    </x:row>
    <x:row r="29">
      <x:c r="A29" s="48" t="str">
        <x:v>G05</x:v>
      </x:c>
      <x:c r="B29" s="48" t="str">
        <x:v>source_vintage_bin</x:v>
      </x:c>
      <x:c r="C29" s="48" t="str">
        <x:v>DRIVER DOES NOT SEPARATE</x:v>
      </x:c>
      <x:c r="D29" s="48" t="str">
        <x:v>0.091</x:v>
      </x:c>
      <x:c r="E29" s="48" t="str">
        <x:v>2018_2020:N=6,p=1.000; 2021_2023:N=11,p=0.909; 2024_2026:N=12,p=0.917</x:v>
      </x:c>
    </x:row>
    <x:row r="30">
      <x:c r="A30" s="48" t="str">
        <x:v>G05</x:v>
      </x:c>
      <x:c r="B30" s="48" t="str">
        <x:v>governance_architecture</x:v>
      </x:c>
      <x:c r="C30" s="48" t="str">
        <x:v>N TOO SMALL</x:v>
      </x:c>
      <x:c r="D30" s="48" t="str"/>
      <x:c r="E30" s="48" t="str">
        <x:v>IC_FINAL_OR_DE_FACTO:N=26,p=0.923</x:v>
      </x:c>
    </x:row>
    <x:row r="31">
      <x:c r="A31" s="48" t="str">
        <x:v>G05</x:v>
      </x:c>
      <x:c r="B31" s="48" t="str">
        <x:v>dedicated_operating_team</x:v>
      </x:c>
      <x:c r="C31" s="48" t="str">
        <x:v>DRIVER DOES NOT SEPARATE</x:v>
      </x:c>
      <x:c r="D31" s="48" t="str">
        <x:v>0.087</x:v>
      </x:c>
      <x:c r="E31" s="48" t="str">
        <x:v>NO_OR_LIMITED:N=6,p=1.000; YES_DEDICATED:N=23,p=0.913</x:v>
      </x:c>
    </x:row>
    <x:row r="32">
      <x:c r="A32" s="48" t="str">
        <x:v>G06</x:v>
      </x:c>
      <x:c r="B32" s="48" t="str">
        <x:v>fund_size_archetype</x:v>
      </x:c>
      <x:c r="C32" s="48" t="str">
        <x:v>DRIVER DOES NOT SEPARATE</x:v>
      </x:c>
      <x:c r="D32" s="48" t="str">
        <x:v>0.034</x:v>
      </x:c>
      <x:c r="E32" s="48" t="str">
        <x:v>LARGE_2_TO_LT_5B:N=9,p=0.889; LOWER_MID_LT_2B:N=8,p=0.875; MEGA_GE_5B:N=11,p=0.909</x:v>
      </x:c>
    </x:row>
    <x:row r="33">
      <x:c r="A33" s="48" t="str">
        <x:v>G06</x:v>
      </x:c>
      <x:c r="B33" s="48" t="str">
        <x:v>strategy</x:v>
      </x:c>
      <x:c r="C33" s="48" t="str">
        <x:v>DRIVER DOES NOT SEPARATE</x:v>
      </x:c>
      <x:c r="D33" s="48" t="str">
        <x:v>0.076</x:v>
      </x:c>
      <x:c r="E33" s="48" t="str">
        <x:v>CONTROL_BUYOUT:N=22,p=0.909; GROWTH_CONTROL_HYBRID:N=6,p=0.833</x:v>
      </x:c>
    </x:row>
    <x:row r="34">
      <x:c r="A34" s="48" t="str">
        <x:v>G06</x:v>
      </x:c>
      <x:c r="B34" s="48" t="str">
        <x:v>geography</x:v>
      </x:c>
      <x:c r="C34" s="48" t="str">
        <x:v>DRIVER DOES NOT SEPARATE</x:v>
      </x:c>
      <x:c r="D34" s="48" t="str">
        <x:v>0.054</x:v>
      </x:c>
      <x:c r="E34" s="48" t="str">
        <x:v>GLOBAL_TRANSATLANTIC:N=10,p=0.900; NORTH_AMERICA:N=13,p=0.846</x:v>
      </x:c>
    </x:row>
    <x:row r="35">
      <x:c r="A35" s="48" t="str">
        <x:v>G06</x:v>
      </x:c>
      <x:c r="B35" s="48" t="str">
        <x:v>source_vintage_bin</x:v>
      </x:c>
      <x:c r="C35" s="48" t="str">
        <x:v>INCONCLUSIVE OR CONFOUNDED</x:v>
      </x:c>
      <x:c r="D35" s="48" t="str">
        <x:v>0.167</x:v>
      </x:c>
      <x:c r="E35" s="48" t="str">
        <x:v>2018_2020:N=6,p=1.000; 2021_2023:N=11,p=0.909; 2024_2026:N=12,p=0.833</x:v>
      </x:c>
    </x:row>
    <x:row r="36">
      <x:c r="A36" s="48" t="str">
        <x:v>G06</x:v>
      </x:c>
      <x:c r="B36" s="48" t="str">
        <x:v>governance_architecture</x:v>
      </x:c>
      <x:c r="C36" s="48" t="str">
        <x:v>N TOO SMALL</x:v>
      </x:c>
      <x:c r="D36" s="48" t="str"/>
      <x:c r="E36" s="48" t="str">
        <x:v>IC_FINAL_OR_DE_FACTO:N=26,p=0.885</x:v>
      </x:c>
    </x:row>
    <x:row r="37">
      <x:c r="A37" s="48" t="str">
        <x:v>G06</x:v>
      </x:c>
      <x:c r="B37" s="48" t="str">
        <x:v>dedicated_operating_team</x:v>
      </x:c>
      <x:c r="C37" s="48" t="str">
        <x:v>DRIVER DOES NOT SEPARATE</x:v>
      </x:c>
      <x:c r="D37" s="48" t="str">
        <x:v>0.080</x:v>
      </x:c>
      <x:c r="E37" s="48" t="str">
        <x:v>NO_OR_LIMITED:N=6,p=0.833; YES_DEDICATED:N=23,p=0.913</x:v>
      </x:c>
    </x:row>
    <x:row r="38">
      <x:c r="A38" s="48" t="str">
        <x:v>G07</x:v>
      </x:c>
      <x:c r="B38" s="48" t="str">
        <x:v>fund_size_archetype</x:v>
      </x:c>
      <x:c r="C38" s="48" t="str">
        <x:v>DRIVER DOES NOT SEPARATE</x:v>
      </x:c>
      <x:c r="D38" s="48" t="str">
        <x:v>0.111</x:v>
      </x:c>
      <x:c r="E38" s="48" t="str">
        <x:v>LARGE_2_TO_LT_5B:N=9,p=0.889; LOWER_MID_LT_2B:N=8,p=1.000; MEGA_GE_5B:N=11,p=0.909</x:v>
      </x:c>
    </x:row>
    <x:row r="39">
      <x:c r="A39" s="48" t="str">
        <x:v>G07</x:v>
      </x:c>
      <x:c r="B39" s="48" t="str">
        <x:v>strategy</x:v>
      </x:c>
      <x:c r="C39" s="48" t="str">
        <x:v>DRIVER DOES NOT SEPARATE</x:v>
      </x:c>
      <x:c r="D39" s="48" t="str">
        <x:v>0.076</x:v>
      </x:c>
      <x:c r="E39" s="48" t="str">
        <x:v>CONTROL_BUYOUT:N=22,p=0.909; GROWTH_CONTROL_HYBRID:N=6,p=0.833</x:v>
      </x:c>
    </x:row>
    <x:row r="40">
      <x:c r="A40" s="48" t="str">
        <x:v>G07</x:v>
      </x:c>
      <x:c r="B40" s="48" t="str">
        <x:v>geography</x:v>
      </x:c>
      <x:c r="C40" s="48" t="str">
        <x:v>DRIVER DOES NOT SEPARATE</x:v>
      </x:c>
      <x:c r="D40" s="48" t="str">
        <x:v>0.100</x:v>
      </x:c>
      <x:c r="E40" s="48" t="str">
        <x:v>GLOBAL_TRANSATLANTIC:N=10,p=0.900; NORTH_AMERICA:N=13,p=1.000</x:v>
      </x:c>
    </x:row>
    <x:row r="41">
      <x:c r="A41" s="48" t="str">
        <x:v>G07</x:v>
      </x:c>
      <x:c r="B41" s="48" t="str">
        <x:v>source_vintage_bin</x:v>
      </x:c>
      <x:c r="C41" s="48" t="str">
        <x:v>INCONCLUSIVE OR CONFOUNDED</x:v>
      </x:c>
      <x:c r="D41" s="48" t="str">
        <x:v>0.333</x:v>
      </x:c>
      <x:c r="E41" s="48" t="str">
        <x:v>2018_2020:N=6,p=0.667; 2021_2023:N=11,p=0.909; 2024_2026:N=12,p=1.000</x:v>
      </x:c>
    </x:row>
    <x:row r="42">
      <x:c r="A42" s="48" t="str">
        <x:v>G07</x:v>
      </x:c>
      <x:c r="B42" s="48" t="str">
        <x:v>governance_architecture</x:v>
      </x:c>
      <x:c r="C42" s="48" t="str">
        <x:v>N TOO SMALL</x:v>
      </x:c>
      <x:c r="D42" s="48" t="str"/>
      <x:c r="E42" s="48" t="str">
        <x:v>IC_FINAL_OR_DE_FACTO:N=26,p=1.000</x:v>
      </x:c>
    </x:row>
    <x:row r="43">
      <x:c r="A43" s="48" t="str">
        <x:v>G07</x:v>
      </x:c>
      <x:c r="B43" s="48" t="str">
        <x:v>dedicated_operating_team</x:v>
      </x:c>
      <x:c r="C43" s="48" t="str">
        <x:v>DRIVER DOES NOT SEPARATE</x:v>
      </x:c>
      <x:c r="D43" s="48" t="str">
        <x:v>0.080</x:v>
      </x:c>
      <x:c r="E43" s="48" t="str">
        <x:v>NO_OR_LIMITED:N=6,p=0.833; YES_DEDICATED:N=23,p=0.913</x:v>
      </x:c>
    </x:row>
    <x:row r="44">
      <x:c r="A44" s="48" t="str">
        <x:v>G08</x:v>
      </x:c>
      <x:c r="B44" s="48" t="str">
        <x:v>fund_size_archetype</x:v>
      </x:c>
      <x:c r="C44" s="48" t="str">
        <x:v>DRIVER DOES NOT SEPARATE</x:v>
      </x:c>
      <x:c r="D44" s="48" t="str">
        <x:v>0.111</x:v>
      </x:c>
      <x:c r="E44" s="48" t="str">
        <x:v>LARGE_2_TO_LT_5B:N=9,p=0.111; LOWER_MID_LT_2B:N=8,p=0.000; MEGA_GE_5B:N=11,p=0.091</x:v>
      </x:c>
    </x:row>
    <x:row r="45">
      <x:c r="A45" s="48" t="str">
        <x:v>G08</x:v>
      </x:c>
      <x:c r="B45" s="48" t="str">
        <x:v>strategy</x:v>
      </x:c>
      <x:c r="C45" s="48" t="str">
        <x:v>DRIVER DOES NOT SEPARATE</x:v>
      </x:c>
      <x:c r="D45" s="48" t="str">
        <x:v>0.076</x:v>
      </x:c>
      <x:c r="E45" s="48" t="str">
        <x:v>CONTROL_BUYOUT:N=22,p=0.091; GROWTH_CONTROL_HYBRID:N=6,p=0.167</x:v>
      </x:c>
    </x:row>
    <x:row r="46">
      <x:c r="A46" s="48" t="str">
        <x:v>G08</x:v>
      </x:c>
      <x:c r="B46" s="48" t="str">
        <x:v>geography</x:v>
      </x:c>
      <x:c r="C46" s="48" t="str">
        <x:v>DRIVER DOES NOT SEPARATE</x:v>
      </x:c>
      <x:c r="D46" s="48" t="str">
        <x:v>0.100</x:v>
      </x:c>
      <x:c r="E46" s="48" t="str">
        <x:v>GLOBAL_TRANSATLANTIC:N=10,p=0.100; NORTH_AMERICA:N=13,p=0.000</x:v>
      </x:c>
    </x:row>
    <x:row r="47">
      <x:c r="A47" s="48" t="str">
        <x:v>G08</x:v>
      </x:c>
      <x:c r="B47" s="48" t="str">
        <x:v>source_vintage_bin</x:v>
      </x:c>
      <x:c r="C47" s="48" t="str">
        <x:v>INCONCLUSIVE OR CONFOUNDED</x:v>
      </x:c>
      <x:c r="D47" s="48" t="str">
        <x:v>0.333</x:v>
      </x:c>
      <x:c r="E47" s="48" t="str">
        <x:v>2018_2020:N=6,p=0.333; 2021_2023:N=11,p=0.091; 2024_2026:N=12,p=0.000</x:v>
      </x:c>
    </x:row>
    <x:row r="48">
      <x:c r="A48" s="48" t="str">
        <x:v>G08</x:v>
      </x:c>
      <x:c r="B48" s="48" t="str">
        <x:v>governance_architecture</x:v>
      </x:c>
      <x:c r="C48" s="48" t="str">
        <x:v>N TOO SMALL</x:v>
      </x:c>
      <x:c r="D48" s="48" t="str"/>
      <x:c r="E48" s="48" t="str">
        <x:v>IC_FINAL_OR_DE_FACTO:N=26,p=0.000</x:v>
      </x:c>
    </x:row>
    <x:row r="49">
      <x:c r="A49" s="48" t="str">
        <x:v>G08</x:v>
      </x:c>
      <x:c r="B49" s="48" t="str">
        <x:v>dedicated_operating_team</x:v>
      </x:c>
      <x:c r="C49" s="48" t="str">
        <x:v>DRIVER DOES NOT SEPARATE</x:v>
      </x:c>
      <x:c r="D49" s="48" t="str">
        <x:v>0.080</x:v>
      </x:c>
      <x:c r="E49" s="48" t="str">
        <x:v>NO_OR_LIMITED:N=6,p=0.167; YES_DEDICATED:N=23,p=0.087</x:v>
      </x:c>
    </x:row>
    <x:row r="50">
      <x:c r="A50" s="48" t="str">
        <x:v>G09</x:v>
      </x:c>
      <x:c r="B50" s="48" t="str">
        <x:v>fund_size_archetype</x:v>
      </x:c>
      <x:c r="C50" s="48" t="str">
        <x:v>DRIVER DOES NOT SEPARATE</x:v>
      </x:c>
      <x:c r="D50" s="48" t="str">
        <x:v>0.000</x:v>
      </x:c>
      <x:c r="E50" s="48" t="str">
        <x:v>LARGE_2_TO_LT_5B:N=6,p=1.000; MEGA_GE_5B:N=7,p=1.000</x:v>
      </x:c>
    </x:row>
    <x:row r="51">
      <x:c r="A51" s="48" t="str">
        <x:v>G09</x:v>
      </x:c>
      <x:c r="B51" s="48" t="str">
        <x:v>strategy</x:v>
      </x:c>
      <x:c r="C51" s="48" t="str">
        <x:v>N TOO SMALL</x:v>
      </x:c>
      <x:c r="D51" s="48" t="str"/>
      <x:c r="E51" s="48" t="str">
        <x:v>CONTROL_BUYOUT:N=13,p=1.000</x:v>
      </x:c>
    </x:row>
    <x:row r="52">
      <x:c r="A52" s="48" t="str">
        <x:v>G09</x:v>
      </x:c>
      <x:c r="B52" s="48" t="str">
        <x:v>geography</x:v>
      </x:c>
      <x:c r="C52" s="48" t="str">
        <x:v>DRIVER DOES NOT SEPARATE</x:v>
      </x:c>
      <x:c r="D52" s="48" t="str">
        <x:v>0.000</x:v>
      </x:c>
      <x:c r="E52" s="48" t="str">
        <x:v>GLOBAL_TRANSATLANTIC:N=7,p=1.000; NORTH_AMERICA:N=6,p=1.000</x:v>
      </x:c>
    </x:row>
    <x:row r="53">
      <x:c r="A53" s="48" t="str">
        <x:v>G09</x:v>
      </x:c>
      <x:c r="B53" s="48" t="str">
        <x:v>source_vintage_bin</x:v>
      </x:c>
      <x:c r="C53" s="48" t="str">
        <x:v>DRIVER DOES NOT SEPARATE</x:v>
      </x:c>
      <x:c r="D53" s="48" t="str">
        <x:v>0.000</x:v>
      </x:c>
      <x:c r="E53" s="48" t="str">
        <x:v>2021_2023:N=6,p=1.000; 2024_2026:N=7,p=1.000</x:v>
      </x:c>
    </x:row>
    <x:row r="54">
      <x:c r="A54" s="48" t="str">
        <x:v>G09</x:v>
      </x:c>
      <x:c r="B54" s="48" t="str">
        <x:v>governance_architecture</x:v>
      </x:c>
      <x:c r="C54" s="48" t="str">
        <x:v>N TOO SMALL</x:v>
      </x:c>
      <x:c r="D54" s="48" t="str"/>
      <x:c r="E54" s="48" t="str">
        <x:v>IC_FINAL_OR_DE_FACTO:N=15,p=1.000</x:v>
      </x:c>
    </x:row>
    <x:row r="55">
      <x:c r="A55" s="48" t="str">
        <x:v>G09</x:v>
      </x:c>
      <x:c r="B55" s="48" t="str">
        <x:v>dedicated_operating_team</x:v>
      </x:c>
      <x:c r="C55" s="48" t="str">
        <x:v>N TOO SMALL</x:v>
      </x:c>
      <x:c r="D55" s="48" t="str"/>
      <x:c r="E55" s="48" t="str">
        <x:v>YES_DEDICATED:N=15,p=1.000</x:v>
      </x:c>
    </x:row>
    <x:row r="56">
      <x:c r="A56" s="48" t="str">
        <x:v>G10</x:v>
      </x:c>
      <x:c r="B56" s="48" t="str">
        <x:v>fund_size_archetype</x:v>
      </x:c>
      <x:c r="C56" s="48" t="str">
        <x:v>DRIVER DOES NOT SEPARATE</x:v>
      </x:c>
      <x:c r="D56" s="48" t="str">
        <x:v>0.000</x:v>
      </x:c>
      <x:c r="E56" s="48" t="str">
        <x:v>LARGE_2_TO_LT_5B:N=7,p=1.000; LOWER_MID_LT_2B:N=7,p=1.000; MEGA_GE_5B:N=7,p=1.000</x:v>
      </x:c>
    </x:row>
    <x:row r="57">
      <x:c r="A57" s="48" t="str">
        <x:v>G10</x:v>
      </x:c>
      <x:c r="B57" s="48" t="str">
        <x:v>strategy</x:v>
      </x:c>
      <x:c r="C57" s="48" t="str">
        <x:v>DRIVER DOES NOT SEPARATE</x:v>
      </x:c>
      <x:c r="D57" s="48" t="str">
        <x:v>0.000</x:v>
      </x:c>
      <x:c r="E57" s="48" t="str">
        <x:v>CONTROL_BUYOUT:N=15,p=1.000; GROWTH_CONTROL_HYBRID:N=6,p=1.000</x:v>
      </x:c>
    </x:row>
    <x:row r="58">
      <x:c r="A58" s="48" t="str">
        <x:v>G10</x:v>
      </x:c>
      <x:c r="B58" s="48" t="str">
        <x:v>geography</x:v>
      </x:c>
      <x:c r="C58" s="48" t="str">
        <x:v>DRIVER DOES NOT SEPARATE</x:v>
      </x:c>
      <x:c r="D58" s="48" t="str">
        <x:v>0.000</x:v>
      </x:c>
      <x:c r="E58" s="48" t="str">
        <x:v>GLOBAL_TRANSATLANTIC:N=8,p=1.000; NORTH_AMERICA:N=10,p=1.000</x:v>
      </x:c>
    </x:row>
    <x:row r="59">
      <x:c r="A59" s="48" t="str">
        <x:v>G10</x:v>
      </x:c>
      <x:c r="B59" s="48" t="str">
        <x:v>source_vintage_bin</x:v>
      </x:c>
      <x:c r="C59" s="48" t="str">
        <x:v>DRIVER DOES NOT SEPARATE</x:v>
      </x:c>
      <x:c r="D59" s="48" t="str">
        <x:v>0.000</x:v>
      </x:c>
      <x:c r="E59" s="48" t="str">
        <x:v>2018_2020:N=5,p=1.000; 2021_2023:N=9,p=1.000; 2024_2026:N=8,p=1.000</x:v>
      </x:c>
    </x:row>
    <x:row r="60">
      <x:c r="A60" s="48" t="str">
        <x:v>G10</x:v>
      </x:c>
      <x:c r="B60" s="48" t="str">
        <x:v>governance_architecture</x:v>
      </x:c>
      <x:c r="C60" s="48" t="str">
        <x:v>N TOO SMALL</x:v>
      </x:c>
      <x:c r="D60" s="48" t="str"/>
      <x:c r="E60" s="48" t="str">
        <x:v>IC_FINAL_OR_DE_FACTO:N=19,p=1.000</x:v>
      </x:c>
    </x:row>
    <x:row r="61">
      <x:c r="A61" s="48" t="str">
        <x:v>G10</x:v>
      </x:c>
      <x:c r="B61" s="48" t="str">
        <x:v>dedicated_operating_team</x:v>
      </x:c>
      <x:c r="C61" s="48" t="str">
        <x:v>DRIVER DOES NOT SEPARATE</x:v>
      </x:c>
      <x:c r="D61" s="48" t="str">
        <x:v>0.000</x:v>
      </x:c>
      <x:c r="E61" s="48" t="str">
        <x:v>NO_OR_LIMITED:N=5,p=1.000; YES_DEDICATED:N=17,p=1.000</x:v>
      </x:c>
    </x:row>
    <x:row r="62">
      <x:c r="A62" s="48" t="str">
        <x:v>G11</x:v>
      </x:c>
      <x:c r="B62" s="48" t="str">
        <x:v>fund_size_archetype</x:v>
      </x:c>
      <x:c r="C62" s="48" t="str">
        <x:v>DRIVER DOES NOT SEPARATE</x:v>
      </x:c>
      <x:c r="D62" s="48" t="str">
        <x:v>0.056</x:v>
      </x:c>
      <x:c r="E62" s="48" t="str">
        <x:v>LARGE_2_TO_LT_5B:N=8,p=0.500; MEGA_GE_5B:N=9,p=0.444</x:v>
      </x:c>
    </x:row>
    <x:row r="63">
      <x:c r="A63" s="48" t="str">
        <x:v>G11</x:v>
      </x:c>
      <x:c r="B63" s="48" t="str">
        <x:v>strategy</x:v>
      </x:c>
      <x:c r="C63" s="48" t="str">
        <x:v>INCONCLUSIVE OR CONFOUNDED</x:v>
      </x:c>
      <x:c r="D63" s="48" t="str">
        <x:v>0.162</x:v>
      </x:c>
      <x:c r="E63" s="48" t="str">
        <x:v>CONTROL_BUYOUT:N=16,p=0.438; GROWTH_CONTROL_HYBRID:N=5,p=0.600</x:v>
      </x:c>
    </x:row>
    <x:row r="64">
      <x:c r="A64" s="48" t="str">
        <x:v>G11</x:v>
      </x:c>
      <x:c r="B64" s="48" t="str">
        <x:v>geography</x:v>
      </x:c>
      <x:c r="C64" s="48" t="str">
        <x:v>DRIVER DOES NOT SEPARATE</x:v>
      </x:c>
      <x:c r="D64" s="48" t="str">
        <x:v>0.000</x:v>
      </x:c>
      <x:c r="E64" s="48" t="str">
        <x:v>GLOBAL_TRANSATLANTIC:N=8,p=0.500; NORTH_AMERICA:N=10,p=0.500</x:v>
      </x:c>
    </x:row>
    <x:row r="65">
      <x:c r="A65" s="48" t="str">
        <x:v>G11</x:v>
      </x:c>
      <x:c r="B65" s="48" t="str">
        <x:v>source_vintage_bin</x:v>
      </x:c>
      <x:c r="C65" s="48" t="str">
        <x:v>DRIVER SEPARATES</x:v>
      </x:c>
      <x:c r="D65" s="48" t="str">
        <x:v>0.500</x:v>
      </x:c>
      <x:c r="E65" s="48" t="str">
        <x:v>2018_2020:N=6,p=0.833; 2021_2023:N=7,p=0.429; 2024_2026:N=9,p=0.333</x:v>
      </x:c>
    </x:row>
    <x:row r="66">
      <x:c r="A66" s="48" t="str">
        <x:v>G11</x:v>
      </x:c>
      <x:c r="B66" s="48" t="str">
        <x:v>governance_architecture</x:v>
      </x:c>
      <x:c r="C66" s="48" t="str">
        <x:v>N TOO SMALL</x:v>
      </x:c>
      <x:c r="D66" s="48" t="str"/>
      <x:c r="E66" s="48" t="str">
        <x:v>IC_FINAL_OR_DE_FACTO:N=19,p=0.474</x:v>
      </x:c>
    </x:row>
    <x:row r="67">
      <x:c r="A67" s="48" t="str">
        <x:v>G11</x:v>
      </x:c>
      <x:c r="B67" s="48" t="str">
        <x:v>dedicated_operating_team</x:v>
      </x:c>
      <x:c r="C67" s="48" t="str">
        <x:v>DRIVER DOES NOT SEPARATE</x:v>
      </x:c>
      <x:c r="D67" s="48" t="str">
        <x:v>0.129</x:v>
      </x:c>
      <x:c r="E67" s="48" t="str">
        <x:v>NO_OR_LIMITED:N=5,p=0.600; YES_DEDICATED:N=17,p=0.471</x:v>
      </x:c>
    </x:row>
    <x:row r="68">
      <x:c r="A68" s="48" t="str">
        <x:v>G12</x:v>
      </x:c>
      <x:c r="B68" s="48" t="str">
        <x:v>fund_size_archetype</x:v>
      </x:c>
      <x:c r="C68" s="48" t="str">
        <x:v>DRIVER DOES NOT SEPARATE</x:v>
      </x:c>
      <x:c r="D68" s="48" t="str">
        <x:v>0.000</x:v>
      </x:c>
      <x:c r="E68" s="48" t="str">
        <x:v>LARGE_2_TO_LT_5B:N=8,p=0.125; MEGA_GE_5B:N=8,p=0.125</x:v>
      </x:c>
    </x:row>
    <x:row r="69">
      <x:c r="A69" s="48" t="str">
        <x:v>G12</x:v>
      </x:c>
      <x:c r="B69" s="48" t="str">
        <x:v>strategy</x:v>
      </x:c>
      <x:c r="C69" s="48" t="str">
        <x:v>DRIVER DOES NOT SEPARATE</x:v>
      </x:c>
      <x:c r="D69" s="48" t="str">
        <x:v>0.133</x:v>
      </x:c>
      <x:c r="E69" s="48" t="str">
        <x:v>CONTROL_BUYOUT:N=15,p=0.133; GROWTH_CONTROL_HYBRID:N=5,p=0.000</x:v>
      </x:c>
    </x:row>
    <x:row r="70">
      <x:c r="A70" s="48" t="str">
        <x:v>G12</x:v>
      </x:c>
      <x:c r="B70" s="48" t="str">
        <x:v>geography</x:v>
      </x:c>
      <x:c r="C70" s="48" t="str">
        <x:v>DRIVER DOES NOT SEPARATE</x:v>
      </x:c>
      <x:c r="D70" s="48" t="str">
        <x:v>0.043</x:v>
      </x:c>
      <x:c r="E70" s="48" t="str">
        <x:v>GLOBAL_TRANSATLANTIC:N=7,p=0.143; NORTH_AMERICA:N=10,p=0.100</x:v>
      </x:c>
    </x:row>
    <x:row r="71">
      <x:c r="A71" s="48" t="str">
        <x:v>G12</x:v>
      </x:c>
      <x:c r="B71" s="48" t="str">
        <x:v>source_vintage_bin</x:v>
      </x:c>
      <x:c r="C71" s="48" t="str">
        <x:v>INCONCLUSIVE OR CONFOUNDED</x:v>
      </x:c>
      <x:c r="D71" s="48" t="str">
        <x:v>0.333</x:v>
      </x:c>
      <x:c r="E71" s="48" t="str">
        <x:v>2018_2020:N=6,p=0.000; 2021_2023:N=6,p=0.333; 2024_2026:N=9,p=0.000</x:v>
      </x:c>
    </x:row>
    <x:row r="72">
      <x:c r="A72" s="48" t="str">
        <x:v>G12</x:v>
      </x:c>
      <x:c r="B72" s="48" t="str">
        <x:v>governance_architecture</x:v>
      </x:c>
      <x:c r="C72" s="48" t="str">
        <x:v>N TOO SMALL</x:v>
      </x:c>
      <x:c r="D72" s="48" t="str"/>
      <x:c r="E72" s="48" t="str">
        <x:v>IC_FINAL_OR_DE_FACTO:N=18,p=0.111</x:v>
      </x:c>
    </x:row>
    <x:row r="73">
      <x:c r="A73" s="48" t="str">
        <x:v>G12</x:v>
      </x:c>
      <x:c r="B73" s="48" t="str">
        <x:v>dedicated_operating_team</x:v>
      </x:c>
      <x:c r="C73" s="48" t="str">
        <x:v>DRIVER DOES NOT SEPARATE</x:v>
      </x:c>
      <x:c r="D73" s="48" t="str">
        <x:v>0.125</x:v>
      </x:c>
      <x:c r="E73" s="48" t="str">
        <x:v>NO_OR_LIMITED:N=5,p=0.000; YES_DEDICATED:N=16,p=0.125</x:v>
      </x:c>
    </x:row>
    <x:row r="74">
      <x:c r="A74" s="48" t="str">
        <x:v>G13</x:v>
      </x:c>
      <x:c r="B74" s="48" t="str">
        <x:v>fund_size_archetype</x:v>
      </x:c>
      <x:c r="C74" s="48" t="str">
        <x:v>DRIVER SEPARATES</x:v>
      </x:c>
      <x:c r="D74" s="48" t="str">
        <x:v>0.375</x:v>
      </x:c>
      <x:c r="E74" s="48" t="str">
        <x:v>LARGE_2_TO_LT_5B:N=8,p=0.125; MEGA_GE_5B:N=8,p=0.500</x:v>
      </x:c>
    </x:row>
    <x:row r="75">
      <x:c r="A75" s="48" t="str">
        <x:v>G13</x:v>
      </x:c>
      <x:c r="B75" s="48" t="str">
        <x:v>strategy</x:v>
      </x:c>
      <x:c r="C75" s="48" t="str">
        <x:v>INCONCLUSIVE OR CONFOUNDED</x:v>
      </x:c>
      <x:c r="D75" s="48" t="str">
        <x:v>0.333</x:v>
      </x:c>
      <x:c r="E75" s="48" t="str">
        <x:v>CONTROL_BUYOUT:N=15,p=0.267; GROWTH_CONTROL_HYBRID:N=5,p=0.600</x:v>
      </x:c>
    </x:row>
    <x:row r="76">
      <x:c r="A76" s="48" t="str">
        <x:v>G13</x:v>
      </x:c>
      <x:c r="B76" s="48" t="str">
        <x:v>geography</x:v>
      </x:c>
      <x:c r="C76" s="48" t="str">
        <x:v>INCONCLUSIVE OR CONFOUNDED</x:v>
      </x:c>
      <x:c r="D76" s="48" t="str">
        <x:v>0.229</x:v>
      </x:c>
      <x:c r="E76" s="48" t="str">
        <x:v>GLOBAL_TRANSATLANTIC:N=7,p=0.429; NORTH_AMERICA:N=10,p=0.200</x:v>
      </x:c>
    </x:row>
    <x:row r="77">
      <x:c r="A77" s="48" t="str">
        <x:v>G13</x:v>
      </x:c>
      <x:c r="B77" s="48" t="str">
        <x:v>source_vintage_bin</x:v>
      </x:c>
      <x:c r="C77" s="48" t="str">
        <x:v>DRIVER SEPARATES</x:v>
      </x:c>
      <x:c r="D77" s="48" t="str">
        <x:v>0.389</x:v>
      </x:c>
      <x:c r="E77" s="48" t="str">
        <x:v>2018_2020:N=6,p=0.167; 2021_2023:N=6,p=0.167; 2024_2026:N=9,p=0.556</x:v>
      </x:c>
    </x:row>
    <x:row r="78">
      <x:c r="A78" s="48" t="str">
        <x:v>G13</x:v>
      </x:c>
      <x:c r="B78" s="48" t="str">
        <x:v>governance_architecture</x:v>
      </x:c>
      <x:c r="C78" s="48" t="str">
        <x:v>N TOO SMALL</x:v>
      </x:c>
      <x:c r="D78" s="48" t="str"/>
      <x:c r="E78" s="48" t="str">
        <x:v>IC_FINAL_OR_DE_FACTO:N=18,p=0.333</x:v>
      </x:c>
    </x:row>
    <x:row r="79">
      <x:c r="A79" s="48" t="str">
        <x:v>G13</x:v>
      </x:c>
      <x:c r="B79" s="48" t="str">
        <x:v>dedicated_operating_team</x:v>
      </x:c>
      <x:c r="C79" s="48" t="str">
        <x:v>DRIVER DOES NOT SEPARATE</x:v>
      </x:c>
      <x:c r="D79" s="48" t="str">
        <x:v>0.088</x:v>
      </x:c>
      <x:c r="E79" s="48" t="str">
        <x:v>NO_OR_LIMITED:N=5,p=0.400; YES_DEDICATED:N=16,p=0.312</x:v>
      </x:c>
    </x:row>
    <x:row r="80">
      <x:c r="A80" s="48" t="str">
        <x:v>G14</x:v>
      </x:c>
      <x:c r="B80" s="48" t="str">
        <x:v>fund_size_archetype</x:v>
      </x:c>
      <x:c r="C80" s="48" t="str">
        <x:v>DRIVER DOES NOT SEPARATE</x:v>
      </x:c>
      <x:c r="D80" s="48" t="str">
        <x:v>0.125</x:v>
      </x:c>
      <x:c r="E80" s="48" t="str">
        <x:v>LARGE_2_TO_LT_5B:N=8,p=0.250; MEGA_GE_5B:N=8,p=0.125</x:v>
      </x:c>
    </x:row>
    <x:row r="81">
      <x:c r="A81" s="48" t="str">
        <x:v>G14</x:v>
      </x:c>
      <x:c r="B81" s="48" t="str">
        <x:v>strategy</x:v>
      </x:c>
      <x:c r="C81" s="48" t="str">
        <x:v>DRIVER DOES NOT SEPARATE</x:v>
      </x:c>
      <x:c r="D81" s="48" t="str">
        <x:v>0.067</x:v>
      </x:c>
      <x:c r="E81" s="48" t="str">
        <x:v>CONTROL_BUYOUT:N=15,p=0.133; GROWTH_CONTROL_HYBRID:N=5,p=0.200</x:v>
      </x:c>
    </x:row>
    <x:row r="82">
      <x:c r="A82" s="48" t="str">
        <x:v>G14</x:v>
      </x:c>
      <x:c r="B82" s="48" t="str">
        <x:v>geography</x:v>
      </x:c>
      <x:c r="C82" s="48" t="str">
        <x:v>INCONCLUSIVE OR CONFOUNDED</x:v>
      </x:c>
      <x:c r="D82" s="48" t="str">
        <x:v>0.157</x:v>
      </x:c>
      <x:c r="E82" s="48" t="str">
        <x:v>GLOBAL_TRANSATLANTIC:N=7,p=0.143; NORTH_AMERICA:N=10,p=0.300</x:v>
      </x:c>
    </x:row>
    <x:row r="83">
      <x:c r="A83" s="48" t="str">
        <x:v>G14</x:v>
      </x:c>
      <x:c r="B83" s="48" t="str">
        <x:v>source_vintage_bin</x:v>
      </x:c>
      <x:c r="C83" s="48" t="str">
        <x:v>INCONCLUSIVE OR CONFOUNDED</x:v>
      </x:c>
      <x:c r="D83" s="48" t="str">
        <x:v>0.333</x:v>
      </x:c>
      <x:c r="E83" s="48" t="str">
        <x:v>2018_2020:N=6,p=0.167; 2021_2023:N=6,p=0.000; 2024_2026:N=9,p=0.333</x:v>
      </x:c>
    </x:row>
    <x:row r="84">
      <x:c r="A84" s="48" t="str">
        <x:v>G14</x:v>
      </x:c>
      <x:c r="B84" s="48" t="str">
        <x:v>governance_architecture</x:v>
      </x:c>
      <x:c r="C84" s="48" t="str">
        <x:v>N TOO SMALL</x:v>
      </x:c>
      <x:c r="D84" s="48" t="str"/>
      <x:c r="E84" s="48" t="str">
        <x:v>IC_FINAL_OR_DE_FACTO:N=18,p=0.222</x:v>
      </x:c>
    </x:row>
    <x:row r="85">
      <x:c r="A85" s="48" t="str">
        <x:v>G14</x:v>
      </x:c>
      <x:c r="B85" s="48" t="str">
        <x:v>dedicated_operating_team</x:v>
      </x:c>
      <x:c r="C85" s="48" t="str">
        <x:v>DRIVER DOES NOT SEPARATE</x:v>
      </x:c>
      <x:c r="D85" s="48" t="str">
        <x:v>0.013</x:v>
      </x:c>
      <x:c r="E85" s="48" t="str">
        <x:v>NO_OR_LIMITED:N=5,p=0.200; YES_DEDICATED:N=16,p=0.188</x:v>
      </x:c>
    </x:row>
    <x:row r="86">
      <x:c r="A86" s="48" t="str">
        <x:v>G15</x:v>
      </x:c>
      <x:c r="B86" s="48" t="str">
        <x:v>fund_size_archetype</x:v>
      </x:c>
      <x:c r="C86" s="48" t="str">
        <x:v>DRIVER DOES NOT SEPARATE</x:v>
      </x:c>
      <x:c r="D86" s="48" t="str">
        <x:v>0.125</x:v>
      </x:c>
      <x:c r="E86" s="48" t="str">
        <x:v>LARGE_2_TO_LT_5B:N=8,p=0.000; MEGA_GE_5B:N=8,p=0.125</x:v>
      </x:c>
    </x:row>
    <x:row r="87">
      <x:c r="A87" s="48" t="str">
        <x:v>G15</x:v>
      </x:c>
      <x:c r="B87" s="48" t="str">
        <x:v>strategy</x:v>
      </x:c>
      <x:c r="C87" s="48" t="str">
        <x:v>DRIVER DOES NOT SEPARATE</x:v>
      </x:c>
      <x:c r="D87" s="48" t="str">
        <x:v>0.067</x:v>
      </x:c>
      <x:c r="E87" s="48" t="str">
        <x:v>CONTROL_BUYOUT:N=15,p=0.067; GROWTH_CONTROL_HYBRID:N=5,p=0.000</x:v>
      </x:c>
    </x:row>
    <x:row r="88">
      <x:c r="A88" s="48" t="str">
        <x:v>G15</x:v>
      </x:c>
      <x:c r="B88" s="48" t="str">
        <x:v>geography</x:v>
      </x:c>
      <x:c r="C88" s="48" t="str">
        <x:v>DRIVER DOES NOT SEPARATE</x:v>
      </x:c>
      <x:c r="D88" s="48" t="str">
        <x:v>0.143</x:v>
      </x:c>
      <x:c r="E88" s="48" t="str">
        <x:v>GLOBAL_TRANSATLANTIC:N=7,p=0.143; NORTH_AMERICA:N=10,p=0.000</x:v>
      </x:c>
    </x:row>
    <x:row r="89">
      <x:c r="A89" s="48" t="str">
        <x:v>G15</x:v>
      </x:c>
      <x:c r="B89" s="48" t="str">
        <x:v>source_vintage_bin</x:v>
      </x:c>
      <x:c r="C89" s="48" t="str">
        <x:v>INCONCLUSIVE OR CONFOUNDED</x:v>
      </x:c>
      <x:c r="D89" s="48" t="str">
        <x:v>0.167</x:v>
      </x:c>
      <x:c r="E89" s="48" t="str">
        <x:v>2018_2020:N=6,p=0.000; 2021_2023:N=6,p=0.167; 2024_2026:N=9,p=0.000</x:v>
      </x:c>
    </x:row>
    <x:row r="90">
      <x:c r="A90" s="48" t="str">
        <x:v>G15</x:v>
      </x:c>
      <x:c r="B90" s="48" t="str">
        <x:v>governance_architecture</x:v>
      </x:c>
      <x:c r="C90" s="48" t="str">
        <x:v>N TOO SMALL</x:v>
      </x:c>
      <x:c r="D90" s="48" t="str"/>
      <x:c r="E90" s="48" t="str">
        <x:v>IC_FINAL_OR_DE_FACTO:N=18,p=0.056</x:v>
      </x:c>
    </x:row>
    <x:row r="91">
      <x:c r="A91" s="48" t="str">
        <x:v>G15</x:v>
      </x:c>
      <x:c r="B91" s="48" t="str">
        <x:v>dedicated_operating_team</x:v>
      </x:c>
      <x:c r="C91" s="48" t="str">
        <x:v>DRIVER DOES NOT SEPARATE</x:v>
      </x:c>
      <x:c r="D91" s="48" t="str">
        <x:v>0.062</x:v>
      </x:c>
      <x:c r="E91" s="48" t="str">
        <x:v>NO_OR_LIMITED:N=5,p=0.000; YES_DEDICATED:N=16,p=0.062</x:v>
      </x:c>
    </x:row>
    <x:row r="92">
      <x:c r="A92" s="48" t="str">
        <x:v>G16</x:v>
      </x:c>
      <x:c r="B92" s="48" t="str">
        <x:v>fund_size_archetype</x:v>
      </x:c>
      <x:c r="C92" s="48" t="str">
        <x:v>N TOO SMALL</x:v>
      </x:c>
      <x:c r="D92" s="48" t="str"/>
      <x:c r="E92" s="48" t="str"/>
    </x:row>
    <x:row r="93">
      <x:c r="A93" s="48" t="str">
        <x:v>G16</x:v>
      </x:c>
      <x:c r="B93" s="48" t="str">
        <x:v>strategy</x:v>
      </x:c>
      <x:c r="C93" s="48" t="str">
        <x:v>N TOO SMALL</x:v>
      </x:c>
      <x:c r="D93" s="48" t="str"/>
      <x:c r="E93" s="48" t="str">
        <x:v>CONTROL_BUYOUT:N=5,p=1.000</x:v>
      </x:c>
    </x:row>
    <x:row r="94">
      <x:c r="A94" s="48" t="str">
        <x:v>G16</x:v>
      </x:c>
      <x:c r="B94" s="48" t="str">
        <x:v>geography</x:v>
      </x:c>
      <x:c r="C94" s="48" t="str">
        <x:v>N TOO SMALL</x:v>
      </x:c>
      <x:c r="D94" s="48" t="str"/>
      <x:c r="E94" s="48" t="str">
        <x:v>NORTH_AMERICA:N=6,p=1.000</x:v>
      </x:c>
    </x:row>
    <x:row r="95">
      <x:c r="A95" s="48" t="str">
        <x:v>G16</x:v>
      </x:c>
      <x:c r="B95" s="48" t="str">
        <x:v>source_vintage_bin</x:v>
      </x:c>
      <x:c r="C95" s="48" t="str">
        <x:v>N TOO SMALL</x:v>
      </x:c>
      <x:c r="D95" s="48" t="str"/>
      <x:c r="E95" s="48" t="str"/>
    </x:row>
    <x:row r="96">
      <x:c r="A96" s="48" t="str">
        <x:v>G16</x:v>
      </x:c>
      <x:c r="B96" s="48" t="str">
        <x:v>governance_architecture</x:v>
      </x:c>
      <x:c r="C96" s="48" t="str">
        <x:v>N TOO SMALL</x:v>
      </x:c>
      <x:c r="D96" s="48" t="str"/>
      <x:c r="E96" s="48" t="str">
        <x:v>IC_FINAL_OR_DE_FACTO:N=8,p=1.000</x:v>
      </x:c>
    </x:row>
    <x:row r="97">
      <x:c r="A97" s="48" t="str">
        <x:v>G16</x:v>
      </x:c>
      <x:c r="B97" s="48" t="str">
        <x:v>dedicated_operating_team</x:v>
      </x:c>
      <x:c r="C97" s="48" t="str">
        <x:v>N TOO SMALL</x:v>
      </x:c>
      <x:c r="D97" s="48" t="str"/>
      <x:c r="E97" s="48" t="str">
        <x:v>YES_DEDICATED:N=7,p=1.000</x:v>
      </x:c>
    </x:row>
    <x:row r="98">
      <x:c r="A98" s="48" t="str">
        <x:v>D01</x:v>
      </x:c>
      <x:c r="B98" s="48" t="str">
        <x:v>fund_size_archetype</x:v>
      </x:c>
      <x:c r="C98" s="48" t="str">
        <x:v>DRIVER DOES NOT SEPARATE</x:v>
      </x:c>
      <x:c r="D98" s="48" t="str">
        <x:v>0.000</x:v>
      </x:c>
      <x:c r="E98" s="48" t="str">
        <x:v>LARGE_2_TO_LT_5B:N=9,p=1.000; LOWER_MID_LT_2B:N=8,p=1.000; MEGA_GE_5B:N=11,p=1.000</x:v>
      </x:c>
    </x:row>
    <x:row r="99">
      <x:c r="A99" s="48" t="str">
        <x:v>D01</x:v>
      </x:c>
      <x:c r="B99" s="48" t="str">
        <x:v>strategy</x:v>
      </x:c>
      <x:c r="C99" s="48" t="str">
        <x:v>DRIVER DOES NOT SEPARATE</x:v>
      </x:c>
      <x:c r="D99" s="48" t="str">
        <x:v>0.000</x:v>
      </x:c>
      <x:c r="E99" s="48" t="str">
        <x:v>CONTROL_BUYOUT:N=22,p=1.000; GROWTH_CONTROL_HYBRID:N=6,p=1.000</x:v>
      </x:c>
    </x:row>
    <x:row r="100">
      <x:c r="A100" s="48" t="str">
        <x:v>D01</x:v>
      </x:c>
      <x:c r="B100" s="48" t="str">
        <x:v>geography</x:v>
      </x:c>
      <x:c r="C100" s="48" t="str">
        <x:v>DRIVER DOES NOT SEPARATE</x:v>
      </x:c>
      <x:c r="D100" s="48" t="str">
        <x:v>0.000</x:v>
      </x:c>
      <x:c r="E100" s="48" t="str">
        <x:v>GLOBAL_TRANSATLANTIC:N=10,p=1.000; NORTH_AMERICA:N=13,p=1.000</x:v>
      </x:c>
    </x:row>
    <x:row r="101">
      <x:c r="A101" s="48" t="str">
        <x:v>D01</x:v>
      </x:c>
      <x:c r="B101" s="48" t="str">
        <x:v>source_vintage_bin</x:v>
      </x:c>
      <x:c r="C101" s="48" t="str">
        <x:v>DRIVER DOES NOT SEPARATE</x:v>
      </x:c>
      <x:c r="D101" s="48" t="str">
        <x:v>0.000</x:v>
      </x:c>
      <x:c r="E101" s="48" t="str">
        <x:v>2018_2020:N=6,p=1.000; 2021_2023:N=11,p=1.000; 2024_2026:N=12,p=1.000</x:v>
      </x:c>
    </x:row>
    <x:row r="102">
      <x:c r="A102" s="48" t="str">
        <x:v>D01</x:v>
      </x:c>
      <x:c r="B102" s="48" t="str">
        <x:v>governance_architecture</x:v>
      </x:c>
      <x:c r="C102" s="48" t="str">
        <x:v>N TOO SMALL</x:v>
      </x:c>
      <x:c r="D102" s="48" t="str"/>
      <x:c r="E102" s="48" t="str">
        <x:v>IC_FINAL_OR_DE_FACTO:N=26,p=1.000</x:v>
      </x:c>
    </x:row>
    <x:row r="103">
      <x:c r="A103" s="48" t="str">
        <x:v>D01</x:v>
      </x:c>
      <x:c r="B103" s="48" t="str">
        <x:v>dedicated_operating_team</x:v>
      </x:c>
      <x:c r="C103" s="48" t="str">
        <x:v>DRIVER DOES NOT SEPARATE</x:v>
      </x:c>
      <x:c r="D103" s="48" t="str">
        <x:v>0.000</x:v>
      </x:c>
      <x:c r="E103" s="48" t="str">
        <x:v>NO_OR_LIMITED:N=6,p=1.000; YES_DEDICATED:N=23,p=1.000</x:v>
      </x:c>
    </x:row>
    <x:row r="104">
      <x:c r="A104" s="48" t="str">
        <x:v>D02</x:v>
      </x:c>
      <x:c r="B104" s="48" t="str">
        <x:v>fund_size_archetype</x:v>
      </x:c>
      <x:c r="C104" s="48" t="str">
        <x:v>DRIVER DOES NOT SEPARATE</x:v>
      </x:c>
      <x:c r="D104" s="48" t="str">
        <x:v>0.000</x:v>
      </x:c>
      <x:c r="E104" s="48" t="str">
        <x:v>LARGE_2_TO_LT_5B:N=9,p=1.000; LOWER_MID_LT_2B:N=5,p=1.000; MEGA_GE_5B:N=8,p=1.000</x:v>
      </x:c>
    </x:row>
    <x:row r="105">
      <x:c r="A105" s="48" t="str">
        <x:v>D02</x:v>
      </x:c>
      <x:c r="B105" s="48" t="str">
        <x:v>strategy</x:v>
      </x:c>
      <x:c r="C105" s="48" t="str">
        <x:v>N TOO SMALL</x:v>
      </x:c>
      <x:c r="D105" s="48" t="str"/>
      <x:c r="E105" s="48" t="str">
        <x:v>CONTROL_BUYOUT:N=19,p=1.000</x:v>
      </x:c>
    </x:row>
    <x:row r="106">
      <x:c r="A106" s="48" t="str">
        <x:v>D02</x:v>
      </x:c>
      <x:c r="B106" s="48" t="str">
        <x:v>geography</x:v>
      </x:c>
      <x:c r="C106" s="48" t="str">
        <x:v>DRIVER DOES NOT SEPARATE</x:v>
      </x:c>
      <x:c r="D106" s="48" t="str">
        <x:v>0.000</x:v>
      </x:c>
      <x:c r="E106" s="48" t="str">
        <x:v>GLOBAL_TRANSATLANTIC:N=7,p=1.000; NORTH_AMERICA:N=10,p=1.000</x:v>
      </x:c>
    </x:row>
    <x:row r="107">
      <x:c r="A107" s="48" t="str">
        <x:v>D02</x:v>
      </x:c>
      <x:c r="B107" s="48" t="str">
        <x:v>source_vintage_bin</x:v>
      </x:c>
      <x:c r="C107" s="48" t="str">
        <x:v>DRIVER DOES NOT SEPARATE</x:v>
      </x:c>
      <x:c r="D107" s="48" t="str">
        <x:v>0.000</x:v>
      </x:c>
      <x:c r="E107" s="48" t="str">
        <x:v>2018_2020:N=5,p=1.000; 2021_2023:N=9,p=1.000; 2024_2026:N=9,p=1.000</x:v>
      </x:c>
    </x:row>
    <x:row r="108">
      <x:c r="A108" s="48" t="str">
        <x:v>D02</x:v>
      </x:c>
      <x:c r="B108" s="48" t="str">
        <x:v>governance_architecture</x:v>
      </x:c>
      <x:c r="C108" s="48" t="str">
        <x:v>N TOO SMALL</x:v>
      </x:c>
      <x:c r="D108" s="48" t="str"/>
      <x:c r="E108" s="48" t="str">
        <x:v>IC_FINAL_OR_DE_FACTO:N=20,p=1.000</x:v>
      </x:c>
    </x:row>
    <x:row r="109">
      <x:c r="A109" s="48" t="str">
        <x:v>D02</x:v>
      </x:c>
      <x:c r="B109" s="48" t="str">
        <x:v>dedicated_operating_team</x:v>
      </x:c>
      <x:c r="C109" s="48" t="str">
        <x:v>N TOO SMALL</x:v>
      </x:c>
      <x:c r="D109" s="48" t="str"/>
      <x:c r="E109" s="48" t="str">
        <x:v>YES_DEDICATED:N=20,p=1.000</x:v>
      </x:c>
    </x:row>
    <x:row r="110">
      <x:c r="A110" s="48" t="str">
        <x:v>D03</x:v>
      </x:c>
      <x:c r="B110" s="48" t="str">
        <x:v>fund_size_archetype</x:v>
      </x:c>
      <x:c r="C110" s="48" t="str">
        <x:v>N TOO SMALL</x:v>
      </x:c>
      <x:c r="D110" s="48" t="str"/>
      <x:c r="E110" s="48" t="str">
        <x:v>LARGE_2_TO_LT_5B:N=5,p=1.000</x:v>
      </x:c>
    </x:row>
    <x:row r="111">
      <x:c r="A111" s="48" t="str">
        <x:v>D03</x:v>
      </x:c>
      <x:c r="B111" s="48" t="str">
        <x:v>strategy</x:v>
      </x:c>
      <x:c r="C111" s="48" t="str">
        <x:v>N TOO SMALL</x:v>
      </x:c>
      <x:c r="D111" s="48" t="str"/>
      <x:c r="E111" s="48" t="str">
        <x:v>CONTROL_BUYOUT:N=6,p=1.000</x:v>
      </x:c>
    </x:row>
    <x:row r="112">
      <x:c r="A112" s="48" t="str">
        <x:v>D03</x:v>
      </x:c>
      <x:c r="B112" s="48" t="str">
        <x:v>geography</x:v>
      </x:c>
      <x:c r="C112" s="48" t="str">
        <x:v>N TOO SMALL</x:v>
      </x:c>
      <x:c r="D112" s="48" t="str"/>
      <x:c r="E112" s="48" t="str">
        <x:v>NORTH_AMERICA:N=6,p=1.000</x:v>
      </x:c>
    </x:row>
    <x:row r="113">
      <x:c r="A113" s="48" t="str">
        <x:v>D03</x:v>
      </x:c>
      <x:c r="B113" s="48" t="str">
        <x:v>source_vintage_bin</x:v>
      </x:c>
      <x:c r="C113" s="48" t="str">
        <x:v>N TOO SMALL</x:v>
      </x:c>
      <x:c r="D113" s="48" t="str"/>
      <x:c r="E113" s="48" t="str">
        <x:v>2024_2026:N=6,p=1.000</x:v>
      </x:c>
    </x:row>
    <x:row r="114">
      <x:c r="A114" s="48" t="str">
        <x:v>D03</x:v>
      </x:c>
      <x:c r="B114" s="48" t="str">
        <x:v>governance_architecture</x:v>
      </x:c>
      <x:c r="C114" s="48" t="str">
        <x:v>N TOO SMALL</x:v>
      </x:c>
      <x:c r="D114" s="48" t="str"/>
      <x:c r="E114" s="48" t="str">
        <x:v>IC_FINAL_OR_DE_FACTO:N=8,p=1.000</x:v>
      </x:c>
    </x:row>
    <x:row r="115">
      <x:c r="A115" s="48" t="str">
        <x:v>D03</x:v>
      </x:c>
      <x:c r="B115" s="48" t="str">
        <x:v>dedicated_operating_team</x:v>
      </x:c>
      <x:c r="C115" s="48" t="str">
        <x:v>N TOO SMALL</x:v>
      </x:c>
      <x:c r="D115" s="48" t="str"/>
      <x:c r="E115" s="48" t="str">
        <x:v>YES_DEDICATED:N=6,p=1.000</x:v>
      </x:c>
    </x:row>
    <x:row r="116">
      <x:c r="A116" s="48" t="str">
        <x:v>D04</x:v>
      </x:c>
      <x:c r="B116" s="48" t="str">
        <x:v>fund_size_archetype</x:v>
      </x:c>
      <x:c r="C116" s="48" t="str">
        <x:v>DRIVER SEPARATES</x:v>
      </x:c>
      <x:c r="D116" s="48" t="str">
        <x:v>0.625</x:v>
      </x:c>
      <x:c r="E116" s="48" t="str">
        <x:v>LARGE_2_TO_LT_5B:N=9,p=1.000; LOWER_MID_LT_2B:N=8,p=0.375; MEGA_GE_5B:N=11,p=1.000</x:v>
      </x:c>
    </x:row>
    <x:row r="117">
      <x:c r="A117" s="48" t="str">
        <x:v>D04</x:v>
      </x:c>
      <x:c r="B117" s="48" t="str">
        <x:v>strategy</x:v>
      </x:c>
      <x:c r="C117" s="48" t="str">
        <x:v>INCONCLUSIVE OR CONFOUNDED</x:v>
      </x:c>
      <x:c r="D117" s="48" t="str">
        <x:v>0.264</x:v>
      </x:c>
      <x:c r="E117" s="48" t="str">
        <x:v>CONTROL_BUYOUT:N=22,p=0.864; GROWTH_CONTROL_HYBRID:N=5,p=0.600</x:v>
      </x:c>
    </x:row>
    <x:row r="118">
      <x:c r="A118" s="48" t="str">
        <x:v>D04</x:v>
      </x:c>
      <x:c r="B118" s="48" t="str">
        <x:v>geography</x:v>
      </x:c>
      <x:c r="C118" s="48" t="str">
        <x:v>INCONCLUSIVE OR CONFOUNDED</x:v>
      </x:c>
      <x:c r="D118" s="48" t="str">
        <x:v>0.231</x:v>
      </x:c>
      <x:c r="E118" s="48" t="str">
        <x:v>GLOBAL_TRANSATLANTIC:N=10,p=1.000; NORTH_AMERICA:N=13,p=0.769</x:v>
      </x:c>
    </x:row>
    <x:row r="119">
      <x:c r="A119" s="48" t="str">
        <x:v>D04</x:v>
      </x:c>
      <x:c r="B119" s="48" t="str">
        <x:v>source_vintage_bin</x:v>
      </x:c>
      <x:c r="C119" s="48" t="str">
        <x:v>INCONCLUSIVE OR CONFOUNDED</x:v>
      </x:c>
      <x:c r="D119" s="48" t="str">
        <x:v>0.150</x:v>
      </x:c>
      <x:c r="E119" s="48" t="str">
        <x:v>2018_2020:N=6,p=0.833; 2021_2023:N=10,p=0.900; 2024_2026:N=12,p=0.750</x:v>
      </x:c>
    </x:row>
    <x:row r="120">
      <x:c r="A120" s="48" t="str">
        <x:v>D04</x:v>
      </x:c>
      <x:c r="B120" s="48" t="str">
        <x:v>governance_architecture</x:v>
      </x:c>
      <x:c r="C120" s="48" t="str">
        <x:v>N TOO SMALL</x:v>
      </x:c>
      <x:c r="D120" s="48" t="str"/>
      <x:c r="E120" s="48" t="str">
        <x:v>IC_FINAL_OR_DE_FACTO:N=26,p=0.808</x:v>
      </x:c>
    </x:row>
    <x:row r="121">
      <x:c r="A121" s="48" t="str">
        <x:v>D04</x:v>
      </x:c>
      <x:c r="B121" s="48" t="str">
        <x:v>dedicated_operating_team</x:v>
      </x:c>
      <x:c r="C121" s="48" t="str">
        <x:v>CIRCULAR</x:v>
      </x:c>
      <x:c r="D121" s="48" t="str"/>
      <x:c r="E121" s="48" t="str">
        <x:v>NO_OR_LIMITED:N=5,p=0.000; YES_DEDICATED:N=23,p=1.000</x:v>
      </x:c>
    </x:row>
    <x:row r="122">
      <x:c r="A122" s="48" t="str">
        <x:v>D05</x:v>
      </x:c>
      <x:c r="B122" s="48" t="str">
        <x:v>fund_size_archetype</x:v>
      </x:c>
      <x:c r="C122" s="48" t="str">
        <x:v>DRIVER SEPARATES</x:v>
      </x:c>
      <x:c r="D122" s="48" t="str">
        <x:v>0.625</x:v>
      </x:c>
      <x:c r="E122" s="48" t="str">
        <x:v>LARGE_2_TO_LT_5B:N=8,p=1.000; LOWER_MID_LT_2B:N=8,p=0.375; MEGA_GE_5B:N=11,p=1.000</x:v>
      </x:c>
    </x:row>
    <x:row r="123">
      <x:c r="A123" s="48" t="str">
        <x:v>D05</x:v>
      </x:c>
      <x:c r="B123" s="48" t="str">
        <x:v>strategy</x:v>
      </x:c>
      <x:c r="C123" s="48" t="str">
        <x:v>INCONCLUSIVE OR CONFOUNDED</x:v>
      </x:c>
      <x:c r="D123" s="48" t="str">
        <x:v>0.257</x:v>
      </x:c>
      <x:c r="E123" s="48" t="str">
        <x:v>CONTROL_BUYOUT:N=21,p=0.857; GROWTH_CONTROL_HYBRID:N=5,p=0.600</x:v>
      </x:c>
    </x:row>
    <x:row r="124">
      <x:c r="A124" s="48" t="str">
        <x:v>D05</x:v>
      </x:c>
      <x:c r="B124" s="48" t="str">
        <x:v>geography</x:v>
      </x:c>
      <x:c r="C124" s="48" t="str">
        <x:v>INCONCLUSIVE OR CONFOUNDED</x:v>
      </x:c>
      <x:c r="D124" s="48" t="str">
        <x:v>0.250</x:v>
      </x:c>
      <x:c r="E124" s="48" t="str">
        <x:v>GLOBAL_TRANSATLANTIC:N=10,p=1.000; NORTH_AMERICA:N=12,p=0.750</x:v>
      </x:c>
    </x:row>
    <x:row r="125">
      <x:c r="A125" s="48" t="str">
        <x:v>D05</x:v>
      </x:c>
      <x:c r="B125" s="48" t="str">
        <x:v>source_vintage_bin</x:v>
      </x:c>
      <x:c r="C125" s="48" t="str">
        <x:v>INCONCLUSIVE OR CONFOUNDED</x:v>
      </x:c>
      <x:c r="D125" s="48" t="str">
        <x:v>0.173</x:v>
      </x:c>
      <x:c r="E125" s="48" t="str">
        <x:v>2018_2020:N=6,p=0.833; 2021_2023:N=10,p=0.900; 2024_2026:N=11,p=0.727</x:v>
      </x:c>
    </x:row>
    <x:row r="126">
      <x:c r="A126" s="48" t="str">
        <x:v>D05</x:v>
      </x:c>
      <x:c r="B126" s="48" t="str">
        <x:v>governance_architecture</x:v>
      </x:c>
      <x:c r="C126" s="48" t="str">
        <x:v>N TOO SMALL</x:v>
      </x:c>
      <x:c r="D126" s="48" t="str"/>
      <x:c r="E126" s="48" t="str">
        <x:v>IC_FINAL_OR_DE_FACTO:N=25,p=0.800</x:v>
      </x:c>
    </x:row>
    <x:row r="127">
      <x:c r="A127" s="48" t="str">
        <x:v>D05</x:v>
      </x:c>
      <x:c r="B127" s="48" t="str">
        <x:v>dedicated_operating_team</x:v>
      </x:c>
      <x:c r="C127" s="48" t="str">
        <x:v>CIRCULAR</x:v>
      </x:c>
      <x:c r="D127" s="48" t="str"/>
      <x:c r="E127" s="48" t="str">
        <x:v>NO_OR_LIMITED:N=5,p=0.000; YES_DEDICATED:N=22,p=1.000</x:v>
      </x:c>
    </x:row>
    <x:row r="128">
      <x:c r="A128" s="48" t="str">
        <x:v>D06</x:v>
      </x:c>
      <x:c r="B128" s="48" t="str">
        <x:v>fund_size_archetype</x:v>
      </x:c>
      <x:c r="C128" s="48" t="str">
        <x:v>N TOO SMALL</x:v>
      </x:c>
      <x:c r="D128" s="48" t="str"/>
      <x:c r="E128" s="48" t="str">
        <x:v>MEGA_GE_5B:N=5,p=1.000</x:v>
      </x:c>
    </x:row>
    <x:row r="129">
      <x:c r="A129" s="48" t="str">
        <x:v>D06</x:v>
      </x:c>
      <x:c r="B129" s="48" t="str">
        <x:v>strategy</x:v>
      </x:c>
      <x:c r="C129" s="48" t="str">
        <x:v>N TOO SMALL</x:v>
      </x:c>
      <x:c r="D129" s="48" t="str"/>
      <x:c r="E129" s="48" t="str">
        <x:v>CONTROL_BUYOUT:N=6,p=1.000</x:v>
      </x:c>
    </x:row>
    <x:row r="130">
      <x:c r="A130" s="48" t="str">
        <x:v>D06</x:v>
      </x:c>
      <x:c r="B130" s="48" t="str">
        <x:v>geography</x:v>
      </x:c>
      <x:c r="C130" s="48" t="str">
        <x:v>N TOO SMALL</x:v>
      </x:c>
      <x:c r="D130" s="48" t="str"/>
      <x:c r="E130" s="48" t="str"/>
    </x:row>
    <x:row r="131">
      <x:c r="A131" s="48" t="str">
        <x:v>D06</x:v>
      </x:c>
      <x:c r="B131" s="48" t="str">
        <x:v>source_vintage_bin</x:v>
      </x:c>
      <x:c r="C131" s="48" t="str">
        <x:v>N TOO SMALL</x:v>
      </x:c>
      <x:c r="D131" s="48" t="str"/>
      <x:c r="E131" s="48" t="str"/>
    </x:row>
    <x:row r="132">
      <x:c r="A132" s="48" t="str">
        <x:v>D06</x:v>
      </x:c>
      <x:c r="B132" s="48" t="str">
        <x:v>governance_architecture</x:v>
      </x:c>
      <x:c r="C132" s="48" t="str">
        <x:v>N TOO SMALL</x:v>
      </x:c>
      <x:c r="D132" s="48" t="str"/>
      <x:c r="E132" s="48" t="str">
        <x:v>IC_FINAL_OR_DE_FACTO:N=7,p=1.000</x:v>
      </x:c>
    </x:row>
    <x:row r="133">
      <x:c r="A133" s="48" t="str">
        <x:v>D06</x:v>
      </x:c>
      <x:c r="B133" s="48" t="str">
        <x:v>dedicated_operating_team</x:v>
      </x:c>
      <x:c r="C133" s="48" t="str">
        <x:v>N TOO SMALL</x:v>
      </x:c>
      <x:c r="D133" s="48" t="str"/>
      <x:c r="E133" s="48" t="str">
        <x:v>YES_DEDICATED:N=7,p=1.000</x:v>
      </x:c>
    </x:row>
    <x:row r="134">
      <x:c r="A134" s="48" t="str">
        <x:v>D07</x:v>
      </x:c>
      <x:c r="B134" s="48" t="str">
        <x:v>fund_size_archetype</x:v>
      </x:c>
      <x:c r="C134" s="48" t="str">
        <x:v>DRIVER DOES NOT SEPARATE</x:v>
      </x:c>
      <x:c r="D134" s="48" t="str">
        <x:v>0.000</x:v>
      </x:c>
      <x:c r="E134" s="48" t="str">
        <x:v>LARGE_2_TO_LT_5B:N=9,p=1.000; LOWER_MID_LT_2B:N=8,p=1.000; MEGA_GE_5B:N=11,p=1.000</x:v>
      </x:c>
    </x:row>
    <x:row r="135">
      <x:c r="A135" s="48" t="str">
        <x:v>D07</x:v>
      </x:c>
      <x:c r="B135" s="48" t="str">
        <x:v>strategy</x:v>
      </x:c>
      <x:c r="C135" s="48" t="str">
        <x:v>DRIVER DOES NOT SEPARATE</x:v>
      </x:c>
      <x:c r="D135" s="48" t="str">
        <x:v>0.000</x:v>
      </x:c>
      <x:c r="E135" s="48" t="str">
        <x:v>CONTROL_BUYOUT:N=22,p=1.000; GROWTH_CONTROL_HYBRID:N=6,p=1.000</x:v>
      </x:c>
    </x:row>
    <x:row r="136">
      <x:c r="A136" s="48" t="str">
        <x:v>D07</x:v>
      </x:c>
      <x:c r="B136" s="48" t="str">
        <x:v>geography</x:v>
      </x:c>
      <x:c r="C136" s="48" t="str">
        <x:v>DRIVER DOES NOT SEPARATE</x:v>
      </x:c>
      <x:c r="D136" s="48" t="str">
        <x:v>0.000</x:v>
      </x:c>
      <x:c r="E136" s="48" t="str">
        <x:v>GLOBAL_TRANSATLANTIC:N=10,p=1.000; NORTH_AMERICA:N=13,p=1.000</x:v>
      </x:c>
    </x:row>
    <x:row r="137">
      <x:c r="A137" s="48" t="str">
        <x:v>D07</x:v>
      </x:c>
      <x:c r="B137" s="48" t="str">
        <x:v>source_vintage_bin</x:v>
      </x:c>
      <x:c r="C137" s="48" t="str">
        <x:v>DRIVER DOES NOT SEPARATE</x:v>
      </x:c>
      <x:c r="D137" s="48" t="str">
        <x:v>0.000</x:v>
      </x:c>
      <x:c r="E137" s="48" t="str">
        <x:v>2018_2020:N=6,p=1.000; 2021_2023:N=11,p=1.000; 2024_2026:N=12,p=1.000</x:v>
      </x:c>
    </x:row>
    <x:row r="138">
      <x:c r="A138" s="48" t="str">
        <x:v>D07</x:v>
      </x:c>
      <x:c r="B138" s="48" t="str">
        <x:v>governance_architecture</x:v>
      </x:c>
      <x:c r="C138" s="48" t="str">
        <x:v>N TOO SMALL</x:v>
      </x:c>
      <x:c r="D138" s="48" t="str"/>
      <x:c r="E138" s="48" t="str">
        <x:v>IC_FINAL_OR_DE_FACTO:N=26,p=1.000</x:v>
      </x:c>
    </x:row>
    <x:row r="139">
      <x:c r="A139" s="48" t="str">
        <x:v>D07</x:v>
      </x:c>
      <x:c r="B139" s="48" t="str">
        <x:v>dedicated_operating_team</x:v>
      </x:c>
      <x:c r="C139" s="48" t="str">
        <x:v>DRIVER DOES NOT SEPARATE</x:v>
      </x:c>
      <x:c r="D139" s="48" t="str">
        <x:v>0.000</x:v>
      </x:c>
      <x:c r="E139" s="48" t="str">
        <x:v>NO_OR_LIMITED:N=6,p=1.000; YES_DEDICATED:N=23,p=1.000</x:v>
      </x:c>
    </x:row>
    <x:row r="140">
      <x:c r="A140" s="48" t="str">
        <x:v>D08</x:v>
      </x:c>
      <x:c r="B140" s="48" t="str">
        <x:v>fund_size_archetype</x:v>
      </x:c>
      <x:c r="C140" s="48" t="str">
        <x:v>DRIVER DOES NOT SEPARATE</x:v>
      </x:c>
      <x:c r="D140" s="48" t="str">
        <x:v>0.000</x:v>
      </x:c>
      <x:c r="E140" s="48" t="str">
        <x:v>LARGE_2_TO_LT_5B:N=9,p=1.000; LOWER_MID_LT_2B:N=6,p=1.000; MEGA_GE_5B:N=11,p=1.000</x:v>
      </x:c>
    </x:row>
    <x:row r="141">
      <x:c r="A141" s="48" t="str">
        <x:v>D08</x:v>
      </x:c>
      <x:c r="B141" s="48" t="str">
        <x:v>strategy</x:v>
      </x:c>
      <x:c r="C141" s="48" t="str">
        <x:v>DRIVER DOES NOT SEPARATE</x:v>
      </x:c>
      <x:c r="D141" s="48" t="str">
        <x:v>0.000</x:v>
      </x:c>
      <x:c r="E141" s="48" t="str">
        <x:v>CONTROL_BUYOUT:N=21,p=1.000; GROWTH_CONTROL_HYBRID:N=5,p=1.000</x:v>
      </x:c>
    </x:row>
    <x:row r="142">
      <x:c r="A142" s="48" t="str">
        <x:v>D08</x:v>
      </x:c>
      <x:c r="B142" s="48" t="str">
        <x:v>geography</x:v>
      </x:c>
      <x:c r="C142" s="48" t="str">
        <x:v>DRIVER DOES NOT SEPARATE</x:v>
      </x:c>
      <x:c r="D142" s="48" t="str">
        <x:v>0.000</x:v>
      </x:c>
      <x:c r="E142" s="48" t="str">
        <x:v>GLOBAL_TRANSATLANTIC:N=10,p=1.000; NORTH_AMERICA:N=12,p=1.000</x:v>
      </x:c>
    </x:row>
    <x:row r="143">
      <x:c r="A143" s="48" t="str">
        <x:v>D08</x:v>
      </x:c>
      <x:c r="B143" s="48" t="str">
        <x:v>source_vintage_bin</x:v>
      </x:c>
      <x:c r="C143" s="48" t="str">
        <x:v>DRIVER DOES NOT SEPARATE</x:v>
      </x:c>
      <x:c r="D143" s="48" t="str">
        <x:v>0.000</x:v>
      </x:c>
      <x:c r="E143" s="48" t="str">
        <x:v>2018_2020:N=6,p=1.000; 2021_2023:N=11,p=1.000; 2024_2026:N=10,p=1.000</x:v>
      </x:c>
    </x:row>
    <x:row r="144">
      <x:c r="A144" s="48" t="str">
        <x:v>D08</x:v>
      </x:c>
      <x:c r="B144" s="48" t="str">
        <x:v>governance_architecture</x:v>
      </x:c>
      <x:c r="C144" s="48" t="str">
        <x:v>N TOO SMALL</x:v>
      </x:c>
      <x:c r="D144" s="48" t="str"/>
      <x:c r="E144" s="48" t="str">
        <x:v>IC_FINAL_OR_DE_FACTO:N=24,p=1.000</x:v>
      </x:c>
    </x:row>
    <x:row r="145">
      <x:c r="A145" s="48" t="str">
        <x:v>D08</x:v>
      </x:c>
      <x:c r="B145" s="48" t="str">
        <x:v>dedicated_operating_team</x:v>
      </x:c>
      <x:c r="C145" s="48" t="str">
        <x:v>N TOO SMALL</x:v>
      </x:c>
      <x:c r="D145" s="48" t="str"/>
      <x:c r="E145" s="48" t="str">
        <x:v>YES_DEDICATED:N=23,p=1.000</x:v>
      </x:c>
    </x:row>
    <x:row r="146">
      <x:c r="A146" s="48" t="str">
        <x:v>D09</x:v>
      </x:c>
      <x:c r="B146" s="48" t="str">
        <x:v>fund_size_archetype</x:v>
      </x:c>
      <x:c r="C146" s="48" t="str">
        <x:v>DRIVER DOES NOT SEPARATE</x:v>
      </x:c>
      <x:c r="D146" s="48" t="str">
        <x:v>0.000</x:v>
      </x:c>
      <x:c r="E146" s="48" t="str">
        <x:v>LARGE_2_TO_LT_5B:N=9,p=1.000; LOWER_MID_LT_2B:N=8,p=1.000; MEGA_GE_5B:N=11,p=1.000</x:v>
      </x:c>
    </x:row>
    <x:row r="147">
      <x:c r="A147" s="48" t="str">
        <x:v>D09</x:v>
      </x:c>
      <x:c r="B147" s="48" t="str">
        <x:v>strategy</x:v>
      </x:c>
      <x:c r="C147" s="48" t="str">
        <x:v>DRIVER DOES NOT SEPARATE</x:v>
      </x:c>
      <x:c r="D147" s="48" t="str">
        <x:v>0.000</x:v>
      </x:c>
      <x:c r="E147" s="48" t="str">
        <x:v>CONTROL_BUYOUT:N=22,p=1.000; GROWTH_CONTROL_HYBRID:N=6,p=1.000</x:v>
      </x:c>
    </x:row>
    <x:row r="148">
      <x:c r="A148" s="48" t="str">
        <x:v>D09</x:v>
      </x:c>
      <x:c r="B148" s="48" t="str">
        <x:v>geography</x:v>
      </x:c>
      <x:c r="C148" s="48" t="str">
        <x:v>DRIVER DOES NOT SEPARATE</x:v>
      </x:c>
      <x:c r="D148" s="48" t="str">
        <x:v>0.000</x:v>
      </x:c>
      <x:c r="E148" s="48" t="str">
        <x:v>GLOBAL_TRANSATLANTIC:N=10,p=1.000; NORTH_AMERICA:N=13,p=1.000</x:v>
      </x:c>
    </x:row>
    <x:row r="149">
      <x:c r="A149" s="48" t="str">
        <x:v>D09</x:v>
      </x:c>
      <x:c r="B149" s="48" t="str">
        <x:v>source_vintage_bin</x:v>
      </x:c>
      <x:c r="C149" s="48" t="str">
        <x:v>DRIVER DOES NOT SEPARATE</x:v>
      </x:c>
      <x:c r="D149" s="48" t="str">
        <x:v>0.000</x:v>
      </x:c>
      <x:c r="E149" s="48" t="str">
        <x:v>2018_2020:N=6,p=1.000; 2021_2023:N=11,p=1.000; 2024_2026:N=12,p=1.000</x:v>
      </x:c>
    </x:row>
    <x:row r="150">
      <x:c r="A150" s="48" t="str">
        <x:v>D09</x:v>
      </x:c>
      <x:c r="B150" s="48" t="str">
        <x:v>governance_architecture</x:v>
      </x:c>
      <x:c r="C150" s="48" t="str">
        <x:v>N TOO SMALL</x:v>
      </x:c>
      <x:c r="D150" s="48" t="str"/>
      <x:c r="E150" s="48" t="str">
        <x:v>IC_FINAL_OR_DE_FACTO:N=26,p=1.000</x:v>
      </x:c>
    </x:row>
    <x:row r="151">
      <x:c r="A151" s="48" t="str">
        <x:v>D09</x:v>
      </x:c>
      <x:c r="B151" s="48" t="str">
        <x:v>dedicated_operating_team</x:v>
      </x:c>
      <x:c r="C151" s="48" t="str">
        <x:v>DRIVER DOES NOT SEPARATE</x:v>
      </x:c>
      <x:c r="D151" s="48" t="str">
        <x:v>0.000</x:v>
      </x:c>
      <x:c r="E151" s="48" t="str">
        <x:v>NO_OR_LIMITED:N=6,p=1.000; YES_DEDICATED:N=23,p=1.000</x:v>
      </x:c>
    </x:row>
    <x:row r="152">
      <x:c r="A152" s="48" t="str">
        <x:v>D10</x:v>
      </x:c>
      <x:c r="B152" s="48" t="str">
        <x:v>fund_size_archetype</x:v>
      </x:c>
      <x:c r="C152" s="48" t="str">
        <x:v>DRIVER DOES NOT SEPARATE</x:v>
      </x:c>
      <x:c r="D152" s="48" t="str">
        <x:v>0.000</x:v>
      </x:c>
      <x:c r="E152" s="48" t="str">
        <x:v>LARGE_2_TO_LT_5B:N=9,p=1.000; LOWER_MID_LT_2B:N=8,p=1.000; MEGA_GE_5B:N=11,p=1.000</x:v>
      </x:c>
    </x:row>
    <x:row r="153">
      <x:c r="A153" s="48" t="str">
        <x:v>D10</x:v>
      </x:c>
      <x:c r="B153" s="48" t="str">
        <x:v>strategy</x:v>
      </x:c>
      <x:c r="C153" s="48" t="str">
        <x:v>DRIVER DOES NOT SEPARATE</x:v>
      </x:c>
      <x:c r="D153" s="48" t="str">
        <x:v>0.000</x:v>
      </x:c>
      <x:c r="E153" s="48" t="str">
        <x:v>CONTROL_BUYOUT:N=22,p=1.000; GROWTH_CONTROL_HYBRID:N=6,p=1.000</x:v>
      </x:c>
    </x:row>
    <x:row r="154">
      <x:c r="A154" s="48" t="str">
        <x:v>D10</x:v>
      </x:c>
      <x:c r="B154" s="48" t="str">
        <x:v>geography</x:v>
      </x:c>
      <x:c r="C154" s="48" t="str">
        <x:v>DRIVER DOES NOT SEPARATE</x:v>
      </x:c>
      <x:c r="D154" s="48" t="str">
        <x:v>0.000</x:v>
      </x:c>
      <x:c r="E154" s="48" t="str">
        <x:v>GLOBAL_TRANSATLANTIC:N=10,p=1.000; NORTH_AMERICA:N=13,p=1.000</x:v>
      </x:c>
    </x:row>
    <x:row r="155">
      <x:c r="A155" s="48" t="str">
        <x:v>D10</x:v>
      </x:c>
      <x:c r="B155" s="48" t="str">
        <x:v>source_vintage_bin</x:v>
      </x:c>
      <x:c r="C155" s="48" t="str">
        <x:v>DRIVER DOES NOT SEPARATE</x:v>
      </x:c>
      <x:c r="D155" s="48" t="str">
        <x:v>0.000</x:v>
      </x:c>
      <x:c r="E155" s="48" t="str">
        <x:v>2018_2020:N=6,p=1.000; 2021_2023:N=11,p=1.000; 2024_2026:N=12,p=1.000</x:v>
      </x:c>
    </x:row>
    <x:row r="156">
      <x:c r="A156" s="48" t="str">
        <x:v>D10</x:v>
      </x:c>
      <x:c r="B156" s="48" t="str">
        <x:v>governance_architecture</x:v>
      </x:c>
      <x:c r="C156" s="48" t="str">
        <x:v>N TOO SMALL</x:v>
      </x:c>
      <x:c r="D156" s="48" t="str"/>
      <x:c r="E156" s="48" t="str">
        <x:v>IC_FINAL_OR_DE_FACTO:N=26,p=1.000</x:v>
      </x:c>
    </x:row>
    <x:row r="157">
      <x:c r="A157" s="48" t="str">
        <x:v>D10</x:v>
      </x:c>
      <x:c r="B157" s="48" t="str">
        <x:v>dedicated_operating_team</x:v>
      </x:c>
      <x:c r="C157" s="48" t="str">
        <x:v>DRIVER DOES NOT SEPARATE</x:v>
      </x:c>
      <x:c r="D157" s="48" t="str">
        <x:v>0.000</x:v>
      </x:c>
      <x:c r="E157" s="48" t="str">
        <x:v>NO_OR_LIMITED:N=6,p=1.000; YES_DEDICATED:N=23,p=1.000</x:v>
      </x:c>
    </x:row>
    <x:row r="158">
      <x:c r="A158" s="48" t="str">
        <x:v>U01</x:v>
      </x:c>
      <x:c r="B158" s="48" t="str">
        <x:v>fund_size_archetype</x:v>
      </x:c>
      <x:c r="C158" s="48" t="str">
        <x:v>DRIVER DOES NOT SEPARATE</x:v>
      </x:c>
      <x:c r="D158" s="48" t="str">
        <x:v>0.000</x:v>
      </x:c>
      <x:c r="E158" s="48" t="str">
        <x:v>LARGE_2_TO_LT_5B:N=9,p=1.000; LOWER_MID_LT_2B:N=6,p=1.000; MEGA_GE_5B:N=11,p=1.000</x:v>
      </x:c>
    </x:row>
    <x:row r="159">
      <x:c r="A159" s="48" t="str">
        <x:v>U01</x:v>
      </x:c>
      <x:c r="B159" s="48" t="str">
        <x:v>strategy</x:v>
      </x:c>
      <x:c r="C159" s="48" t="str">
        <x:v>DRIVER DOES NOT SEPARATE</x:v>
      </x:c>
      <x:c r="D159" s="48" t="str">
        <x:v>0.000</x:v>
      </x:c>
      <x:c r="E159" s="48" t="str">
        <x:v>CONTROL_BUYOUT:N=20,p=1.000; GROWTH_CONTROL_HYBRID:N=6,p=1.000</x:v>
      </x:c>
    </x:row>
    <x:row r="160">
      <x:c r="A160" s="48" t="str">
        <x:v>U01</x:v>
      </x:c>
      <x:c r="B160" s="48" t="str">
        <x:v>geography</x:v>
      </x:c>
      <x:c r="C160" s="48" t="str">
        <x:v>DRIVER DOES NOT SEPARATE</x:v>
      </x:c>
      <x:c r="D160" s="48" t="str">
        <x:v>0.000</x:v>
      </x:c>
      <x:c r="E160" s="48" t="str">
        <x:v>GLOBAL_TRANSATLANTIC:N=10,p=1.000; NORTH_AMERICA:N=12,p=1.000</x:v>
      </x:c>
    </x:row>
    <x:row r="161">
      <x:c r="A161" s="48" t="str">
        <x:v>U01</x:v>
      </x:c>
      <x:c r="B161" s="48" t="str">
        <x:v>source_vintage_bin</x:v>
      </x:c>
      <x:c r="C161" s="48" t="str">
        <x:v>DRIVER DOES NOT SEPARATE</x:v>
      </x:c>
      <x:c r="D161" s="48" t="str">
        <x:v>0.000</x:v>
      </x:c>
      <x:c r="E161" s="48" t="str">
        <x:v>2018_2020:N=5,p=1.000; 2021_2023:N=10,p=1.000; 2024_2026:N=12,p=1.000</x:v>
      </x:c>
    </x:row>
    <x:row r="162">
      <x:c r="A162" s="48" t="str">
        <x:v>U01</x:v>
      </x:c>
      <x:c r="B162" s="48" t="str">
        <x:v>governance_architecture</x:v>
      </x:c>
      <x:c r="C162" s="48" t="str">
        <x:v>N TOO SMALL</x:v>
      </x:c>
      <x:c r="D162" s="48" t="str"/>
      <x:c r="E162" s="48" t="str">
        <x:v>IC_FINAL_OR_DE_FACTO:N=24,p=1.000</x:v>
      </x:c>
    </x:row>
    <x:row r="163">
      <x:c r="A163" s="48" t="str">
        <x:v>U01</x:v>
      </x:c>
      <x:c r="B163" s="48" t="str">
        <x:v>dedicated_operating_team</x:v>
      </x:c>
      <x:c r="C163" s="48" t="str">
        <x:v>N TOO SMALL</x:v>
      </x:c>
      <x:c r="D163" s="48" t="str"/>
      <x:c r="E163" s="48" t="str">
        <x:v>YES_DEDICATED:N=23,p=1.000</x:v>
      </x:c>
    </x:row>
    <x:row r="164">
      <x:c r="A164" s="48" t="str">
        <x:v>U02</x:v>
      </x:c>
      <x:c r="B164" s="48" t="str">
        <x:v>fund_size_archetype</x:v>
      </x:c>
      <x:c r="C164" s="48" t="str">
        <x:v>DRIVER DOES NOT SEPARATE</x:v>
      </x:c>
      <x:c r="D164" s="48" t="str">
        <x:v>0.000</x:v>
      </x:c>
      <x:c r="E164" s="48" t="str">
        <x:v>LARGE_2_TO_LT_5B:N=9,p=1.000; LOWER_MID_LT_2B:N=7,p=1.000; MEGA_GE_5B:N=11,p=1.000</x:v>
      </x:c>
    </x:row>
    <x:row r="165">
      <x:c r="A165" s="48" t="str">
        <x:v>U02</x:v>
      </x:c>
      <x:c r="B165" s="48" t="str">
        <x:v>strategy</x:v>
      </x:c>
      <x:c r="C165" s="48" t="str">
        <x:v>DRIVER DOES NOT SEPARATE</x:v>
      </x:c>
      <x:c r="D165" s="48" t="str">
        <x:v>0.000</x:v>
      </x:c>
      <x:c r="E165" s="48" t="str">
        <x:v>CONTROL_BUYOUT:N=21,p=1.000; GROWTH_CONTROL_HYBRID:N=6,p=1.000</x:v>
      </x:c>
    </x:row>
    <x:row r="166">
      <x:c r="A166" s="48" t="str">
        <x:v>U02</x:v>
      </x:c>
      <x:c r="B166" s="48" t="str">
        <x:v>geography</x:v>
      </x:c>
      <x:c r="C166" s="48" t="str">
        <x:v>DRIVER DOES NOT SEPARATE</x:v>
      </x:c>
      <x:c r="D166" s="48" t="str">
        <x:v>0.000</x:v>
      </x:c>
      <x:c r="E166" s="48" t="str">
        <x:v>GLOBAL_TRANSATLANTIC:N=10,p=1.000; NORTH_AMERICA:N=13,p=1.000</x:v>
      </x:c>
    </x:row>
    <x:row r="167">
      <x:c r="A167" s="48" t="str">
        <x:v>U02</x:v>
      </x:c>
      <x:c r="B167" s="48" t="str">
        <x:v>source_vintage_bin</x:v>
      </x:c>
      <x:c r="C167" s="48" t="str">
        <x:v>DRIVER DOES NOT SEPARATE</x:v>
      </x:c>
      <x:c r="D167" s="48" t="str">
        <x:v>0.000</x:v>
      </x:c>
      <x:c r="E167" s="48" t="str">
        <x:v>2018_2020:N=6,p=1.000; 2021_2023:N=10,p=1.000; 2024_2026:N=12,p=1.000</x:v>
      </x:c>
    </x:row>
    <x:row r="168">
      <x:c r="A168" s="48" t="str">
        <x:v>U02</x:v>
      </x:c>
      <x:c r="B168" s="48" t="str">
        <x:v>governance_architecture</x:v>
      </x:c>
      <x:c r="C168" s="48" t="str">
        <x:v>N TOO SMALL</x:v>
      </x:c>
      <x:c r="D168" s="48" t="str"/>
      <x:c r="E168" s="48" t="str">
        <x:v>IC_FINAL_OR_DE_FACTO:N=25,p=1.000</x:v>
      </x:c>
    </x:row>
    <x:row r="169">
      <x:c r="A169" s="48" t="str">
        <x:v>U02</x:v>
      </x:c>
      <x:c r="B169" s="48" t="str">
        <x:v>dedicated_operating_team</x:v>
      </x:c>
      <x:c r="C169" s="48" t="str">
        <x:v>DRIVER DOES NOT SEPARATE</x:v>
      </x:c>
      <x:c r="D169" s="48" t="str">
        <x:v>0.000</x:v>
      </x:c>
      <x:c r="E169" s="48" t="str">
        <x:v>NO_OR_LIMITED:N=5,p=1.000; YES_DEDICATED:N=23,p=1.000</x:v>
      </x:c>
    </x:row>
    <x:row r="170">
      <x:c r="A170" s="48" t="str">
        <x:v>U03</x:v>
      </x:c>
      <x:c r="B170" s="48" t="str">
        <x:v>fund_size_archetype</x:v>
      </x:c>
      <x:c r="C170" s="48" t="str">
        <x:v>N TOO SMALL</x:v>
      </x:c>
      <x:c r="D170" s="48" t="str"/>
      <x:c r="E170" s="48" t="str"/>
    </x:row>
    <x:row r="171">
      <x:c r="A171" s="48" t="str">
        <x:v>U03</x:v>
      </x:c>
      <x:c r="B171" s="48" t="str">
        <x:v>strategy</x:v>
      </x:c>
      <x:c r="C171" s="48" t="str">
        <x:v>N TOO SMALL</x:v>
      </x:c>
      <x:c r="D171" s="48" t="str"/>
      <x:c r="E171" s="48" t="str"/>
    </x:row>
    <x:row r="172">
      <x:c r="A172" s="48" t="str">
        <x:v>U03</x:v>
      </x:c>
      <x:c r="B172" s="48" t="str">
        <x:v>geography</x:v>
      </x:c>
      <x:c r="C172" s="48" t="str">
        <x:v>N TOO SMALL</x:v>
      </x:c>
      <x:c r="D172" s="48" t="str"/>
      <x:c r="E172" s="48" t="str"/>
    </x:row>
    <x:row r="173">
      <x:c r="A173" s="48" t="str">
        <x:v>U03</x:v>
      </x:c>
      <x:c r="B173" s="48" t="str">
        <x:v>source_vintage_bin</x:v>
      </x:c>
      <x:c r="C173" s="48" t="str">
        <x:v>N TOO SMALL</x:v>
      </x:c>
      <x:c r="D173" s="48" t="str"/>
      <x:c r="E173" s="48" t="str"/>
    </x:row>
    <x:row r="174">
      <x:c r="A174" s="48" t="str">
        <x:v>U03</x:v>
      </x:c>
      <x:c r="B174" s="48" t="str">
        <x:v>governance_architecture</x:v>
      </x:c>
      <x:c r="C174" s="48" t="str">
        <x:v>N TOO SMALL</x:v>
      </x:c>
      <x:c r="D174" s="48" t="str"/>
      <x:c r="E174" s="48" t="str">
        <x:v>IC_FINAL_OR_DE_FACTO:N=5,p=1.000</x:v>
      </x:c>
    </x:row>
    <x:row r="175">
      <x:c r="A175" s="48" t="str">
        <x:v>U03</x:v>
      </x:c>
      <x:c r="B175" s="48" t="str">
        <x:v>dedicated_operating_team</x:v>
      </x:c>
      <x:c r="C175" s="48" t="str">
        <x:v>N TOO SMALL</x:v>
      </x:c>
      <x:c r="D175" s="48" t="str"/>
      <x:c r="E175" s="48" t="str"/>
    </x:row>
    <x:row r="176">
      <x:c r="A176" s="48" t="str">
        <x:v>U04</x:v>
      </x:c>
      <x:c r="B176" s="48" t="str">
        <x:v>fund_size_archetype</x:v>
      </x:c>
      <x:c r="C176" s="48" t="str">
        <x:v>DRIVER DOES NOT SEPARATE</x:v>
      </x:c>
      <x:c r="D176" s="48" t="str">
        <x:v>0.000</x:v>
      </x:c>
      <x:c r="E176" s="48" t="str">
        <x:v>LARGE_2_TO_LT_5B:N=9,p=1.000; LOWER_MID_LT_2B:N=8,p=1.000; MEGA_GE_5B:N=11,p=1.000</x:v>
      </x:c>
    </x:row>
    <x:row r="177">
      <x:c r="A177" s="48" t="str">
        <x:v>U04</x:v>
      </x:c>
      <x:c r="B177" s="48" t="str">
        <x:v>strategy</x:v>
      </x:c>
      <x:c r="C177" s="48" t="str">
        <x:v>DRIVER DOES NOT SEPARATE</x:v>
      </x:c>
      <x:c r="D177" s="48" t="str">
        <x:v>0.000</x:v>
      </x:c>
      <x:c r="E177" s="48" t="str">
        <x:v>CONTROL_BUYOUT:N=22,p=1.000; GROWTH_CONTROL_HYBRID:N=6,p=1.000</x:v>
      </x:c>
    </x:row>
    <x:row r="178">
      <x:c r="A178" s="48" t="str">
        <x:v>U04</x:v>
      </x:c>
      <x:c r="B178" s="48" t="str">
        <x:v>geography</x:v>
      </x:c>
      <x:c r="C178" s="48" t="str">
        <x:v>DRIVER DOES NOT SEPARATE</x:v>
      </x:c>
      <x:c r="D178" s="48" t="str">
        <x:v>0.000</x:v>
      </x:c>
      <x:c r="E178" s="48" t="str">
        <x:v>GLOBAL_TRANSATLANTIC:N=10,p=1.000; NORTH_AMERICA:N=13,p=1.000</x:v>
      </x:c>
    </x:row>
    <x:row r="179">
      <x:c r="A179" s="48" t="str">
        <x:v>U04</x:v>
      </x:c>
      <x:c r="B179" s="48" t="str">
        <x:v>source_vintage_bin</x:v>
      </x:c>
      <x:c r="C179" s="48" t="str">
        <x:v>DRIVER DOES NOT SEPARATE</x:v>
      </x:c>
      <x:c r="D179" s="48" t="str">
        <x:v>0.000</x:v>
      </x:c>
      <x:c r="E179" s="48" t="str">
        <x:v>2018_2020:N=6,p=1.000; 2021_2023:N=11,p=1.000; 2024_2026:N=12,p=1.000</x:v>
      </x:c>
    </x:row>
    <x:row r="180">
      <x:c r="A180" s="48" t="str">
        <x:v>U04</x:v>
      </x:c>
      <x:c r="B180" s="48" t="str">
        <x:v>governance_architecture</x:v>
      </x:c>
      <x:c r="C180" s="48" t="str">
        <x:v>N TOO SMALL</x:v>
      </x:c>
      <x:c r="D180" s="48" t="str"/>
      <x:c r="E180" s="48" t="str">
        <x:v>IC_FINAL_OR_DE_FACTO:N=26,p=1.000</x:v>
      </x:c>
    </x:row>
    <x:row r="181">
      <x:c r="A181" s="48" t="str">
        <x:v>U04</x:v>
      </x:c>
      <x:c r="B181" s="48" t="str">
        <x:v>dedicated_operating_team</x:v>
      </x:c>
      <x:c r="C181" s="48" t="str">
        <x:v>DRIVER DOES NOT SEPARATE</x:v>
      </x:c>
      <x:c r="D181" s="48" t="str">
        <x:v>0.000</x:v>
      </x:c>
      <x:c r="E181" s="48" t="str">
        <x:v>NO_OR_LIMITED:N=6,p=1.000; YES_DEDICATED:N=23,p=1.000</x:v>
      </x:c>
    </x:row>
    <x:row r="182">
      <x:c r="A182" s="48" t="str">
        <x:v>U05</x:v>
      </x:c>
      <x:c r="B182" s="48" t="str">
        <x:v>fund_size_archetype</x:v>
      </x:c>
      <x:c r="C182" s="48" t="str">
        <x:v>DRIVER DOES NOT SEPARATE</x:v>
      </x:c>
      <x:c r="D182" s="48" t="str">
        <x:v>0.125</x:v>
      </x:c>
      <x:c r="E182" s="48" t="str">
        <x:v>LARGE_2_TO_LT_5B:N=9,p=1.000; LOWER_MID_LT_2B:N=8,p=0.875; MEGA_GE_5B:N=11,p=1.000</x:v>
      </x:c>
    </x:row>
    <x:row r="183">
      <x:c r="A183" s="48" t="str">
        <x:v>U05</x:v>
      </x:c>
      <x:c r="B183" s="48" t="str">
        <x:v>strategy</x:v>
      </x:c>
      <x:c r="C183" s="48" t="str">
        <x:v>INCONCLUSIVE OR CONFOUNDED</x:v>
      </x:c>
      <x:c r="D183" s="48" t="str">
        <x:v>0.167</x:v>
      </x:c>
      <x:c r="E183" s="48" t="str">
        <x:v>CONTROL_BUYOUT:N=22,p=1.000; GROWTH_CONTROL_HYBRID:N=6,p=0.833</x:v>
      </x:c>
    </x:row>
    <x:row r="184">
      <x:c r="A184" s="48" t="str">
        <x:v>U05</x:v>
      </x:c>
      <x:c r="B184" s="48" t="str">
        <x:v>geography</x:v>
      </x:c>
      <x:c r="C184" s="48" t="str">
        <x:v>DRIVER DOES NOT SEPARATE</x:v>
      </x:c>
      <x:c r="D184" s="48" t="str">
        <x:v>0.077</x:v>
      </x:c>
      <x:c r="E184" s="48" t="str">
        <x:v>GLOBAL_TRANSATLANTIC:N=10,p=1.000; NORTH_AMERICA:N=13,p=0.923</x:v>
      </x:c>
    </x:row>
    <x:row r="185">
      <x:c r="A185" s="48" t="str">
        <x:v>U05</x:v>
      </x:c>
      <x:c r="B185" s="48" t="str">
        <x:v>source_vintage_bin</x:v>
      </x:c>
      <x:c r="C185" s="48" t="str">
        <x:v>DRIVER DOES NOT SEPARATE</x:v>
      </x:c>
      <x:c r="D185" s="48" t="str">
        <x:v>0.083</x:v>
      </x:c>
      <x:c r="E185" s="48" t="str">
        <x:v>2018_2020:N=6,p=1.000; 2021_2023:N=11,p=1.000; 2024_2026:N=12,p=0.917</x:v>
      </x:c>
    </x:row>
    <x:row r="186">
      <x:c r="A186" s="48" t="str">
        <x:v>U05</x:v>
      </x:c>
      <x:c r="B186" s="48" t="str">
        <x:v>governance_architecture</x:v>
      </x:c>
      <x:c r="C186" s="48" t="str">
        <x:v>N TOO SMALL</x:v>
      </x:c>
      <x:c r="D186" s="48" t="str"/>
      <x:c r="E186" s="48" t="str">
        <x:v>IC_FINAL_OR_DE_FACTO:N=26,p=0.962</x:v>
      </x:c>
    </x:row>
    <x:row r="187">
      <x:c r="A187" s="48" t="str">
        <x:v>U05</x:v>
      </x:c>
      <x:c r="B187" s="48" t="str">
        <x:v>dedicated_operating_team</x:v>
      </x:c>
      <x:c r="C187" s="48" t="str">
        <x:v>INCONCLUSIVE OR CONFOUNDED</x:v>
      </x:c>
      <x:c r="D187" s="48" t="str">
        <x:v>0.167</x:v>
      </x:c>
      <x:c r="E187" s="48" t="str">
        <x:v>NO_OR_LIMITED:N=6,p=0.833; YES_DEDICATED:N=23,p=1.000</x:v>
      </x:c>
    </x:row>
    <x:row r="188">
      <x:c r="A188" s="48" t="str">
        <x:v>U06</x:v>
      </x:c>
      <x:c r="B188" s="48" t="str">
        <x:v>fund_size_archetype</x:v>
      </x:c>
      <x:c r="C188" s="48" t="str">
        <x:v>DRIVER DOES NOT SEPARATE</x:v>
      </x:c>
      <x:c r="D188" s="48" t="str">
        <x:v>0.125</x:v>
      </x:c>
      <x:c r="E188" s="48" t="str">
        <x:v>LARGE_2_TO_LT_5B:N=9,p=0.667; LOWER_MID_LT_2B:N=8,p=0.750; MEGA_GE_5B:N=8,p=0.625</x:v>
      </x:c>
    </x:row>
    <x:row r="189">
      <x:c r="A189" s="48" t="str">
        <x:v>U06</x:v>
      </x:c>
      <x:c r="B189" s="48" t="str">
        <x:v>strategy</x:v>
      </x:c>
      <x:c r="C189" s="48" t="str">
        <x:v>INCONCLUSIVE OR CONFOUNDED</x:v>
      </x:c>
      <x:c r="D189" s="48" t="str">
        <x:v>0.150</x:v>
      </x:c>
      <x:c r="E189" s="48" t="str">
        <x:v>CONTROL_BUYOUT:N=20,p=0.650; GROWTH_CONTROL_HYBRID:N=5,p=0.800</x:v>
      </x:c>
    </x:row>
    <x:row r="190">
      <x:c r="A190" s="48" t="str">
        <x:v>U06</x:v>
      </x:c>
      <x:c r="B190" s="48" t="str">
        <x:v>geography</x:v>
      </x:c>
      <x:c r="C190" s="48" t="str">
        <x:v>DRIVER DOES NOT SEPARATE</x:v>
      </x:c>
      <x:c r="D190" s="48" t="str">
        <x:v>0.099</x:v>
      </x:c>
      <x:c r="E190" s="48" t="str">
        <x:v>GLOBAL_TRANSATLANTIC:N=7,p=0.714; NORTH_AMERICA:N=13,p=0.615</x:v>
      </x:c>
    </x:row>
    <x:row r="191">
      <x:c r="A191" s="48" t="str">
        <x:v>U06</x:v>
      </x:c>
      <x:c r="B191" s="48" t="str">
        <x:v>source_vintage_bin</x:v>
      </x:c>
      <x:c r="C191" s="48" t="str">
        <x:v>DRIVER DOES NOT SEPARATE</x:v>
      </x:c>
      <x:c r="D191" s="48" t="str">
        <x:v>0.141</x:v>
      </x:c>
      <x:c r="E191" s="48" t="str">
        <x:v>2018_2020:N=6,p=0.667; 2021_2023:N=9,p=0.778; 2024_2026:N=11,p=0.636</x:v>
      </x:c>
    </x:row>
    <x:row r="192">
      <x:c r="A192" s="48" t="str">
        <x:v>U06</x:v>
      </x:c>
      <x:c r="B192" s="48" t="str">
        <x:v>governance_architecture</x:v>
      </x:c>
      <x:c r="C192" s="48" t="str">
        <x:v>N TOO SMALL</x:v>
      </x:c>
      <x:c r="D192" s="48" t="str"/>
      <x:c r="E192" s="48" t="str">
        <x:v>IC_FINAL_OR_DE_FACTO:N=23,p=0.652</x:v>
      </x:c>
    </x:row>
    <x:row r="193">
      <x:c r="A193" s="48" t="str">
        <x:v>U06</x:v>
      </x:c>
      <x:c r="B193" s="48" t="str">
        <x:v>dedicated_operating_team</x:v>
      </x:c>
      <x:c r="C193" s="48" t="str">
        <x:v>DRIVER DOES NOT SEPARATE</x:v>
      </x:c>
      <x:c r="D193" s="48" t="str">
        <x:v>0.033</x:v>
      </x:c>
      <x:c r="E193" s="48" t="str">
        <x:v>NO_OR_LIMITED:N=6,p=0.667; YES_DEDICATED:N=20,p=0.700</x:v>
      </x:c>
    </x:row>
    <x:row r="194">
      <x:c r="A194" s="48" t="str">
        <x:v>U07</x:v>
      </x:c>
      <x:c r="B194" s="48" t="str">
        <x:v>fund_size_archetype</x:v>
      </x:c>
      <x:c r="C194" s="48" t="str">
        <x:v>DRIVER DOES NOT SEPARATE</x:v>
      </x:c>
      <x:c r="D194" s="48" t="str">
        <x:v>0.000</x:v>
      </x:c>
      <x:c r="E194" s="48" t="str">
        <x:v>LARGE_2_TO_LT_5B:N=9,p=1.000; LOWER_MID_LT_2B:N=8,p=1.000; MEGA_GE_5B:N=11,p=1.000</x:v>
      </x:c>
    </x:row>
    <x:row r="195">
      <x:c r="A195" s="48" t="str">
        <x:v>U07</x:v>
      </x:c>
      <x:c r="B195" s="48" t="str">
        <x:v>strategy</x:v>
      </x:c>
      <x:c r="C195" s="48" t="str">
        <x:v>DRIVER DOES NOT SEPARATE</x:v>
      </x:c>
      <x:c r="D195" s="48" t="str">
        <x:v>0.000</x:v>
      </x:c>
      <x:c r="E195" s="48" t="str">
        <x:v>CONTROL_BUYOUT:N=22,p=1.000; GROWTH_CONTROL_HYBRID:N=6,p=1.000</x:v>
      </x:c>
    </x:row>
    <x:row r="196">
      <x:c r="A196" s="48" t="str">
        <x:v>U07</x:v>
      </x:c>
      <x:c r="B196" s="48" t="str">
        <x:v>geography</x:v>
      </x:c>
      <x:c r="C196" s="48" t="str">
        <x:v>DRIVER DOES NOT SEPARATE</x:v>
      </x:c>
      <x:c r="D196" s="48" t="str">
        <x:v>0.000</x:v>
      </x:c>
      <x:c r="E196" s="48" t="str">
        <x:v>GLOBAL_TRANSATLANTIC:N=10,p=1.000; NORTH_AMERICA:N=13,p=1.000</x:v>
      </x:c>
    </x:row>
    <x:row r="197">
      <x:c r="A197" s="48" t="str">
        <x:v>U07</x:v>
      </x:c>
      <x:c r="B197" s="48" t="str">
        <x:v>source_vintage_bin</x:v>
      </x:c>
      <x:c r="C197" s="48" t="str">
        <x:v>DRIVER DOES NOT SEPARATE</x:v>
      </x:c>
      <x:c r="D197" s="48" t="str">
        <x:v>0.000</x:v>
      </x:c>
      <x:c r="E197" s="48" t="str">
        <x:v>2018_2020:N=6,p=1.000; 2021_2023:N=11,p=1.000; 2024_2026:N=12,p=1.000</x:v>
      </x:c>
    </x:row>
    <x:row r="198">
      <x:c r="A198" s="48" t="str">
        <x:v>U07</x:v>
      </x:c>
      <x:c r="B198" s="48" t="str">
        <x:v>governance_architecture</x:v>
      </x:c>
      <x:c r="C198" s="48" t="str">
        <x:v>N TOO SMALL</x:v>
      </x:c>
      <x:c r="D198" s="48" t="str"/>
      <x:c r="E198" s="48" t="str">
        <x:v>IC_FINAL_OR_DE_FACTO:N=26,p=1.000</x:v>
      </x:c>
    </x:row>
    <x:row r="199">
      <x:c r="A199" s="48" t="str">
        <x:v>U07</x:v>
      </x:c>
      <x:c r="B199" s="48" t="str">
        <x:v>dedicated_operating_team</x:v>
      </x:c>
      <x:c r="C199" s="48" t="str">
        <x:v>DRIVER DOES NOT SEPARATE</x:v>
      </x:c>
      <x:c r="D199" s="48" t="str">
        <x:v>0.000</x:v>
      </x:c>
      <x:c r="E199" s="48" t="str">
        <x:v>NO_OR_LIMITED:N=6,p=1.000; YES_DEDICATED:N=23,p=1.000</x:v>
      </x:c>
    </x:row>
    <x:row r="200">
      <x:c r="A200" s="48" t="str">
        <x:v>U08</x:v>
      </x:c>
      <x:c r="B200" s="48" t="str">
        <x:v>fund_size_archetype</x:v>
      </x:c>
      <x:c r="C200" s="48" t="str">
        <x:v>DRIVER DOES NOT SEPARATE</x:v>
      </x:c>
      <x:c r="D200" s="48" t="str">
        <x:v>0.000</x:v>
      </x:c>
      <x:c r="E200" s="48" t="str">
        <x:v>LARGE_2_TO_LT_5B:N=8,p=1.000; LOWER_MID_LT_2B:N=8,p=1.000; MEGA_GE_5B:N=11,p=1.000</x:v>
      </x:c>
    </x:row>
    <x:row r="201">
      <x:c r="A201" s="48" t="str">
        <x:v>U08</x:v>
      </x:c>
      <x:c r="B201" s="48" t="str">
        <x:v>strategy</x:v>
      </x:c>
      <x:c r="C201" s="48" t="str">
        <x:v>DRIVER DOES NOT SEPARATE</x:v>
      </x:c>
      <x:c r="D201" s="48" t="str">
        <x:v>0.000</x:v>
      </x:c>
      <x:c r="E201" s="48" t="str">
        <x:v>CONTROL_BUYOUT:N=21,p=1.000; GROWTH_CONTROL_HYBRID:N=6,p=1.000</x:v>
      </x:c>
    </x:row>
    <x:row r="202">
      <x:c r="A202" s="48" t="str">
        <x:v>U08</x:v>
      </x:c>
      <x:c r="B202" s="48" t="str">
        <x:v>geography</x:v>
      </x:c>
      <x:c r="C202" s="48" t="str">
        <x:v>DRIVER DOES NOT SEPARATE</x:v>
      </x:c>
      <x:c r="D202" s="48" t="str">
        <x:v>0.000</x:v>
      </x:c>
      <x:c r="E202" s="48" t="str">
        <x:v>GLOBAL_TRANSATLANTIC:N=10,p=1.000; NORTH_AMERICA:N=12,p=1.000</x:v>
      </x:c>
    </x:row>
    <x:row r="203">
      <x:c r="A203" s="48" t="str">
        <x:v>U08</x:v>
      </x:c>
      <x:c r="B203" s="48" t="str">
        <x:v>source_vintage_bin</x:v>
      </x:c>
      <x:c r="C203" s="48" t="str">
        <x:v>DRIVER DOES NOT SEPARATE</x:v>
      </x:c>
      <x:c r="D203" s="48" t="str">
        <x:v>0.000</x:v>
      </x:c>
      <x:c r="E203" s="48" t="str">
        <x:v>2018_2020:N=6,p=1.000; 2021_2023:N=11,p=1.000; 2024_2026:N=11,p=1.000</x:v>
      </x:c>
    </x:row>
    <x:row r="204">
      <x:c r="A204" s="48" t="str">
        <x:v>U08</x:v>
      </x:c>
      <x:c r="B204" s="48" t="str">
        <x:v>governance_architecture</x:v>
      </x:c>
      <x:c r="C204" s="48" t="str">
        <x:v>N TOO SMALL</x:v>
      </x:c>
      <x:c r="D204" s="48" t="str"/>
      <x:c r="E204" s="48" t="str">
        <x:v>IC_FINAL_OR_DE_FACTO:N=25,p=1.000</x:v>
      </x:c>
    </x:row>
    <x:row r="205">
      <x:c r="A205" s="48" t="str">
        <x:v>U08</x:v>
      </x:c>
      <x:c r="B205" s="48" t="str">
        <x:v>dedicated_operating_team</x:v>
      </x:c>
      <x:c r="C205" s="48" t="str">
        <x:v>DRIVER DOES NOT SEPARATE</x:v>
      </x:c>
      <x:c r="D205" s="48" t="str">
        <x:v>0.000</x:v>
      </x:c>
      <x:c r="E205" s="48" t="str">
        <x:v>NO_OR_LIMITED:N=6,p=1.000; YES_DEDICATED:N=22,p=1.000</x:v>
      </x:c>
    </x:row>
    <x:row r="206">
      <x:c r="A206" s="48" t="str">
        <x:v>U09</x:v>
      </x:c>
      <x:c r="B206" s="48" t="str">
        <x:v>fund_size_archetype</x:v>
      </x:c>
      <x:c r="C206" s="48" t="str">
        <x:v>INCONCLUSIVE OR CONFOUNDED</x:v>
      </x:c>
      <x:c r="D206" s="48" t="str">
        <x:v>0.167</x:v>
      </x:c>
      <x:c r="E206" s="48" t="str">
        <x:v>LARGE_2_TO_LT_5B:N=9,p=1.000; LOWER_MID_LT_2B:N=6,p=0.833; MEGA_GE_5B:N=9,p=1.000</x:v>
      </x:c>
    </x:row>
    <x:row r="207">
      <x:c r="A207" s="48" t="str">
        <x:v>U09</x:v>
      </x:c>
      <x:c r="B207" s="48" t="str">
        <x:v>strategy</x:v>
      </x:c>
      <x:c r="C207" s="48" t="str">
        <x:v>INCONCLUSIVE OR CONFOUNDED</x:v>
      </x:c>
      <x:c r="D207" s="48" t="str">
        <x:v>0.200</x:v>
      </x:c>
      <x:c r="E207" s="48" t="str">
        <x:v>CONTROL_BUYOUT:N=19,p=1.000; GROWTH_CONTROL_HYBRID:N=5,p=0.800</x:v>
      </x:c>
    </x:row>
    <x:row r="208">
      <x:c r="A208" s="48" t="str">
        <x:v>U09</x:v>
      </x:c>
      <x:c r="B208" s="48" t="str">
        <x:v>geography</x:v>
      </x:c>
      <x:c r="C208" s="48" t="str">
        <x:v>DRIVER DOES NOT SEPARATE</x:v>
      </x:c>
      <x:c r="D208" s="48" t="str">
        <x:v>0.083</x:v>
      </x:c>
      <x:c r="E208" s="48" t="str">
        <x:v>GLOBAL_TRANSATLANTIC:N=9,p=1.000; NORTH_AMERICA:N=12,p=0.917</x:v>
      </x:c>
    </x:row>
    <x:row r="209">
      <x:c r="A209" s="48" t="str">
        <x:v>U09</x:v>
      </x:c>
      <x:c r="B209" s="48" t="str">
        <x:v>source_vintage_bin</x:v>
      </x:c>
      <x:c r="C209" s="48" t="str">
        <x:v>DRIVER DOES NOT SEPARATE</x:v>
      </x:c>
      <x:c r="D209" s="48" t="str">
        <x:v>0.100</x:v>
      </x:c>
      <x:c r="E209" s="48" t="str">
        <x:v>2018_2020:N=6,p=1.000; 2021_2023:N=9,p=1.000; 2024_2026:N=10,p=0.900</x:v>
      </x:c>
    </x:row>
    <x:row r="210">
      <x:c r="A210" s="48" t="str">
        <x:v>U09</x:v>
      </x:c>
      <x:c r="B210" s="48" t="str">
        <x:v>governance_architecture</x:v>
      </x:c>
      <x:c r="C210" s="48" t="str">
        <x:v>N TOO SMALL</x:v>
      </x:c>
      <x:c r="D210" s="48" t="str"/>
      <x:c r="E210" s="48" t="str">
        <x:v>IC_FINAL_OR_DE_FACTO:N=22,p=0.955</x:v>
      </x:c>
    </x:row>
    <x:row r="211">
      <x:c r="A211" s="48" t="str">
        <x:v>U09</x:v>
      </x:c>
      <x:c r="B211" s="48" t="str">
        <x:v>dedicated_operating_team</x:v>
      </x:c>
      <x:c r="C211" s="48" t="str">
        <x:v>N TOO SMALL</x:v>
      </x:c>
      <x:c r="D211" s="48" t="str"/>
      <x:c r="E211" s="48" t="str">
        <x:v>YES_DEDICATED:N=21,p=1.000</x:v>
      </x:c>
    </x:row>
    <x:row r="212">
      <x:c r="A212" s="48" t="str">
        <x:v>O01</x:v>
      </x:c>
      <x:c r="B212" s="48" t="str">
        <x:v>fund_size_archetype</x:v>
      </x:c>
      <x:c r="C212" s="48" t="str">
        <x:v>N TOO SMALL</x:v>
      </x:c>
      <x:c r="D212" s="48" t="str"/>
      <x:c r="E212" s="48" t="str"/>
    </x:row>
    <x:row r="213">
      <x:c r="A213" s="48" t="str">
        <x:v>O01</x:v>
      </x:c>
      <x:c r="B213" s="48" t="str">
        <x:v>strategy</x:v>
      </x:c>
      <x:c r="C213" s="48" t="str">
        <x:v>N TOO SMALL</x:v>
      </x:c>
      <x:c r="D213" s="48" t="str"/>
      <x:c r="E213" s="48" t="str">
        <x:v>CONTROL_BUYOUT:N=8,p=1.000</x:v>
      </x:c>
    </x:row>
    <x:row r="214">
      <x:c r="A214" s="48" t="str">
        <x:v>O01</x:v>
      </x:c>
      <x:c r="B214" s="48" t="str">
        <x:v>geography</x:v>
      </x:c>
      <x:c r="C214" s="48" t="str">
        <x:v>DRIVER DOES NOT SEPARATE</x:v>
      </x:c>
      <x:c r="D214" s="48" t="str">
        <x:v>0.000</x:v>
      </x:c>
      <x:c r="E214" s="48" t="str">
        <x:v>GLOBAL_TRANSATLANTIC:N=5,p=1.000; NORTH_AMERICA:N=6,p=1.000</x:v>
      </x:c>
    </x:row>
    <x:row r="215">
      <x:c r="A215" s="48" t="str">
        <x:v>O01</x:v>
      </x:c>
      <x:c r="B215" s="48" t="str">
        <x:v>source_vintage_bin</x:v>
      </x:c>
      <x:c r="C215" s="48" t="str">
        <x:v>DRIVER DOES NOT SEPARATE</x:v>
      </x:c>
      <x:c r="D215" s="48" t="str">
        <x:v>0.000</x:v>
      </x:c>
      <x:c r="E215" s="48" t="str">
        <x:v>2021_2023:N=5,p=1.000; 2024_2026:N=5,p=1.000</x:v>
      </x:c>
    </x:row>
    <x:row r="216">
      <x:c r="A216" s="48" t="str">
        <x:v>O01</x:v>
      </x:c>
      <x:c r="B216" s="48" t="str">
        <x:v>governance_architecture</x:v>
      </x:c>
      <x:c r="C216" s="48" t="str">
        <x:v>N TOO SMALL</x:v>
      </x:c>
      <x:c r="D216" s="48" t="str"/>
      <x:c r="E216" s="48" t="str">
        <x:v>IC_FINAL_OR_DE_FACTO:N=12,p=1.000</x:v>
      </x:c>
    </x:row>
    <x:row r="217">
      <x:c r="A217" s="48" t="str">
        <x:v>O01</x:v>
      </x:c>
      <x:c r="B217" s="48" t="str">
        <x:v>dedicated_operating_team</x:v>
      </x:c>
      <x:c r="C217" s="48" t="str">
        <x:v>DRIVER DOES NOT SEPARATE</x:v>
      </x:c>
      <x:c r="D217" s="48" t="str">
        <x:v>0.000</x:v>
      </x:c>
      <x:c r="E217" s="48" t="str">
        <x:v>NO_OR_LIMITED:N=5,p=1.000; YES_DEDICATED:N=8,p=1.000</x:v>
      </x:c>
    </x:row>
    <x:row r="218">
      <x:c r="A218" s="48" t="str">
        <x:v>O02</x:v>
      </x:c>
      <x:c r="B218" s="48" t="str">
        <x:v>fund_size_archetype</x:v>
      </x:c>
      <x:c r="C218" s="48" t="str">
        <x:v>DRIVER DOES NOT SEPARATE</x:v>
      </x:c>
      <x:c r="D218" s="48" t="str">
        <x:v>0.000</x:v>
      </x:c>
      <x:c r="E218" s="48" t="str">
        <x:v>LARGE_2_TO_LT_5B:N=9,p=1.000; LOWER_MID_LT_2B:N=8,p=1.000; MEGA_GE_5B:N=11,p=1.000</x:v>
      </x:c>
    </x:row>
    <x:row r="219">
      <x:c r="A219" s="48" t="str">
        <x:v>O02</x:v>
      </x:c>
      <x:c r="B219" s="48" t="str">
        <x:v>strategy</x:v>
      </x:c>
      <x:c r="C219" s="48" t="str">
        <x:v>DRIVER DOES NOT SEPARATE</x:v>
      </x:c>
      <x:c r="D219" s="48" t="str">
        <x:v>0.000</x:v>
      </x:c>
      <x:c r="E219" s="48" t="str">
        <x:v>CONTROL_BUYOUT:N=22,p=1.000; GROWTH_CONTROL_HYBRID:N=6,p=1.000</x:v>
      </x:c>
    </x:row>
    <x:row r="220">
      <x:c r="A220" s="48" t="str">
        <x:v>O02</x:v>
      </x:c>
      <x:c r="B220" s="48" t="str">
        <x:v>geography</x:v>
      </x:c>
      <x:c r="C220" s="48" t="str">
        <x:v>DRIVER DOES NOT SEPARATE</x:v>
      </x:c>
      <x:c r="D220" s="48" t="str">
        <x:v>0.000</x:v>
      </x:c>
      <x:c r="E220" s="48" t="str">
        <x:v>GLOBAL_TRANSATLANTIC:N=10,p=1.000; NORTH_AMERICA:N=13,p=1.000</x:v>
      </x:c>
    </x:row>
    <x:row r="221">
      <x:c r="A221" s="48" t="str">
        <x:v>O02</x:v>
      </x:c>
      <x:c r="B221" s="48" t="str">
        <x:v>source_vintage_bin</x:v>
      </x:c>
      <x:c r="C221" s="48" t="str">
        <x:v>DRIVER DOES NOT SEPARATE</x:v>
      </x:c>
      <x:c r="D221" s="48" t="str">
        <x:v>0.000</x:v>
      </x:c>
      <x:c r="E221" s="48" t="str">
        <x:v>2018_2020:N=6,p=1.000; 2021_2023:N=11,p=1.000; 2024_2026:N=12,p=1.000</x:v>
      </x:c>
    </x:row>
    <x:row r="222">
      <x:c r="A222" s="48" t="str">
        <x:v>O02</x:v>
      </x:c>
      <x:c r="B222" s="48" t="str">
        <x:v>governance_architecture</x:v>
      </x:c>
      <x:c r="C222" s="48" t="str">
        <x:v>N TOO SMALL</x:v>
      </x:c>
      <x:c r="D222" s="48" t="str"/>
      <x:c r="E222" s="48" t="str">
        <x:v>IC_FINAL_OR_DE_FACTO:N=26,p=1.000</x:v>
      </x:c>
    </x:row>
    <x:row r="223">
      <x:c r="A223" s="48" t="str">
        <x:v>O02</x:v>
      </x:c>
      <x:c r="B223" s="48" t="str">
        <x:v>dedicated_operating_team</x:v>
      </x:c>
      <x:c r="C223" s="48" t="str">
        <x:v>DRIVER DOES NOT SEPARATE</x:v>
      </x:c>
      <x:c r="D223" s="48" t="str">
        <x:v>0.000</x:v>
      </x:c>
      <x:c r="E223" s="48" t="str">
        <x:v>NO_OR_LIMITED:N=6,p=1.000; YES_DEDICATED:N=23,p=1.000</x:v>
      </x:c>
    </x:row>
    <x:row r="224">
      <x:c r="A224" s="48" t="str">
        <x:v>O03</x:v>
      </x:c>
      <x:c r="B224" s="48" t="str">
        <x:v>fund_size_archetype</x:v>
      </x:c>
      <x:c r="C224" s="48" t="str">
        <x:v>N TOO SMALL</x:v>
      </x:c>
      <x:c r="D224" s="48" t="str"/>
      <x:c r="E224" s="48" t="str"/>
    </x:row>
    <x:row r="225">
      <x:c r="A225" s="48" t="str">
        <x:v>O03</x:v>
      </x:c>
      <x:c r="B225" s="48" t="str">
        <x:v>strategy</x:v>
      </x:c>
      <x:c r="C225" s="48" t="str">
        <x:v>N TOO SMALL</x:v>
      </x:c>
      <x:c r="D225" s="48" t="str"/>
      <x:c r="E225" s="48" t="str"/>
    </x:row>
    <x:row r="226">
      <x:c r="A226" s="48" t="str">
        <x:v>O03</x:v>
      </x:c>
      <x:c r="B226" s="48" t="str">
        <x:v>geography</x:v>
      </x:c>
      <x:c r="C226" s="48" t="str">
        <x:v>N TOO SMALL</x:v>
      </x:c>
      <x:c r="D226" s="48" t="str"/>
      <x:c r="E226" s="48" t="str"/>
    </x:row>
    <x:row r="227">
      <x:c r="A227" s="48" t="str">
        <x:v>O03</x:v>
      </x:c>
      <x:c r="B227" s="48" t="str">
        <x:v>source_vintage_bin</x:v>
      </x:c>
      <x:c r="C227" s="48" t="str">
        <x:v>N TOO SMALL</x:v>
      </x:c>
      <x:c r="D227" s="48" t="str"/>
      <x:c r="E227" s="48" t="str"/>
    </x:row>
    <x:row r="228">
      <x:c r="A228" s="48" t="str">
        <x:v>O03</x:v>
      </x:c>
      <x:c r="B228" s="48" t="str">
        <x:v>governance_architecture</x:v>
      </x:c>
      <x:c r="C228" s="48" t="str">
        <x:v>N TOO SMALL</x:v>
      </x:c>
      <x:c r="D228" s="48" t="str"/>
      <x:c r="E228" s="48" t="str"/>
    </x:row>
    <x:row r="229">
      <x:c r="A229" s="48" t="str">
        <x:v>O03</x:v>
      </x:c>
      <x:c r="B229" s="48" t="str">
        <x:v>dedicated_operating_team</x:v>
      </x:c>
      <x:c r="C229" s="48" t="str">
        <x:v>N TOO SMALL</x:v>
      </x:c>
      <x:c r="D229" s="48" t="str"/>
      <x:c r="E229" s="48" t="str"/>
    </x:row>
    <x:row r="230">
      <x:c r="A230" s="48" t="str">
        <x:v>O04</x:v>
      </x:c>
      <x:c r="B230" s="48" t="str">
        <x:v>fund_size_archetype</x:v>
      </x:c>
      <x:c r="C230" s="48" t="str">
        <x:v>DRIVER DOES NOT SEPARATE</x:v>
      </x:c>
      <x:c r="D230" s="48" t="str">
        <x:v>0.000</x:v>
      </x:c>
      <x:c r="E230" s="48" t="str">
        <x:v>LARGE_2_TO_LT_5B:N=9,p=1.000; LOWER_MID_LT_2B:N=6,p=1.000; MEGA_GE_5B:N=9,p=1.000</x:v>
      </x:c>
    </x:row>
    <x:row r="231">
      <x:c r="A231" s="48" t="str">
        <x:v>O04</x:v>
      </x:c>
      <x:c r="B231" s="48" t="str">
        <x:v>strategy</x:v>
      </x:c>
      <x:c r="C231" s="48" t="str">
        <x:v>DRIVER DOES NOT SEPARATE</x:v>
      </x:c>
      <x:c r="D231" s="48" t="str">
        <x:v>0.000</x:v>
      </x:c>
      <x:c r="E231" s="48" t="str">
        <x:v>CONTROL_BUYOUT:N=20,p=1.000; GROWTH_CONTROL_HYBRID:N=5,p=1.000</x:v>
      </x:c>
    </x:row>
    <x:row r="232">
      <x:c r="A232" s="48" t="str">
        <x:v>O04</x:v>
      </x:c>
      <x:c r="B232" s="48" t="str">
        <x:v>geography</x:v>
      </x:c>
      <x:c r="C232" s="48" t="str">
        <x:v>DRIVER DOES NOT SEPARATE</x:v>
      </x:c>
      <x:c r="D232" s="48" t="str">
        <x:v>0.000</x:v>
      </x:c>
      <x:c r="E232" s="48" t="str">
        <x:v>GLOBAL_TRANSATLANTIC:N=8,p=1.000; NORTH_AMERICA:N=12,p=1.000</x:v>
      </x:c>
    </x:row>
    <x:row r="233">
      <x:c r="A233" s="48" t="str">
        <x:v>O04</x:v>
      </x:c>
      <x:c r="B233" s="48" t="str">
        <x:v>source_vintage_bin</x:v>
      </x:c>
      <x:c r="C233" s="48" t="str">
        <x:v>DRIVER DOES NOT SEPARATE</x:v>
      </x:c>
      <x:c r="D233" s="48" t="str">
        <x:v>0.000</x:v>
      </x:c>
      <x:c r="E233" s="48" t="str">
        <x:v>2018_2020:N=5,p=1.000; 2021_2023:N=9,p=1.000; 2024_2026:N=11,p=1.000</x:v>
      </x:c>
    </x:row>
    <x:row r="234">
      <x:c r="A234" s="48" t="str">
        <x:v>O04</x:v>
      </x:c>
      <x:c r="B234" s="48" t="str">
        <x:v>governance_architecture</x:v>
      </x:c>
      <x:c r="C234" s="48" t="str">
        <x:v>N TOO SMALL</x:v>
      </x:c>
      <x:c r="D234" s="48" t="str"/>
      <x:c r="E234" s="48" t="str">
        <x:v>IC_FINAL_OR_DE_FACTO:N=22,p=1.000</x:v>
      </x:c>
    </x:row>
    <x:row r="235">
      <x:c r="A235" s="48" t="str">
        <x:v>O04</x:v>
      </x:c>
      <x:c r="B235" s="48" t="str">
        <x:v>dedicated_operating_team</x:v>
      </x:c>
      <x:c r="C235" s="48" t="str">
        <x:v>N TOO SMALL</x:v>
      </x:c>
      <x:c r="D235" s="48" t="str"/>
      <x:c r="E235" s="48" t="str">
        <x:v>YES_DEDICATED:N=21,p=1.000</x:v>
      </x:c>
    </x:row>
    <x:row r="236">
      <x:c r="A236" s="48" t="str">
        <x:v>O05</x:v>
      </x:c>
      <x:c r="B236" s="48" t="str">
        <x:v>fund_size_archetype</x:v>
      </x:c>
      <x:c r="C236" s="48" t="str">
        <x:v>N TOO SMALL</x:v>
      </x:c>
      <x:c r="D236" s="48" t="str"/>
      <x:c r="E236" s="48" t="str">
        <x:v>MEGA_GE_5B:N=10,p=1.000</x:v>
      </x:c>
    </x:row>
    <x:row r="237">
      <x:c r="A237" s="48" t="str">
        <x:v>O05</x:v>
      </x:c>
      <x:c r="B237" s="48" t="str">
        <x:v>strategy</x:v>
      </x:c>
      <x:c r="C237" s="48" t="str">
        <x:v>N TOO SMALL</x:v>
      </x:c>
      <x:c r="D237" s="48" t="str"/>
      <x:c r="E237" s="48" t="str">
        <x:v>CONTROL_BUYOUT:N=13,p=1.000</x:v>
      </x:c>
    </x:row>
    <x:row r="238">
      <x:c r="A238" s="48" t="str">
        <x:v>O05</x:v>
      </x:c>
      <x:c r="B238" s="48" t="str">
        <x:v>geography</x:v>
      </x:c>
      <x:c r="C238" s="48" t="str">
        <x:v>N TOO SMALL</x:v>
      </x:c>
      <x:c r="D238" s="48" t="str"/>
      <x:c r="E238" s="48" t="str">
        <x:v>GLOBAL_TRANSATLANTIC:N=8,p=1.000</x:v>
      </x:c>
    </x:row>
    <x:row r="239">
      <x:c r="A239" s="48" t="str">
        <x:v>O05</x:v>
      </x:c>
      <x:c r="B239" s="48" t="str">
        <x:v>source_vintage_bin</x:v>
      </x:c>
      <x:c r="C239" s="48" t="str">
        <x:v>DRIVER DOES NOT SEPARATE</x:v>
      </x:c>
      <x:c r="D239" s="48" t="str">
        <x:v>0.000</x:v>
      </x:c>
      <x:c r="E239" s="48" t="str">
        <x:v>2021_2023:N=7,p=1.000; 2024_2026:N=6,p=1.000</x:v>
      </x:c>
    </x:row>
    <x:row r="240">
      <x:c r="A240" s="48" t="str">
        <x:v>O05</x:v>
      </x:c>
      <x:c r="B240" s="48" t="str">
        <x:v>governance_architecture</x:v>
      </x:c>
      <x:c r="C240" s="48" t="str">
        <x:v>N TOO SMALL</x:v>
      </x:c>
      <x:c r="D240" s="48" t="str"/>
      <x:c r="E240" s="48" t="str">
        <x:v>IC_FINAL_OR_DE_FACTO:N=14,p=1.000</x:v>
      </x:c>
    </x:row>
    <x:row r="241">
      <x:c r="A241" s="48" t="str">
        <x:v>O05</x:v>
      </x:c>
      <x:c r="B241" s="48" t="str">
        <x:v>dedicated_operating_team</x:v>
      </x:c>
      <x:c r="C241" s="48" t="str">
        <x:v>N TOO SMALL</x:v>
      </x:c>
      <x:c r="D241" s="48" t="str"/>
      <x:c r="E241" s="48" t="str">
        <x:v>YES_DEDICATED:N=14,p=1.000</x:v>
      </x:c>
    </x:row>
    <x:row r="242">
      <x:c r="A242" s="48" t="str">
        <x:v>S01</x:v>
      </x:c>
      <x:c r="B242" s="48" t="str">
        <x:v>fund_size_archetype</x:v>
      </x:c>
      <x:c r="C242" s="48" t="str">
        <x:v>DRIVER DOES NOT SEPARATE</x:v>
      </x:c>
      <x:c r="D242" s="48" t="str">
        <x:v>0.000</x:v>
      </x:c>
      <x:c r="E242" s="48" t="str">
        <x:v>LARGE_2_TO_LT_5B:N=9,p=1.000; LOWER_MID_LT_2B:N=7,p=1.000; MEGA_GE_5B:N=11,p=1.000</x:v>
      </x:c>
    </x:row>
    <x:row r="243">
      <x:c r="A243" s="48" t="str">
        <x:v>S01</x:v>
      </x:c>
      <x:c r="B243" s="48" t="str">
        <x:v>strategy</x:v>
      </x:c>
      <x:c r="C243" s="48" t="str">
        <x:v>DRIVER DOES NOT SEPARATE</x:v>
      </x:c>
      <x:c r="D243" s="48" t="str">
        <x:v>0.000</x:v>
      </x:c>
      <x:c r="E243" s="48" t="str">
        <x:v>CONTROL_BUYOUT:N=21,p=1.000; GROWTH_CONTROL_HYBRID:N=6,p=1.000</x:v>
      </x:c>
    </x:row>
    <x:row r="244">
      <x:c r="A244" s="48" t="str">
        <x:v>S01</x:v>
      </x:c>
      <x:c r="B244" s="48" t="str">
        <x:v>geography</x:v>
      </x:c>
      <x:c r="C244" s="48" t="str">
        <x:v>DRIVER DOES NOT SEPARATE</x:v>
      </x:c>
      <x:c r="D244" s="48" t="str">
        <x:v>0.000</x:v>
      </x:c>
      <x:c r="E244" s="48" t="str">
        <x:v>GLOBAL_TRANSATLANTIC:N=10,p=1.000; NORTH_AMERICA:N=13,p=1.000</x:v>
      </x:c>
    </x:row>
    <x:row r="245">
      <x:c r="A245" s="48" t="str">
        <x:v>S01</x:v>
      </x:c>
      <x:c r="B245" s="48" t="str">
        <x:v>source_vintage_bin</x:v>
      </x:c>
      <x:c r="C245" s="48" t="str">
        <x:v>DRIVER DOES NOT SEPARATE</x:v>
      </x:c>
      <x:c r="D245" s="48" t="str">
        <x:v>0.000</x:v>
      </x:c>
      <x:c r="E245" s="48" t="str">
        <x:v>2018_2020:N=6,p=1.000; 2021_2023:N=11,p=1.000; 2024_2026:N=11,p=1.000</x:v>
      </x:c>
    </x:row>
    <x:row r="246">
      <x:c r="A246" s="48" t="str">
        <x:v>S01</x:v>
      </x:c>
      <x:c r="B246" s="48" t="str">
        <x:v>governance_architecture</x:v>
      </x:c>
      <x:c r="C246" s="48" t="str">
        <x:v>N TOO SMALL</x:v>
      </x:c>
      <x:c r="D246" s="48" t="str"/>
      <x:c r="E246" s="48" t="str">
        <x:v>IC_FINAL_OR_DE_FACTO:N=25,p=1.000</x:v>
      </x:c>
    </x:row>
    <x:row r="247">
      <x:c r="A247" s="48" t="str">
        <x:v>S01</x:v>
      </x:c>
      <x:c r="B247" s="48" t="str">
        <x:v>dedicated_operating_team</x:v>
      </x:c>
      <x:c r="C247" s="48" t="str">
        <x:v>DRIVER DOES NOT SEPARATE</x:v>
      </x:c>
      <x:c r="D247" s="48" t="str">
        <x:v>0.000</x:v>
      </x:c>
      <x:c r="E247" s="48" t="str">
        <x:v>NO_OR_LIMITED:N=5,p=1.000; YES_DEDICATED:N=23,p=1.000</x:v>
      </x:c>
    </x:row>
    <x:row r="248">
      <x:c r="A248" s="48" t="str">
        <x:v>S02</x:v>
      </x:c>
      <x:c r="B248" s="48" t="str">
        <x:v>fund_size_archetype</x:v>
      </x:c>
      <x:c r="C248" s="48" t="str">
        <x:v>DRIVER DOES NOT SEPARATE</x:v>
      </x:c>
      <x:c r="D248" s="48" t="str">
        <x:v>0.000</x:v>
      </x:c>
      <x:c r="E248" s="48" t="str">
        <x:v>LARGE_2_TO_LT_5B:N=5,p=1.000; LOWER_MID_LT_2B:N=5,p=1.000; MEGA_GE_5B:N=9,p=1.000</x:v>
      </x:c>
    </x:row>
    <x:row r="249">
      <x:c r="A249" s="48" t="str">
        <x:v>S02</x:v>
      </x:c>
      <x:c r="B249" s="48" t="str">
        <x:v>strategy</x:v>
      </x:c>
      <x:c r="C249" s="48" t="str">
        <x:v>DRIVER DOES NOT SEPARATE</x:v>
      </x:c>
      <x:c r="D249" s="48" t="str">
        <x:v>0.000</x:v>
      </x:c>
      <x:c r="E249" s="48" t="str">
        <x:v>CONTROL_BUYOUT:N=13,p=1.000; GROWTH_CONTROL_HYBRID:N=6,p=1.000</x:v>
      </x:c>
    </x:row>
    <x:row r="250">
      <x:c r="A250" s="48" t="str">
        <x:v>S02</x:v>
      </x:c>
      <x:c r="B250" s="48" t="str">
        <x:v>geography</x:v>
      </x:c>
      <x:c r="C250" s="48" t="str">
        <x:v>DRIVER DOES NOT SEPARATE</x:v>
      </x:c>
      <x:c r="D250" s="48" t="str">
        <x:v>0.000</x:v>
      </x:c>
      <x:c r="E250" s="48" t="str">
        <x:v>GLOBAL_TRANSATLANTIC:N=8,p=1.000; NORTH_AMERICA:N=9,p=1.000</x:v>
      </x:c>
    </x:row>
    <x:row r="251">
      <x:c r="A251" s="48" t="str">
        <x:v>S02</x:v>
      </x:c>
      <x:c r="B251" s="48" t="str">
        <x:v>source_vintage_bin</x:v>
      </x:c>
      <x:c r="C251" s="48" t="str">
        <x:v>DRIVER DOES NOT SEPARATE</x:v>
      </x:c>
      <x:c r="D251" s="48" t="str">
        <x:v>0.000</x:v>
      </x:c>
      <x:c r="E251" s="48" t="str">
        <x:v>2018_2020:N=5,p=1.000; 2021_2023:N=8,p=1.000; 2024_2026:N=7,p=1.000</x:v>
      </x:c>
    </x:row>
    <x:row r="252">
      <x:c r="A252" s="48" t="str">
        <x:v>S02</x:v>
      </x:c>
      <x:c r="B252" s="48" t="str">
        <x:v>governance_architecture</x:v>
      </x:c>
      <x:c r="C252" s="48" t="str">
        <x:v>N TOO SMALL</x:v>
      </x:c>
      <x:c r="D252" s="48" t="str"/>
      <x:c r="E252" s="48" t="str">
        <x:v>IC_FINAL_OR_DE_FACTO:N=17,p=1.000</x:v>
      </x:c>
    </x:row>
    <x:row r="253">
      <x:c r="A253" s="48" t="str">
        <x:v>S02</x:v>
      </x:c>
      <x:c r="B253" s="48" t="str">
        <x:v>dedicated_operating_team</x:v>
      </x:c>
      <x:c r="C253" s="48" t="str">
        <x:v>N TOO SMALL</x:v>
      </x:c>
      <x:c r="D253" s="48" t="str"/>
      <x:c r="E253" s="48" t="str">
        <x:v>YES_DEDICATED:N=16,p=1.000</x:v>
      </x:c>
    </x:row>
    <x:row r="254">
      <x:c r="A254" s="48" t="str">
        <x:v>S03</x:v>
      </x:c>
      <x:c r="B254" s="48" t="str">
        <x:v>fund_size_archetype</x:v>
      </x:c>
      <x:c r="C254" s="48" t="str">
        <x:v>DRIVER DOES NOT SEPARATE</x:v>
      </x:c>
      <x:c r="D254" s="48" t="str">
        <x:v>0.000</x:v>
      </x:c>
      <x:c r="E254" s="48" t="str">
        <x:v>LARGE_2_TO_LT_5B:N=6,p=1.000; MEGA_GE_5B:N=10,p=1.000</x:v>
      </x:c>
    </x:row>
    <x:row r="255">
      <x:c r="A255" s="48" t="str">
        <x:v>S03</x:v>
      </x:c>
      <x:c r="B255" s="48" t="str">
        <x:v>strategy</x:v>
      </x:c>
      <x:c r="C255" s="48" t="str">
        <x:v>N TOO SMALL</x:v>
      </x:c>
      <x:c r="D255" s="48" t="str"/>
      <x:c r="E255" s="48" t="str">
        <x:v>CONTROL_BUYOUT:N=16,p=1.000</x:v>
      </x:c>
    </x:row>
    <x:row r="256">
      <x:c r="A256" s="48" t="str">
        <x:v>S03</x:v>
      </x:c>
      <x:c r="B256" s="48" t="str">
        <x:v>geography</x:v>
      </x:c>
      <x:c r="C256" s="48" t="str">
        <x:v>DRIVER DOES NOT SEPARATE</x:v>
      </x:c>
      <x:c r="D256" s="48" t="str">
        <x:v>0.000</x:v>
      </x:c>
      <x:c r="E256" s="48" t="str">
        <x:v>GLOBAL_TRANSATLANTIC:N=9,p=1.000; NORTH_AMERICA:N=5,p=1.000</x:v>
      </x:c>
    </x:row>
    <x:row r="257">
      <x:c r="A257" s="48" t="str">
        <x:v>S03</x:v>
      </x:c>
      <x:c r="B257" s="48" t="str">
        <x:v>source_vintage_bin</x:v>
      </x:c>
      <x:c r="C257" s="48" t="str">
        <x:v>DRIVER DOES NOT SEPARATE</x:v>
      </x:c>
      <x:c r="D257" s="48" t="str">
        <x:v>0.000</x:v>
      </x:c>
      <x:c r="E257" s="48" t="str">
        <x:v>2021_2023:N=8,p=1.000; 2024_2026:N=6,p=1.000</x:v>
      </x:c>
    </x:row>
    <x:row r="258">
      <x:c r="A258" s="48" t="str">
        <x:v>S03</x:v>
      </x:c>
      <x:c r="B258" s="48" t="str">
        <x:v>governance_architecture</x:v>
      </x:c>
      <x:c r="C258" s="48" t="str">
        <x:v>N TOO SMALL</x:v>
      </x:c>
      <x:c r="D258" s="48" t="str"/>
      <x:c r="E258" s="48" t="str">
        <x:v>IC_FINAL_OR_DE_FACTO:N=16,p=1.000</x:v>
      </x:c>
    </x:row>
    <x:row r="259">
      <x:c r="A259" s="48" t="str">
        <x:v>S03</x:v>
      </x:c>
      <x:c r="B259" s="48" t="str">
        <x:v>dedicated_operating_team</x:v>
      </x:c>
      <x:c r="C259" s="48" t="str">
        <x:v>N TOO SMALL</x:v>
      </x:c>
      <x:c r="D259" s="48" t="str"/>
      <x:c r="E259" s="48" t="str">
        <x:v>YES_DEDICATED:N=17,p=1.000</x:v>
      </x:c>
    </x:row>
    <x:row r="260">
      <x:c r="A260" s="48" t="str">
        <x:v>S04</x:v>
      </x:c>
      <x:c r="B260" s="48" t="str">
        <x:v>fund_size_archetype</x:v>
      </x:c>
      <x:c r="C260" s="48" t="str">
        <x:v>N TOO SMALL</x:v>
      </x:c>
      <x:c r="D260" s="48" t="str"/>
      <x:c r="E260" s="48" t="str"/>
    </x:row>
    <x:row r="261">
      <x:c r="A261" s="48" t="str">
        <x:v>S04</x:v>
      </x:c>
      <x:c r="B261" s="48" t="str">
        <x:v>strategy</x:v>
      </x:c>
      <x:c r="C261" s="48" t="str">
        <x:v>N TOO SMALL</x:v>
      </x:c>
      <x:c r="D261" s="48" t="str"/>
      <x:c r="E261" s="48" t="str">
        <x:v>CONTROL_BUYOUT:N=5,p=1.000</x:v>
      </x:c>
    </x:row>
    <x:row r="262">
      <x:c r="A262" s="48" t="str">
        <x:v>S04</x:v>
      </x:c>
      <x:c r="B262" s="48" t="str">
        <x:v>geography</x:v>
      </x:c>
      <x:c r="C262" s="48" t="str">
        <x:v>N TOO SMALL</x:v>
      </x:c>
      <x:c r="D262" s="48" t="str"/>
      <x:c r="E262" s="48" t="str"/>
    </x:row>
    <x:row r="263">
      <x:c r="A263" s="48" t="str">
        <x:v>S04</x:v>
      </x:c>
      <x:c r="B263" s="48" t="str">
        <x:v>source_vintage_bin</x:v>
      </x:c>
      <x:c r="C263" s="48" t="str">
        <x:v>N TOO SMALL</x:v>
      </x:c>
      <x:c r="D263" s="48" t="str"/>
      <x:c r="E263" s="48" t="str"/>
    </x:row>
    <x:row r="264">
      <x:c r="A264" s="48" t="str">
        <x:v>S04</x:v>
      </x:c>
      <x:c r="B264" s="48" t="str">
        <x:v>governance_architecture</x:v>
      </x:c>
      <x:c r="C264" s="48" t="str">
        <x:v>N TOO SMALL</x:v>
      </x:c>
      <x:c r="D264" s="48" t="str"/>
      <x:c r="E264" s="48" t="str">
        <x:v>IC_FINAL_OR_DE_FACTO:N=6,p=1.000</x:v>
      </x:c>
    </x:row>
    <x:row r="265">
      <x:c r="A265" s="48" t="str">
        <x:v>S04</x:v>
      </x:c>
      <x:c r="B265" s="48" t="str">
        <x:v>dedicated_operating_team</x:v>
      </x:c>
      <x:c r="C265" s="48" t="str">
        <x:v>N TOO SMALL</x:v>
      </x:c>
      <x:c r="D265" s="48" t="str"/>
      <x:c r="E265" s="48" t="str"/>
    </x:row>
  </x:sheetData>
  <x:conditionalFormatting sqref="C2:C400">
    <x:cfRule type="expression" dxfId="4" priority="1">
      <x:formula>$C2="DRIVER SEPARATES"</x:formula>
    </x:cfRule>
    <x:cfRule type="expression" dxfId="5" priority="2">
      <x:formula>$C2="N TOO SMALL"</x:formula>
    </x:cfRule>
    <x:cfRule type="expression" dxfId="6" priority="3">
      <x:formula>$C2="CIRCULAR"</x:formula>
    </x:cfRule>
  </x:conditionalFormatting>
  <x:pageMargins left="0.7" right="0.7" top="0.75" bottom="0.75" header="0.3" footer="0.3"/>
  <x:tableParts count="1">
    <x:tablePart xmlns:r="http://schemas.openxmlformats.org/officeDocument/2006/relationships" r:id="Rfb7cd461bb3a45e8"/>
  </x:tableParts>
</x:worksheet>
</file>

<file path=xl/worksheets/sheet9.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28" hidden="0" customWidth="1"/>
    <x:col min="19" max="19" width="28" hidden="0" customWidth="1"/>
    <x:col min="20" max="20" width="28" hidden="0" customWidth="1"/>
    <x:col min="21" max="21" width="28" hidden="0" customWidth="1"/>
    <x:col min="22" max="22" width="28" hidden="0" customWidth="1"/>
    <x:col min="23" max="23" width="28" hidden="0" customWidth="1"/>
    <x:col min="24" max="24" width="28" hidden="0" customWidth="1"/>
    <x:col min="25" max="25" width="28" hidden="0" customWidth="1"/>
    <x:col min="26" max="26" width="28" hidden="0" customWidth="1"/>
    <x:col min="27" max="27" width="28" hidden="0" customWidth="1"/>
    <x:col min="28" max="28" width="28" hidden="0" customWidth="1"/>
    <x:col min="29" max="29" width="28" hidden="0" customWidth="1"/>
    <x:col min="30" max="30" width="16" hidden="0" customWidth="1"/>
    <x:col min="31" max="31" width="16" hidden="0" customWidth="1"/>
    <x:col min="32" max="32" width="16" hidden="0" customWidth="1"/>
  </x:cols>
  <x:sheetData>
    <x:row r="1">
      <x:c r="A1" s="42" t="str">
        <x:v>tier</x:v>
      </x:c>
      <x:c r="B1" s="42" t="str">
        <x:v>version</x:v>
      </x:c>
      <x:c r="C1" s="42" t="str">
        <x:v>as_of_date</x:v>
      </x:c>
      <x:c r="D1" s="42" t="str">
        <x:v>manager_family_id</x:v>
      </x:c>
      <x:c r="E1" s="42" t="str">
        <x:v>manager_family</x:v>
      </x:c>
      <x:c r="F1" s="42" t="str">
        <x:v>vehicle</x:v>
      </x:c>
      <x:c r="G1" s="42" t="str">
        <x:v>fund_size_reported</x:v>
      </x:c>
      <x:c r="H1" s="42" t="str">
        <x:v>fund_size_archetype</x:v>
      </x:c>
      <x:c r="I1" s="42" t="str">
        <x:v>strategy</x:v>
      </x:c>
      <x:c r="J1" s="42" t="str">
        <x:v>geography</x:v>
      </x:c>
      <x:c r="K1" s="42" t="str">
        <x:v>source_year</x:v>
      </x:c>
      <x:c r="L1" s="42" t="str">
        <x:v>source_vintage_bin</x:v>
      </x:c>
      <x:c r="M1" s="42" t="str">
        <x:v>governance_architecture</x:v>
      </x:c>
      <x:c r="N1" s="42" t="str">
        <x:v>dedicated_operating_team</x:v>
      </x:c>
      <x:c r="O1" s="42" t="str">
        <x:v>primary_evidence_class</x:v>
      </x:c>
      <x:c r="P1" s="42" t="str">
        <x:v>behavioral_crosscheck</x:v>
      </x:c>
      <x:c r="Q1" s="42" t="str">
        <x:v>source_file</x:v>
      </x:c>
      <x:c r="R1" s="42" t="str">
        <x:v>process_sequence</x:v>
      </x:c>
      <x:c r="S1" s="42" t="str">
        <x:v>resource_gate</x:v>
      </x:c>
      <x:c r="T1" s="42" t="str">
        <x:v>offer_authority</x:v>
      </x:c>
      <x:c r="U1" s="42" t="str">
        <x:v>final_authority</x:v>
      </x:c>
      <x:c r="V1" s="42" t="str">
        <x:v>vote_rule</x:v>
      </x:c>
      <x:c r="W1" s="42" t="str">
        <x:v>operating_resources</x:v>
      </x:c>
      <x:c r="X1" s="42" t="str">
        <x:v>independent_challenge</x:v>
      </x:c>
      <x:c r="Y1" s="42" t="str">
        <x:v>memo_architecture</x:v>
      </x:c>
      <x:c r="Z1" s="42" t="str">
        <x:v>ownership_governance</x:v>
      </x:c>
      <x:c r="AA1" s="42" t="str">
        <x:v>source_limitations</x:v>
      </x:c>
      <x:c r="AB1" s="42" t="str">
        <x:v>present_feature_count</x:v>
      </x:c>
      <x:c r="AC1" s="42" t="str">
        <x:v>conditional_feature_count</x:v>
      </x:c>
      <x:c r="AD1" s="42" t="str">
        <x:v>explicit_absence_count</x:v>
      </x:c>
      <x:c r="AE1" s="42" t="str">
        <x:v>not_observable_count</x:v>
      </x:c>
      <x:c r="AF1" s="42" t="str">
        <x:v>ambiguous_count</x:v>
      </x:c>
    </x:row>
    <x:row r="2">
      <x:c r="A2" s="48" t="str">
        <x:v>B_GOVERNANCE_SEGMENTATION</x:v>
      </x:c>
      <x:c r="B2" s="48" t="str">
        <x:v>Tier B v1.1 - N=29 rerun</x:v>
      </x:c>
      <x:c r="C2" s="48" t="str">
        <x:v>2026-07-16</x:v>
      </x:c>
      <x:c r="D2" s="48" t="str">
        <x:v>BLACKSTONE_ASIA_III</x:v>
      </x:c>
      <x:c r="E2" s="48" t="str">
        <x:v>Blackstone Capital Partners Asia III</x:v>
      </x:c>
      <x:c r="F2" s="48" t="str">
        <x:v>Blackstone Capital Partners Asia III</x:v>
      </x:c>
      <x:c r="G2" s="48" t="str">
        <x:v>Approximately $10bn+ target/cap context</x:v>
      </x:c>
      <x:c r="H2" s="48" t="str">
        <x:v>MEGA_GE_5B</x:v>
      </x:c>
      <x:c r="I2" s="48" t="str">
        <x:v>CONTROL_BUYOUT</x:v>
      </x:c>
      <x:c r="J2" s="48" t="str">
        <x:v>ASIA_PACIFIC</x:v>
      </x:c>
      <x:c r="K2" s="48" t="str">
        <x:v>2024</x:v>
      </x:c>
      <x:c r="L2" s="48" t="str">
        <x:v>2024_2026</x:v>
      </x:c>
      <x:c r="M2" s="48" t="str">
        <x:v>IC_FINAL_OR_DE_FACTO</x:v>
      </x:c>
      <x:c r="N2" s="48" t="str">
        <x:v>YES_DEDICATED</x:v>
      </x:c>
      <x:c r="O2" s="48" t="str">
        <x:v>SPONSOR_SELF_DESCRIBED</x:v>
      </x:c>
      <x:c r="P2" s="48" t="str">
        <x:v>NONE_IN_CURRENT_TIER_B_CENSUS</x:v>
      </x:c>
      <x:c r="Q2" s="48" t="str">
        <x:v>BCP Asia III_ILPA-DDQ.pdf</x:v>
      </x:c>
      <x:c r="R2" s="48" t="str">
        <x:v>Senior opportunity approval -&gt; initial memorandum and preliminary diligence -&gt; Review Committee/office-hours gating decision -&gt; deep diligence and specialist workshops -&gt; final comprehensive memorandum -&gt; BCP Asia Investment Committee decision on binding bid valuation, terms and tactics.</x:v>
      </x:c>
      <x:c r="S2" s="48" t="str">
        <x:v>Review Committee or approved office-hours process acts before substantial resources and expense are committed.</x:v>
      </x:c>
      <x:c r="T2" s="48" t="str">
        <x:v>Final IC determines binding-bid valuation, terms and tactics; preliminary offer authority is less explicitly documented.</x:v>
      </x:c>
      <x:c r="U2" s="48" t="str">
        <x:v>BCP Asia Investment Committee.</x:v>
      </x:c>
      <x:c r="V2" s="48" t="str">
        <x:v>Not observable in the accessible process section.</x:v>
      </x:c>
      <x:c r="W2" s="48" t="str">
        <x:v>Portfolio Operations, Capital Markets, technology, talent, regulatory and other specialist resources participate across underwriting and ownership.</x:v>
      </x:c>
      <x:c r="X2" s="48" t="str">
        <x:v>Review Committee provides an additional challenge and gating function distinct from the core deal team.</x:v>
      </x:c>
      <x:c r="Y2" s="48" t="str">
        <x:v>Initial memorandum followed by final comprehensive memorandum; workshops and updates sit between them.</x:v>
      </x:c>
      <x:c r="Z2" s="48" t="str">
        <x:v>Operating resources support implementation and monitoring after investment.</x:v>
      </x:c>
      <x:c r="AA2" s="48" t="str">
        <x:v>Detailed on functions and gates; voting threshold and closing-release mechanics are not clearly observable.</x:v>
      </x:c>
      <x:c r="AB2" s="48" t="str">
        <x:v>25</x:v>
      </x:c>
      <x:c r="AC2" s="48" t="str">
        <x:v>4</x:v>
      </x:c>
      <x:c r="AD2" s="48" t="str">
        <x:v>2</x:v>
      </x:c>
      <x:c r="AE2" s="48" t="str">
        <x:v>17</x:v>
      </x:c>
      <x:c r="AF2" s="48" t="str">
        <x:v>0</x:v>
      </x:c>
    </x:row>
    <x:row r="3">
      <x:c r="A3" s="48" t="str">
        <x:v>B_GOVERNANCE_SEGMENTATION</x:v>
      </x:c>
      <x:c r="B3" s="48" t="str">
        <x:v>Tier B v1.1 - N=29 rerun</x:v>
      </x:c>
      <x:c r="C3" s="48" t="str">
        <x:v>2026-07-16</x:v>
      </x:c>
      <x:c r="D3" s="48" t="str">
        <x:v>TPG_ASIA_VIII</x:v>
      </x:c>
      <x:c r="E3" s="48" t="str">
        <x:v>TPG Asia VIII</x:v>
      </x:c>
      <x:c r="F3" s="48" t="str">
        <x:v>TPG Asia VIII</x:v>
      </x:c>
      <x:c r="G3" s="48" t="str">
        <x:v>$6.0bn target / approximately $6.5bn cap context</x:v>
      </x:c>
      <x:c r="H3" s="48" t="str">
        <x:v>MEGA_GE_5B</x:v>
      </x:c>
      <x:c r="I3" s="48" t="str">
        <x:v>CONTROL_BUYOUT</x:v>
      </x:c>
      <x:c r="J3" s="48" t="str">
        <x:v>ASIA_PACIFIC</x:v>
      </x:c>
      <x:c r="K3" s="48" t="str">
        <x:v>2021</x:v>
      </x:c>
      <x:c r="L3" s="48" t="str">
        <x:v>2021_2023</x:v>
      </x:c>
      <x:c r="M3" s="48" t="str">
        <x:v>IC_FINAL_OR_DE_FACTO</x:v>
      </x:c>
      <x:c r="N3" s="48" t="str">
        <x:v>YES_DEDICATED</x:v>
      </x:c>
      <x:c r="O3" s="48" t="str">
        <x:v>SPONSOR_SELF_DESCRIBED</x:v>
      </x:c>
      <x:c r="P3" s="48" t="str">
        <x:v>NONE_IN_CURRENT_TIER_B_CENSUS</x:v>
      </x:c>
      <x:c r="Q3" s="48" t="str">
        <x:v>ILPA_Due_Diligence_Questionnaire (TPG Asia VIII)_vF.pdf</x:v>
      </x:c>
      <x:c r="R3" s="48" t="str">
        <x:v>Early Warning Memo and go/no-go -&gt; updated memorandum, management access and preliminary valuation -&gt; detailed commercial, financial, operational, talent and legal diligence -&gt; confirmatory diligence and final terms -&gt; deal-pricing sheet and full IRC support before binding commitment.</x:v>
      </x:c>
      <x:c r="S3" s="48" t="str">
        <x:v>Early Warning Memo determines whether meaningful resources and advisers should be committed.</x:v>
      </x:c>
      <x:c r="T3" s="48" t="str">
        <x:v>Progressive IRC reviews govern preliminary valuation, offer positioning and final commitment.</x:v>
      </x:c>
      <x:c r="U3" s="48" t="str">
        <x:v>Investment Review Committee with full support expected for definitive commitment.</x:v>
      </x:c>
      <x:c r="V3" s="48" t="str">
        <x:v>Full committee support is generally required.</x:v>
      </x:c>
      <x:c r="W3" s="48" t="str">
        <x:v>Asia Operations Group and specialist teams participate in modelling, site work, talent and value-creation diligence.</x:v>
      </x:c>
      <x:c r="X3" s="48" t="str">
        <x:v>Special reviewers independently challenge model assumptions, risk and evidence.</x:v>
      </x:c>
      <x:c r="Y3" s="48" t="str">
        <x:v>Four-stage evolving memorandum and pricing-sheet family.</x:v>
      </x:c>
      <x:c r="Z3" s="48" t="str">
        <x:v>Underwritten operating initiatives transition into ownership execution and monitoring.</x:v>
      </x:c>
      <x:c r="AA3" s="48" t="str">
        <x:v>Very detailed process source; exact legal closing-release mechanics remain less explicit.</x:v>
      </x:c>
      <x:c r="AB3" s="48" t="str">
        <x:v>33</x:v>
      </x:c>
      <x:c r="AC3" s="48" t="str">
        <x:v>4</x:v>
      </x:c>
      <x:c r="AD3" s="48" t="str">
        <x:v>5</x:v>
      </x:c>
      <x:c r="AE3" s="48" t="str">
        <x:v>6</x:v>
      </x:c>
      <x:c r="AF3" s="48" t="str">
        <x:v>0</x:v>
      </x:c>
    </x:row>
    <x:row r="4">
      <x:c r="A4" s="48" t="str">
        <x:v>B_GOVERNANCE_SEGMENTATION</x:v>
      </x:c>
      <x:c r="B4" s="48" t="str">
        <x:v>Tier B v1.1 - N=29 rerun</x:v>
      </x:c>
      <x:c r="C4" s="48" t="str">
        <x:v>2026-07-16</x:v>
      </x:c>
      <x:c r="D4" s="48" t="str">
        <x:v>CVC_ASIA_V</x:v>
      </x:c>
      <x:c r="E4" s="48" t="str">
        <x:v>CVC Capital Partners Asia V</x:v>
      </x:c>
      <x:c r="F4" s="48" t="str">
        <x:v>CVC Capital Partners Asia V</x:v>
      </x:c>
      <x:c r="G4" s="48" t="str">
        <x:v>Approximately $4bn target context</x:v>
      </x:c>
      <x:c r="H4" s="48" t="str">
        <x:v>LARGE_2_TO_LT_5B</x:v>
      </x:c>
      <x:c r="I4" s="48" t="str">
        <x:v>CONTROL_BUYOUT</x:v>
      </x:c>
      <x:c r="J4" s="48" t="str">
        <x:v>ASIA_PACIFIC</x:v>
      </x:c>
      <x:c r="K4" s="48" t="str">
        <x:v>2018</x:v>
      </x:c>
      <x:c r="L4" s="48" t="str">
        <x:v>2018_2020</x:v>
      </x:c>
      <x:c r="M4" s="48" t="str">
        <x:v>IC_RECOMMENDS_SEPARATE_FINAL_AUTHORITY</x:v>
      </x:c>
      <x:c r="N4" s="48" t="str">
        <x:v>YES_DEDICATED</x:v>
      </x:c>
      <x:c r="O4" s="48" t="str">
        <x:v>SPONSOR_SELF_DESCRIBED</x:v>
      </x:c>
      <x:c r="P4" s="48" t="str">
        <x:v>NONE_IN_CURRENT_TIER_B_CENSUS</x:v>
      </x:c>
      <x:c r="Q4" s="48" t="str">
        <x:v>CVC Asia V Due Diligence Information Package.pdf</x:v>
      </x:c>
      <x:c r="R4" s="48" t="str">
        <x:v>Preliminary Investment Recommendation -&gt; approved diligence scope and expense -&gt; repeated PIR updates and workstream review -&gt; Final Investment Recommendation -&gt; IC recommendation -&gt; General Partner final decision and execution/funding.</x:v>
      </x:c>
      <x:c r="S4" s="48" t="str">
        <x:v>PIR approval authorizes specified diligence expenditure.</x:v>
      </x:c>
      <x:c r="T4" s="48" t="str">
        <x:v>IC reviews and recommends evolving price and terms through PIR iterations.</x:v>
      </x:c>
      <x:c r="U4" s="48" t="str">
        <x:v>General Partner makes the final legal investment and divestment decisions after IC recommendation.</x:v>
      </x:c>
      <x:c r="V4" s="48" t="str">
        <x:v>One person/one vote; IC majority rule with consensus sought.</x:v>
      </x:c>
      <x:c r="W4" s="48" t="str">
        <x:v>Operations team participates from origination; quantified value-creation targets are incorporated into the final recommendation.</x:v>
      </x:c>
      <x:c r="X4" s="48" t="str">
        <x:v>Independent Managing Partner or Partner review challenges the lead deal team.</x:v>
      </x:c>
      <x:c r="Y4" s="48" t="str">
        <x:v>PIR -&gt; repeated updates -&gt; FIR.</x:v>
      </x:c>
      <x:c r="Z4" s="48" t="str">
        <x:v>100-day planning and a separate Portfolio Committee support ownership monitoring.</x:v>
      </x:c>
      <x:c r="AA4" s="48" t="str">
        <x:v>Historical 2018 source; strong detail, but current CVC governance may have evolved.</x:v>
      </x:c>
      <x:c r="AB4" s="48" t="str">
        <x:v>34</x:v>
      </x:c>
      <x:c r="AC4" s="48" t="str">
        <x:v>2</x:v>
      </x:c>
      <x:c r="AD4" s="48" t="str">
        <x:v>5</x:v>
      </x:c>
      <x:c r="AE4" s="48" t="str">
        <x:v>5</x:v>
      </x:c>
      <x:c r="AF4" s="48" t="str">
        <x:v>0</x:v>
      </x:c>
    </x:row>
    <x:row r="5">
      <x:c r="A5" s="48" t="str">
        <x:v>B_GOVERNANCE_SEGMENTATION</x:v>
      </x:c>
      <x:c r="B5" s="48" t="str">
        <x:v>Tier B v1.1 - N=29 rerun</x:v>
      </x:c>
      <x:c r="C5" s="48" t="str">
        <x:v>2026-07-16</x:v>
      </x:c>
      <x:c r="D5" s="48" t="str">
        <x:v>PERMIRA_VII</x:v>
      </x:c>
      <x:c r="E5" s="48" t="str">
        <x:v>Permira VII</x:v>
      </x:c>
      <x:c r="F5" s="48" t="str">
        <x:v>Permira VII</x:v>
      </x:c>
      <x:c r="G5" s="48" t="str">
        <x:v>€10bn target</x:v>
      </x:c>
      <x:c r="H5" s="48" t="str">
        <x:v>MEGA_GE_5B</x:v>
      </x:c>
      <x:c r="I5" s="48" t="str">
        <x:v>CONTROL_BUYOUT</x:v>
      </x:c>
      <x:c r="J5" s="48" t="str">
        <x:v>GLOBAL_TRANSATLANTIC</x:v>
      </x:c>
      <x:c r="K5" s="48" t="str">
        <x:v>2019</x:v>
      </x:c>
      <x:c r="L5" s="48" t="str">
        <x:v>2018_2020</x:v>
      </x:c>
      <x:c r="M5" s="48" t="str">
        <x:v>IC_RECOMMENDS_SEPARATE_FINAL_AUTHORITY</x:v>
      </x:c>
      <x:c r="N5" s="48" t="str">
        <x:v>YES_DEDICATED</x:v>
      </x:c>
      <x:c r="O5" s="48" t="str">
        <x:v>SPONSOR_SELF_DESCRIBED</x:v>
      </x:c>
      <x:c r="P5" s="48" t="str">
        <x:v>NONE_IN_CURRENT_TIER_B_CENSUS</x:v>
      </x:c>
      <x:c r="Q5" s="48" t="str">
        <x:v>Permira VII DDQ_7 Feb 2019.pdf</x:v>
      </x:c>
      <x:c r="R5" s="48" t="str">
        <x:v>Preliminary Investment Recommendation -&gt; multiple Update Investment Recommendations as diligence develops -&gt; Final Investment Recommendation -&gt; unanimous IC recommendation -&gt; General Partner final approval.</x:v>
      </x:c>
      <x:c r="S5" s="48" t="str">
        <x:v>Preliminary recommendation authorizes deeper work and specialist engagement.</x:v>
      </x:c>
      <x:c r="T5" s="48" t="str">
        <x:v>Price, bid strategy and conditions evolve through update recommendations.</x:v>
      </x:c>
      <x:c r="U5" s="48" t="str">
        <x:v>General Partner after IC recommendation.</x:v>
      </x:c>
      <x:c r="V5" s="48" t="str">
        <x:v>IC generally reaches unanimous agreement before recommendation.</x:v>
      </x:c>
      <x:c r="W5" s="48" t="str">
        <x:v>Sector, operating, talent, legal, compliance and tax resources participate during active underwriting.</x:v>
      </x:c>
      <x:c r="X5" s="48" t="str">
        <x:v>No separately named independent risk team was clearly observable.</x:v>
      </x:c>
      <x:c r="Y5" s="48" t="str">
        <x:v>PIR -&gt; multiple UIRs -&gt; FIR.</x:v>
      </x:c>
      <x:c r="Z5" s="48" t="str">
        <x:v>Value-creation plan transitions into a post-signing 100-day phase and longer ownership program.</x:v>
      </x:c>
      <x:c r="AA5" s="48" t="str">
        <x:v>Historical 2019 fund source; very strong on memo lineage and authority split.</x:v>
      </x:c>
      <x:c r="AB5" s="48" t="str">
        <x:v>32</x:v>
      </x:c>
      <x:c r="AC5" s="48" t="str">
        <x:v>5</x:v>
      </x:c>
      <x:c r="AD5" s="48" t="str">
        <x:v>5</x:v>
      </x:c>
      <x:c r="AE5" s="48" t="str">
        <x:v>7</x:v>
      </x:c>
      <x:c r="AF5" s="48" t="str">
        <x:v>0</x:v>
      </x:c>
    </x:row>
    <x:row r="6">
      <x:c r="A6" s="48" t="str">
        <x:v>B_GOVERNANCE_SEGMENTATION</x:v>
      </x:c>
      <x:c r="B6" s="48" t="str">
        <x:v>Tier B v1.1 - N=29 rerun</x:v>
      </x:c>
      <x:c r="C6" s="48" t="str">
        <x:v>2026-07-16</x:v>
      </x:c>
      <x:c r="D6" s="48" t="str">
        <x:v>BC_PARTNERS_XI</x:v>
      </x:c>
      <x:c r="E6" s="48" t="str">
        <x:v>BC Partners Fund XI</x:v>
      </x:c>
      <x:c r="F6" s="48" t="str">
        <x:v>BC Partners Fund XI</x:v>
      </x:c>
      <x:c r="G6" s="48" t="str">
        <x:v>€7bn notional fund-size context</x:v>
      </x:c>
      <x:c r="H6" s="48" t="str">
        <x:v>MEGA_GE_5B</x:v>
      </x:c>
      <x:c r="I6" s="48" t="str">
        <x:v>CONTROL_BUYOUT</x:v>
      </x:c>
      <x:c r="J6" s="48" t="str">
        <x:v>GLOBAL_TRANSATLANTIC</x:v>
      </x:c>
      <x:c r="K6" s="48" t="str">
        <x:v>2021</x:v>
      </x:c>
      <x:c r="L6" s="48" t="str">
        <x:v>2021_2023</x:v>
      </x:c>
      <x:c r="M6" s="48" t="str">
        <x:v>IC_FINAL_OR_DE_FACTO</x:v>
      </x:c>
      <x:c r="N6" s="48" t="str">
        <x:v>YES_DEDICATED</x:v>
      </x:c>
      <x:c r="O6" s="48" t="str">
        <x:v>SPONSOR_SELF_DESCRIBED</x:v>
      </x:c>
      <x:c r="P6" s="48" t="str">
        <x:v>NONE_IN_CURRENT_TIER_B_CENSUS</x:v>
      </x:c>
      <x:c r="Q6" s="48" t="str">
        <x:v>BC Fund XI DDQ_30 June 2021- vF-Addendum.pdf</x:v>
      </x:c>
      <x:c r="R6" s="48" t="str">
        <x:v>Preview Note and diligence budget -&gt; Preliminary Investment Memorandum after most diligence -&gt; approval to proceed subject to remaining issues -&gt; Final Investment Memorandum with financing, terms and return parameters -&gt; final decision.</x:v>
      </x:c>
      <x:c r="S6" s="48" t="str">
        <x:v>Preview Note includes and authorizes the proposed diligence budget.</x:v>
      </x:c>
      <x:c r="T6" s="48" t="str">
        <x:v>Indicative positioning and later transaction terms are progressively approved through the three memoranda.</x:v>
      </x:c>
      <x:c r="U6" s="48" t="str">
        <x:v>BC Partners investment decision body described in the DDQ.</x:v>
      </x:c>
      <x:c r="V6" s="48" t="str">
        <x:v>Four-of-five supermajority.</x:v>
      </x:c>
      <x:c r="W6" s="48" t="str">
        <x:v>Internal operating and specialist resources work with the deal team and external advisers.</x:v>
      </x:c>
      <x:c r="X6" s="48" t="str">
        <x:v>Committee challenge is explicit; a distinct independent risk unit is not clearly described.</x:v>
      </x:c>
      <x:c r="Y6" s="48" t="str">
        <x:v>Preview Note -&gt; PIM -&gt; FIM.</x:v>
      </x:c>
      <x:c r="Z6" s="48" t="str">
        <x:v>Value-creation and monitoring continue through the ownership period.</x:v>
      </x:c>
      <x:c r="AA6" s="48" t="str">
        <x:v>Process is explicit; exact division between analytical approval and legal execution is less clear.</x:v>
      </x:c>
      <x:c r="AB6" s="48" t="str">
        <x:v>31</x:v>
      </x:c>
      <x:c r="AC6" s="48" t="str">
        <x:v>6</x:v>
      </x:c>
      <x:c r="AD6" s="48" t="str">
        <x:v>5</x:v>
      </x:c>
      <x:c r="AE6" s="48" t="str">
        <x:v>8</x:v>
      </x:c>
      <x:c r="AF6" s="48" t="str">
        <x:v>0</x:v>
      </x:c>
    </x:row>
    <x:row r="7">
      <x:c r="A7" s="48" t="str">
        <x:v>B_GOVERNANCE_SEGMENTATION</x:v>
      </x:c>
      <x:c r="B7" s="48" t="str">
        <x:v>Tier B v1.1 - N=29 rerun</x:v>
      </x:c>
      <x:c r="C7" s="48" t="str">
        <x:v>2026-07-16</x:v>
      </x:c>
      <x:c r="D7" s="48" t="str">
        <x:v>BROOKFIELD_BCP_VII</x:v>
      </x:c>
      <x:c r="E7" s="48" t="str">
        <x:v>Brookfield Capital Partners VII</x:v>
      </x:c>
      <x:c r="F7" s="48" t="str">
        <x:v>Brookfield Capital Partners VII</x:v>
      </x:c>
      <x:c r="G7" s="48" t="str">
        <x:v>$12.5bn target context</x:v>
      </x:c>
      <x:c r="H7" s="48" t="str">
        <x:v>MEGA_GE_5B</x:v>
      </x:c>
      <x:c r="I7" s="48" t="str">
        <x:v>CONTROL_BUYOUT</x:v>
      </x:c>
      <x:c r="J7" s="48" t="str">
        <x:v>GLOBAL_TRANSATLANTIC</x:v>
      </x:c>
      <x:c r="K7" s="48" t="str">
        <x:v>2025</x:v>
      </x:c>
      <x:c r="L7" s="48" t="str">
        <x:v>2024_2026</x:v>
      </x:c>
      <x:c r="M7" s="48" t="str">
        <x:v>IC_FINAL_OR_DE_FACTO</x:v>
      </x:c>
      <x:c r="N7" s="48" t="str">
        <x:v>YES_DEDICATED</x:v>
      </x:c>
      <x:c r="O7" s="48" t="str">
        <x:v>SPONSOR_SELF_DESCRIBED</x:v>
      </x:c>
      <x:c r="P7" s="48" t="str">
        <x:v>NONE_IN_CURRENT_TIER_B_CENSUS</x:v>
      </x:c>
      <x:c r="Q7" s="48" t="str">
        <x:v>BCP VII_BAM_BCP VII_Standard DDQ (ILPA)_vF.pdf</x:v>
      </x:c>
      <x:c r="R7" s="48" t="str">
        <x:v>Concept memorandum before non-binding offer -&gt; senior-leader concept and resource approval -&gt; deep deal-team and operating diligence with informal IC interaction -&gt; formal IC presentation -&gt; unanimous approval before closing/funding.</x:v>
      </x:c>
      <x:c r="S7" s="48" t="str">
        <x:v>Senior private-equity leaders approve the concept and use of resources.</x:v>
      </x:c>
      <x:c r="T7" s="48" t="str">
        <x:v>Concept approval precedes non-binding positioning; final IC controls the investment.</x:v>
      </x:c>
      <x:c r="U7" s="48" t="str">
        <x:v>Investment Committee.</x:v>
      </x:c>
      <x:c r="V7" s="48" t="str">
        <x:v>Unanimous.</x:v>
      </x:c>
      <x:c r="W7" s="48" t="str">
        <x:v>Operating resources develop the value-creation assessment with the deal team.</x:v>
      </x:c>
      <x:c r="X7" s="48" t="str">
        <x:v>No separate independent risk unit was clearly observable.</x:v>
      </x:c>
      <x:c r="Y7" s="48" t="str">
        <x:v>Concept memorandum followed by final IC materials.</x:v>
      </x:c>
      <x:c r="Z7" s="48" t="str">
        <x:v>Formal approval also applies to follow-on investments; active ownership follows.</x:v>
      </x:c>
      <x:c r="AA7" s="48" t="str">
        <x:v>Strong on two principal gates; less granular than several other DDQs on memo revisions.</x:v>
      </x:c>
      <x:c r="AB7" s="48" t="str">
        <x:v>26</x:v>
      </x:c>
      <x:c r="AC7" s="48" t="str">
        <x:v>3</x:v>
      </x:c>
      <x:c r="AD7" s="48" t="str">
        <x:v>8</x:v>
      </x:c>
      <x:c r="AE7" s="48" t="str">
        <x:v>10</x:v>
      </x:c>
      <x:c r="AF7" s="48" t="str">
        <x:v>0</x:v>
      </x:c>
    </x:row>
    <x:row r="8">
      <x:c r="A8" s="48" t="str">
        <x:v>B_GOVERNANCE_SEGMENTATION</x:v>
      </x:c>
      <x:c r="B8" s="48" t="str">
        <x:v>Tier B v1.1 - N=29 rerun</x:v>
      </x:c>
      <x:c r="C8" s="48" t="str">
        <x:v>2026-07-16</x:v>
      </x:c>
      <x:c r="D8" s="48" t="str">
        <x:v>PROVIDENCE_IX</x:v>
      </x:c>
      <x:c r="E8" s="48" t="str">
        <x:v>Providence Equity Partners IX</x:v>
      </x:c>
      <x:c r="F8" s="48" t="str">
        <x:v>Providence Equity Partners IX</x:v>
      </x:c>
      <x:c r="G8" s="48" t="str">
        <x:v>$6bn target</x:v>
      </x:c>
      <x:c r="H8" s="48" t="str">
        <x:v>MEGA_GE_5B</x:v>
      </x:c>
      <x:c r="I8" s="48" t="str">
        <x:v>CONTROL_BUYOUT</x:v>
      </x:c>
      <x:c r="J8" s="48" t="str">
        <x:v>GLOBAL_TRANSATLANTIC</x:v>
      </x:c>
      <x:c r="K8" s="48" t="str">
        <x:v>2021</x:v>
      </x:c>
      <x:c r="L8" s="48" t="str">
        <x:v>2021_2023</x:v>
      </x:c>
      <x:c r="M8" s="48" t="str">
        <x:v>IC_FINAL_OR_DE_FACTO</x:v>
      </x:c>
      <x:c r="N8" s="48" t="str">
        <x:v>YES_DEDICATED</x:v>
      </x:c>
      <x:c r="O8" s="48" t="str">
        <x:v>SPONSOR_SELF_DESCRIBED</x:v>
      </x:c>
      <x:c r="P8" s="48" t="str">
        <x:v>NONE_IN_CURRENT_TIER_B_CENSUS</x:v>
      </x:c>
      <x:c r="Q8" s="48" t="str">
        <x:v>3. Providence IX Due Diligence Questionnaire.pdf</x:v>
      </x:c>
      <x:c r="R8" s="48" t="str">
        <x:v>Senior geographic review -&gt; initial IC review -&gt; intensive multi-step commercial, financial, management and operating diligence -&gt; repeated IC reviews, commonly three or more -&gt; final approval and ownership transition.</x:v>
      </x:c>
      <x:c r="S8" s="48" t="str">
        <x:v>Senior review precedes full IC work, but an explicit diligence-budget gate is not separately described.</x:v>
      </x:c>
      <x:c r="T8" s="48" t="str">
        <x:v>Offer authority is embedded in repeated senior and IC review rather than a separately named LOI gate.</x:v>
      </x:c>
      <x:c r="U8" s="48" t="str">
        <x:v>Investment Committee.</x:v>
      </x:c>
      <x:c r="V8" s="48" t="str">
        <x:v>Majority approval with consensus practice.</x:v>
      </x:c>
      <x:c r="W8" s="48" t="str">
        <x:v>Dedicated Portfolio Operations and capital-markets resources participate during diligence and ownership.</x:v>
      </x:c>
      <x:c r="X8" s="48" t="str">
        <x:v>No separately named independent challenge unit was identified.</x:v>
      </x:c>
      <x:c r="Y8" s="48" t="str">
        <x:v>Repeated IC review and updated materials rather than a fixed named memo ladder.</x:v>
      </x:c>
      <x:c r="Z8" s="48" t="str">
        <x:v>Same team remains involved; separate Portfolio Review Committee, 100-day plan and add-on/exit review.</x:v>
      </x:c>
      <x:c r="AA8" s="48" t="str">
        <x:v>Detailed on workstreams and repeated reviews; less explicit on offer and adviser-spend authority.</x:v>
      </x:c>
      <x:c r="AB8" s="48" t="str">
        <x:v>29</x:v>
      </x:c>
      <x:c r="AC8" s="48" t="str">
        <x:v>3</x:v>
      </x:c>
      <x:c r="AD8" s="48" t="str">
        <x:v>5</x:v>
      </x:c>
      <x:c r="AE8" s="48" t="str">
        <x:v>9</x:v>
      </x:c>
      <x:c r="AF8" s="48" t="str">
        <x:v>1</x:v>
      </x:c>
    </x:row>
    <x:row r="9">
      <x:c r="A9" s="48" t="str">
        <x:v>B_GOVERNANCE_SEGMENTATION</x:v>
      </x:c>
      <x:c r="B9" s="48" t="str">
        <x:v>Tier B v1.1 - N=29 rerun</x:v>
      </x:c>
      <x:c r="C9" s="48" t="str">
        <x:v>2026-07-16</x:v>
      </x:c>
      <x:c r="D9" s="48" t="str">
        <x:v>ONEX_PARTNERS_VI</x:v>
      </x:c>
      <x:c r="E9" s="48" t="str">
        <x:v>Onex Partners VI</x:v>
      </x:c>
      <x:c r="F9" s="48" t="str">
        <x:v>Onex Partners VI</x:v>
      </x:c>
      <x:c r="G9" s="48" t="str">
        <x:v>$8bn target context</x:v>
      </x:c>
      <x:c r="H9" s="48" t="str">
        <x:v>MEGA_GE_5B</x:v>
      </x:c>
      <x:c r="I9" s="48" t="str">
        <x:v>CONTROL_BUYOUT</x:v>
      </x:c>
      <x:c r="J9" s="48" t="str">
        <x:v>GLOBAL_TRANSATLANTIC</x:v>
      </x:c>
      <x:c r="K9" s="48" t="str">
        <x:v>2023</x:v>
      </x:c>
      <x:c r="L9" s="48" t="str">
        <x:v>2021_2023</x:v>
      </x:c>
      <x:c r="M9" s="48" t="str">
        <x:v>IC_FINAL_OR_DE_FACTO</x:v>
      </x:c>
      <x:c r="N9" s="48" t="str">
        <x:v>YES_DEDICATED</x:v>
      </x:c>
      <x:c r="O9" s="48" t="str">
        <x:v>SPONSOR_SELF_DESCRIBED</x:v>
      </x:c>
      <x:c r="P9" s="48" t="str">
        <x:v>NOT_DISCLOSED_AT_MANAGER_LEVEL</x:v>
      </x:c>
      <x:c r="Q9" s="48" t="str">
        <x:v>Onex Partners VI - Due Diligence Questionnaire (Q3 2022).pdf</x:v>
      </x:c>
      <x:c r="R9" s="48" t="str">
        <x:v>Head of Onex Partners opportunity screen -&gt; introductory IC and long-form memorandum before exhaustive diligence -&gt; broader-team feedback through Mosaic -&gt; completed diligence and revised final memorandum -&gt; final IC.</x:v>
      </x:c>
      <x:c r="S9" s="48" t="str">
        <x:v>Head-of-strategy and introductory-IC stages govern progression; expenditure authority is less explicitly documented.</x:v>
      </x:c>
      <x:c r="T9" s="48" t="str">
        <x:v>Initial and final IC stages shape price and transaction positioning.</x:v>
      </x:c>
      <x:c r="U9" s="48" t="str">
        <x:v>Onex Partners Investment Committee.</x:v>
      </x:c>
      <x:c r="V9" s="48" t="str">
        <x:v>Two negative votes can prevent approval.</x:v>
      </x:c>
      <x:c r="W9" s="48" t="str">
        <x:v>Operating resources contribute to diligence, value creation and the first 100 days.</x:v>
      </x:c>
      <x:c r="X9" s="48" t="str">
        <x:v>Mosaic broad-team feedback widens challenge, but is not coded as a separate independent risk function.</x:v>
      </x:c>
      <x:c r="Y9" s="48" t="str">
        <x:v>Long-form introductory memorandum followed by a final revised memorandum.</x:v>
      </x:c>
      <x:c r="Z9" s="48" t="str">
        <x:v>100-day plan and initiative-specific monitoring continue after closing.</x:v>
      </x:c>
      <x:c r="AA9" s="48" t="str">
        <x:v>Detailed process description; behavioural evidence is reported only at aggregate corpus level.</x:v>
      </x:c>
      <x:c r="AB9" s="48" t="str">
        <x:v>27</x:v>
      </x:c>
      <x:c r="AC9" s="48" t="str">
        <x:v>5</x:v>
      </x:c>
      <x:c r="AD9" s="48" t="str">
        <x:v>6</x:v>
      </x:c>
      <x:c r="AE9" s="48" t="str">
        <x:v>11</x:v>
      </x:c>
      <x:c r="AF9" s="48" t="str">
        <x:v>0</x:v>
      </x:c>
    </x:row>
    <x:row r="10">
      <x:c r="A10" s="48" t="str">
        <x:v>B_GOVERNANCE_SEGMENTATION</x:v>
      </x:c>
      <x:c r="B10" s="48" t="str">
        <x:v>Tier B v1.1 - N=29 rerun</x:v>
      </x:c>
      <x:c r="C10" s="48" t="str">
        <x:v>2026-07-16</x:v>
      </x:c>
      <x:c r="D10" s="48" t="str">
        <x:v>PARTNERS_GROUP_DE_V</x:v>
      </x:c>
      <x:c r="E10" s="48" t="str">
        <x:v>Partners Group Direct Equity V</x:v>
      </x:c>
      <x:c r="F10" s="48" t="str">
        <x:v>Partners Group Direct Equity V Program</x:v>
      </x:c>
      <x:c r="G10" s="48" t="str">
        <x:v>$5bn target</x:v>
      </x:c>
      <x:c r="H10" s="48" t="str">
        <x:v>MEGA_GE_5B</x:v>
      </x:c>
      <x:c r="I10" s="48" t="str">
        <x:v>CONTROL_BUYOUT</x:v>
      </x:c>
      <x:c r="J10" s="48" t="str">
        <x:v>GLOBAL_TRANSATLANTIC</x:v>
      </x:c>
      <x:c r="K10" s="48" t="str">
        <x:v>2023</x:v>
      </x:c>
      <x:c r="L10" s="48" t="str">
        <x:v>2021_2023</x:v>
      </x:c>
      <x:c r="M10" s="48" t="str">
        <x:v>IC_FINAL_OR_DE_FACTO</x:v>
      </x:c>
      <x:c r="N10" s="48" t="str">
        <x:v>YES_DEDICATED</x:v>
      </x:c>
      <x:c r="O10" s="48" t="str">
        <x:v>SPONSOR_SELF_DESCRIBED</x:v>
      </x:c>
      <x:c r="P10" s="48" t="str">
        <x:v>NONE_IN_CURRENT_TIER_B_CENSUS</x:v>
      </x:c>
      <x:c r="Q10" s="48" t="str">
        <x:v>ILPA_DDQ - Non US.pdf</x:v>
      </x:c>
      <x:c r="R10" s="48" t="str">
        <x:v>Thematic Paper -&gt; Teaser -&gt; majority approval -&gt; First Check and IOI/resource approval -&gt; Preliminary Investment Recommendation -&gt; Final Investment Recommendation -&gt; dual committee sign-offs; separate PDR/DR process for exit.</x:v>
      </x:c>
      <x:c r="S10" s="48" t="str">
        <x:v>Meaningful diligence expenditure is not permitted before initial approval; First Check authorizes additional resources.</x:v>
      </x:c>
      <x:c r="T10" s="48" t="str">
        <x:v>First Check approves the IOI and deeper diligence.</x:v>
      </x:c>
      <x:c r="U10" s="48" t="str">
        <x:v>Private Equity Investment Committee and Global Investment Committee vote independently.</x:v>
      </x:c>
      <x:c r="V10" s="48" t="str">
        <x:v>Majority approval is observable at early gates; exact final threshold is less clear.</x:v>
      </x:c>
      <x:c r="W10" s="48" t="str">
        <x:v>Operating partners and functional experts help develop and validate the value-creation plan.</x:v>
      </x:c>
      <x:c r="X10" s="48" t="str">
        <x:v>Dual committee voting creates a distinct challenge layer.</x:v>
      </x:c>
      <x:c r="Y10" s="48" t="str">
        <x:v>Thematic Paper -&gt; Teaser -&gt; First Check -&gt; PIR -&gt; Final IR.</x:v>
      </x:c>
      <x:c r="Z10" s="48" t="str">
        <x:v>Formal monitoring and a staged exit PDR/DR process.</x:v>
      </x:c>
      <x:c r="AA10" s="48" t="str">
        <x:v>Highly detailed; some committee-threshold detail remains stage-specific rather than uniform.</x:v>
      </x:c>
      <x:c r="AB10" s="48" t="str">
        <x:v>34</x:v>
      </x:c>
      <x:c r="AC10" s="48" t="str">
        <x:v>5</x:v>
      </x:c>
      <x:c r="AD10" s="48" t="str">
        <x:v>1</x:v>
      </x:c>
      <x:c r="AE10" s="48" t="str">
        <x:v>9</x:v>
      </x:c>
      <x:c r="AF10" s="48" t="str">
        <x:v>0</x:v>
      </x:c>
    </x:row>
    <x:row r="11">
      <x:c r="A11" s="48" t="str">
        <x:v>B_GOVERNANCE_SEGMENTATION</x:v>
      </x:c>
      <x:c r="B11" s="48" t="str">
        <x:v>Tier B v1.1 - N=29 rerun</x:v>
      </x:c>
      <x:c r="C11" s="48" t="str">
        <x:v>2026-07-16</x:v>
      </x:c>
      <x:c r="D11" s="48" t="str">
        <x:v>GENERAL_ATLANTIC_2025</x:v>
      </x:c>
      <x:c r="E11" s="48" t="str">
        <x:v>General Atlantic Core Program</x:v>
      </x:c>
      <x:c r="F11" s="48" t="str">
        <x:v>General Atlantic Investment Partners 2025</x:v>
      </x:c>
      <x:c r="G11" s="48" t="str">
        <x:v>$8bn program context</x:v>
      </x:c>
      <x:c r="H11" s="48" t="str">
        <x:v>MEGA_GE_5B</x:v>
      </x:c>
      <x:c r="I11" s="48" t="str">
        <x:v>GROWTH_CONTROL_HYBRID</x:v>
      </x:c>
      <x:c r="J11" s="48" t="str">
        <x:v>GLOBAL_TRANSATLANTIC</x:v>
      </x:c>
      <x:c r="K11" s="48" t="str">
        <x:v>2024</x:v>
      </x:c>
      <x:c r="L11" s="48" t="str">
        <x:v>2024_2026</x:v>
      </x:c>
      <x:c r="M11" s="48" t="str">
        <x:v>IC_FINAL_OR_DE_FACTO</x:v>
      </x:c>
      <x:c r="N11" s="48" t="str">
        <x:v>YES_DEDICATED</x:v>
      </x:c>
      <x:c r="O11" s="48" t="str">
        <x:v>SPONSOR_SELF_DESCRIBED</x:v>
      </x:c>
      <x:c r="P11" s="48" t="str">
        <x:v>NONE_IN_CURRENT_TIER_B_CENSUS</x:v>
      </x:c>
      <x:c r="Q11" s="48" t="str">
        <x:v>3.1 - General Atlantic ILPA DDQ (October 2024).pdf</x:v>
      </x:c>
      <x:c r="R11" s="48" t="str">
        <x:v>Thematic sourcing and long relationship development -&gt; deal-team underwriting with Value Creation and specialist resources -&gt; multiple IC presentations -&gt; independent Portfolio Management and Due Diligence risk scorecard -&gt; final IC; PMDD confirms required diligence before capital call or bridge draw.</x:v>
      </x:c>
      <x:c r="S11" s="48" t="str">
        <x:v>No discrete permission-to-spend gate is clearly described in the accessible process section.</x:v>
      </x:c>
      <x:c r="T11" s="48" t="str">
        <x:v>Offer and transaction positioning evolve through repeated IC interaction.</x:v>
      </x:c>
      <x:c r="U11" s="48" t="str">
        <x:v>Investment Committee; specified large leveraged transactions require unanimity.</x:v>
      </x:c>
      <x:c r="V11" s="48" t="str">
        <x:v>Normally majority; unanimity for specified large leveraged transactions.</x:v>
      </x:c>
      <x:c r="W11" s="48" t="str">
        <x:v>Value Creation Group, Sustainability and Senior Advisors participate throughout underwriting and ownership.</x:v>
      </x:c>
      <x:c r="X11" s="48" t="str">
        <x:v>Separate Portfolio Management and Due Diligence team prepares an independent risk scorecard.</x:v>
      </x:c>
      <x:c r="Y11" s="48" t="str">
        <x:v>Multiple IC presentations and final approval package rather than a fixed named memo ladder.</x:v>
      </x:c>
      <x:c r="Z11" s="48" t="str">
        <x:v>Same deal team continues; separate Portfolio Committee; follow-ons and exits receive formal review.</x:v>
      </x:c>
      <x:c r="AA11" s="48" t="str">
        <x:v>Strong process detail; source spans growth and control-oriented investments, so some features are conditional on transaction type.</x:v>
      </x:c>
      <x:c r="AB11" s="48" t="str">
        <x:v>32</x:v>
      </x:c>
      <x:c r="AC11" s="48" t="str">
        <x:v>6</x:v>
      </x:c>
      <x:c r="AD11" s="48" t="str">
        <x:v>4</x:v>
      </x:c>
      <x:c r="AE11" s="48" t="str">
        <x:v>8</x:v>
      </x:c>
      <x:c r="AF11" s="48" t="str">
        <x:v>0</x:v>
      </x:c>
    </x:row>
    <x:row r="12">
      <x:c r="A12" s="48" t="str">
        <x:v>B_GOVERNANCE_SEGMENTATION</x:v>
      </x:c>
      <x:c r="B12" s="48" t="str">
        <x:v>Tier B v1.1 - N=29 rerun</x:v>
      </x:c>
      <x:c r="C12" s="48" t="str">
        <x:v>2026-07-16</x:v>
      </x:c>
      <x:c r="D12" s="48" t="str">
        <x:v>KOHLBERG_IX</x:v>
      </x:c>
      <x:c r="E12" s="48" t="str">
        <x:v>Kohlberg &amp; Company Fund IX</x:v>
      </x:c>
      <x:c r="F12" s="48" t="str">
        <x:v>Kohlberg Investors IX</x:v>
      </x:c>
      <x:c r="G12" s="48" t="str">
        <x:v>$3bn target/cap</x:v>
      </x:c>
      <x:c r="H12" s="48" t="str">
        <x:v>LARGE_2_TO_LT_5B</x:v>
      </x:c>
      <x:c r="I12" s="48" t="str">
        <x:v>CONTROL_BUYOUT</x:v>
      </x:c>
      <x:c r="J12" s="48" t="str">
        <x:v>NORTH_AMERICA</x:v>
      </x:c>
      <x:c r="K12" s="48" t="str">
        <x:v>2019</x:v>
      </x:c>
      <x:c r="L12" s="48" t="str">
        <x:v>2018_2020</x:v>
      </x:c>
      <x:c r="M12" s="48" t="str">
        <x:v>IC_FINAL_OR_DE_FACTO</x:v>
      </x:c>
      <x:c r="N12" s="48" t="str">
        <x:v>YES_DEDICATED</x:v>
      </x:c>
      <x:c r="O12" s="48" t="str">
        <x:v>SPONSOR_SELF_DESCRIBED</x:v>
      </x:c>
      <x:c r="P12" s="48" t="str">
        <x:v>NONE_IN_CURRENT_TIER_B_CENSUS</x:v>
      </x:c>
      <x:c r="Q12" s="48" t="str">
        <x:v>2.2.1.1 Kohlberg &amp; Company_ILPA_Due_Diligence_Questionnaire.pdf</x:v>
      </x:c>
      <x:c r="R12" s="48" t="str">
        <x:v>Preliminary evaluation and partner consensus -&gt; integrated deal/operating diligence -&gt; external specialist work, with major legal work generally after exclusivity -&gt; quantified five-year plan -&gt; final IC memorandum and presentations -&gt; Executive Committee pre-signing/pre-closing review.</x:v>
      </x:c>
      <x:c r="S12" s="48" t="str">
        <x:v>Partner consensus governs progression; an explicit numerical expense gate is less clear.</x:v>
      </x:c>
      <x:c r="T12" s="48" t="str">
        <x:v>Price and terms develop through partner and IC review; no separately named IOI/LOI committee is explicit.</x:v>
      </x:c>
      <x:c r="U12" s="48" t="str">
        <x:v>Investment Committee for investment; Executive Committee reviews final terms before signing/closing and exits.</x:v>
      </x:c>
      <x:c r="V12" s="48" t="str">
        <x:v>Majority.</x:v>
      </x:c>
      <x:c r="W12" s="48" t="str">
        <x:v>Operating Partner is staffed from the beginning and co-presents the operating case.</x:v>
      </x:c>
      <x:c r="X12" s="48" t="str">
        <x:v>No separately named independent risk team.</x:v>
      </x:c>
      <x:c r="Y12" s="48" t="str">
        <x:v>Preliminary evaluation and final IC memorandum, supplemented by final-terms review.</x:v>
      </x:c>
      <x:c r="Z12" s="48" t="str">
        <x:v>Operating plan, ownership monitoring and formal exit review.</x:v>
      </x:c>
      <x:c r="AA12" s="48" t="str">
        <x:v>Historical 2019 source; highly useful for exclusivity timing and operating-team integration.</x:v>
      </x:c>
      <x:c r="AB12" s="48" t="str">
        <x:v>29</x:v>
      </x:c>
      <x:c r="AC12" s="48" t="str">
        <x:v>4</x:v>
      </x:c>
      <x:c r="AD12" s="48" t="str">
        <x:v>6</x:v>
      </x:c>
      <x:c r="AE12" s="48" t="str">
        <x:v>9</x:v>
      </x:c>
      <x:c r="AF12" s="48" t="str">
        <x:v>0</x:v>
      </x:c>
    </x:row>
    <x:row r="13">
      <x:c r="A13" s="48" t="str">
        <x:v>B_GOVERNANCE_SEGMENTATION</x:v>
      </x:c>
      <x:c r="B13" s="48" t="str">
        <x:v>Tier B v1.1 - N=29 rerun</x:v>
      </x:c>
      <x:c r="C13" s="48" t="str">
        <x:v>2026-07-16</x:v>
      </x:c>
      <x:c r="D13" s="48" t="str">
        <x:v>CHARLESBANK_XI</x:v>
      </x:c>
      <x:c r="E13" s="48" t="str">
        <x:v>Charlesbank Capital Partners Fund XI</x:v>
      </x:c>
      <x:c r="F13" s="48" t="str">
        <x:v>Charlesbank Fund XI</x:v>
      </x:c>
      <x:c r="G13" s="48" t="str">
        <x:v>$4bn target context</x:v>
      </x:c>
      <x:c r="H13" s="48" t="str">
        <x:v>LARGE_2_TO_LT_5B</x:v>
      </x:c>
      <x:c r="I13" s="48" t="str">
        <x:v>CONTROL_BUYOUT</x:v>
      </x:c>
      <x:c r="J13" s="48" t="str">
        <x:v>NORTH_AMERICA</x:v>
      </x:c>
      <x:c r="K13" s="48" t="str">
        <x:v>2025</x:v>
      </x:c>
      <x:c r="L13" s="48" t="str">
        <x:v>2024_2026</x:v>
      </x:c>
      <x:c r="M13" s="48" t="str">
        <x:v>IC_FINAL_OR_DE_FACTO</x:v>
      </x:c>
      <x:c r="N13" s="48" t="str">
        <x:v>YES_DEDICATED</x:v>
      </x:c>
      <x:c r="O13" s="48" t="str">
        <x:v>SPONSOR_SELF_DESCRIBED</x:v>
      </x:c>
      <x:c r="P13" s="48" t="str">
        <x:v>NONE_IN_CURRENT_TIER_B_CENSUS</x:v>
      </x:c>
      <x:c r="Q13" s="48" t="str">
        <x:v>Charlesbank Capital Partners - Fund XI - ILPA DDQ January 2025.pdf</x:v>
      </x:c>
      <x:c r="R13" s="48" t="str">
        <x:v>Weekly sector screening -&gt; Inform IC -&gt; iterative diligence and asynchronous surveys -&gt; Align IC -&gt; updated underwriting and Strong Start plan -&gt; Decide IC.</x:v>
      </x:c>
      <x:c r="S13" s="48" t="str">
        <x:v>Inform/Align sequence provides staged senior authorization, although a discrete adviser-budget vote is not isolated.</x:v>
      </x:c>
      <x:c r="T13" s="48" t="str">
        <x:v>Offer positioning is embedded in the Inform/Align/Decide progression.</x:v>
      </x:c>
      <x:c r="U13" s="48" t="str">
        <x:v>Investment Committee.</x:v>
      </x:c>
      <x:c r="V13" s="48" t="str">
        <x:v>Legal majority rule; consensus and often unanimity are sought in practice.</x:v>
      </x:c>
      <x:c r="W13" s="48" t="str">
        <x:v>Portfolio Resources Group develops the Strong Start plan during underwriting.</x:v>
      </x:c>
      <x:c r="X13" s="48" t="str">
        <x:v>Surveys widen challenge; no separately constituted independent risk team is explicit.</x:v>
      </x:c>
      <x:c r="Y13" s="48" t="str">
        <x:v>Three named IC states: Inform, Align and Decide.</x:v>
      </x:c>
      <x:c r="Z13" s="48" t="str">
        <x:v>Strong Start plan, ownership KPI monitoring and continued deal-team involvement.</x:v>
      </x:c>
      <x:c r="AA13" s="48" t="str">
        <x:v>Strong on iterative governance; less explicit on formal IOI/LOI and closing-release authority.</x:v>
      </x:c>
      <x:c r="AB13" s="48" t="str">
        <x:v>27</x:v>
      </x:c>
      <x:c r="AC13" s="48" t="str">
        <x:v>5</x:v>
      </x:c>
      <x:c r="AD13" s="48" t="str">
        <x:v>5</x:v>
      </x:c>
      <x:c r="AE13" s="48" t="str">
        <x:v>12</x:v>
      </x:c>
      <x:c r="AF13" s="48" t="str">
        <x:v>0</x:v>
      </x:c>
    </x:row>
    <x:row r="14">
      <x:c r="A14" s="48" t="str">
        <x:v>B_GOVERNANCE_SEGMENTATION</x:v>
      </x:c>
      <x:c r="B14" s="48" t="str">
        <x:v>Tier B v1.1 - N=29 rerun</x:v>
      </x:c>
      <x:c r="C14" s="48" t="str">
        <x:v>2026-07-16</x:v>
      </x:c>
      <x:c r="D14" s="48" t="str">
        <x:v>GRIDIRON_VI</x:v>
      </x:c>
      <x:c r="E14" s="48" t="str">
        <x:v>Gridiron Capital Fund VI</x:v>
      </x:c>
      <x:c r="F14" s="48" t="str">
        <x:v>Gridiron Capital Fund VI</x:v>
      </x:c>
      <x:c r="G14" s="48" t="str">
        <x:v>$2.5bn target context</x:v>
      </x:c>
      <x:c r="H14" s="48" t="str">
        <x:v>LARGE_2_TO_LT_5B</x:v>
      </x:c>
      <x:c r="I14" s="48" t="str">
        <x:v>CONTROL_BUYOUT</x:v>
      </x:c>
      <x:c r="J14" s="48" t="str">
        <x:v>NORTH_AMERICA</x:v>
      </x:c>
      <x:c r="K14" s="48" t="str">
        <x:v>2025</x:v>
      </x:c>
      <x:c r="L14" s="48" t="str">
        <x:v>2024_2026</x:v>
      </x:c>
      <x:c r="M14" s="48" t="str">
        <x:v>IC_FINAL_OR_DE_FACTO</x:v>
      </x:c>
      <x:c r="N14" s="48" t="str">
        <x:v>YES_DEDICATED</x:v>
      </x:c>
      <x:c r="O14" s="48" t="str">
        <x:v>SPONSOR_SELF_DESCRIBED</x:v>
      </x:c>
      <x:c r="P14" s="48" t="str">
        <x:v>NONE_IN_CURRENT_TIER_B_CENSUS</x:v>
      </x:c>
      <x:c r="Q14" s="48" t="str">
        <x:v>Gridiron ILPA Due Diligence Questionnaire November 2025.pdf</x:v>
      </x:c>
      <x:c r="R14" s="48" t="str">
        <x:v>One-page overview -&gt; two-page IOI document with thesis, risks, short model and expense budget -&gt; mid-process LOI memorandum -&gt; final memorandum before finalizing purchase price.</x:v>
      </x:c>
      <x:c r="S14" s="48" t="str">
        <x:v>Internal conviction and an approved expense budget precede material third-party expenditure.</x:v>
      </x:c>
      <x:c r="T14" s="48" t="str">
        <x:v>Separate IOI and LOI stages.</x:v>
      </x:c>
      <x:c r="U14" s="48" t="str">
        <x:v>Investment Committee.</x:v>
      </x:c>
      <x:c r="V14" s="48" t="str">
        <x:v>Two IC members have individual veto authority.</x:v>
      </x:c>
      <x:c r="W14" s="48" t="str">
        <x:v>Full-time operating partners participate in diligence and value creation.</x:v>
      </x:c>
      <x:c r="X14" s="48" t="str">
        <x:v>No separately named independent risk function.</x:v>
      </x:c>
      <x:c r="Y14" s="48" t="str">
        <x:v>Four progressive artifacts from overview through final memorandum.</x:v>
      </x:c>
      <x:c r="Z14" s="48" t="str">
        <x:v>Operating plan and formal portfolio monitoring continue after investment.</x:v>
      </x:c>
      <x:c r="AA14" s="48" t="str">
        <x:v>Strong on gating and document progression; less explicit on closing-release mechanics.</x:v>
      </x:c>
      <x:c r="AB14" s="48" t="str">
        <x:v>29</x:v>
      </x:c>
      <x:c r="AC14" s="48" t="str">
        <x:v>5</x:v>
      </x:c>
      <x:c r="AD14" s="48" t="str">
        <x:v>5</x:v>
      </x:c>
      <x:c r="AE14" s="48" t="str">
        <x:v>10</x:v>
      </x:c>
      <x:c r="AF14" s="48" t="str">
        <x:v>0</x:v>
      </x:c>
    </x:row>
    <x:row r="15">
      <x:c r="A15" s="48" t="str">
        <x:v>B_GOVERNANCE_SEGMENTATION</x:v>
      </x:c>
      <x:c r="B15" s="48" t="str">
        <x:v>Tier B v1.1 - N=29 rerun</x:v>
      </x:c>
      <x:c r="C15" s="48" t="str">
        <x:v>2026-07-16</x:v>
      </x:c>
      <x:c r="D15" s="48" t="str">
        <x:v>WARREN_V</x:v>
      </x:c>
      <x:c r="E15" s="48" t="str">
        <x:v>Warren Equity Partners Fund V</x:v>
      </x:c>
      <x:c r="F15" s="48" t="str">
        <x:v>Warren Equity Partners Fund V</x:v>
      </x:c>
      <x:c r="G15" s="48" t="str">
        <x:v>$2.25bn target context</x:v>
      </x:c>
      <x:c r="H15" s="48" t="str">
        <x:v>LARGE_2_TO_LT_5B</x:v>
      </x:c>
      <x:c r="I15" s="48" t="str">
        <x:v>CONTROL_BUYOUT</x:v>
      </x:c>
      <x:c r="J15" s="48" t="str">
        <x:v>NORTH_AMERICA</x:v>
      </x:c>
      <x:c r="K15" s="48" t="str">
        <x:v>2025</x:v>
      </x:c>
      <x:c r="L15" s="48" t="str">
        <x:v>2024_2026</x:v>
      </x:c>
      <x:c r="M15" s="48" t="str">
        <x:v>IC_FINAL_OR_DE_FACTO</x:v>
      </x:c>
      <x:c r="N15" s="48" t="str">
        <x:v>YES_DEDICATED</x:v>
      </x:c>
      <x:c r="O15" s="48" t="str">
        <x:v>SPONSOR_SELF_DESCRIBED</x:v>
      </x:c>
      <x:c r="P15" s="48" t="str">
        <x:v>NONE_IN_CURRENT_TIER_B_CENSUS</x:v>
      </x:c>
      <x:c r="Q15" s="48" t="str">
        <x:v>Warren Equity Partners Fund V - DDQ - February 2025.pdf</x:v>
      </x:c>
      <x:c r="R15" s="48" t="str">
        <x:v>Weekly opportunity vetting and scoring -&gt; short-form memorandum and IC approval before LOI -&gt; legal, commercial and forensic-accounting diligence -&gt; full investment presentation -&gt; closing checklist.</x:v>
      </x:c>
      <x:c r="S15" s="48" t="str">
        <x:v>LOI approval precedes the fuller diligence phase; adviser-spend authority is embedded in transaction approval.</x:v>
      </x:c>
      <x:c r="T15" s="48" t="str">
        <x:v>IC expressly approves the LOI.</x:v>
      </x:c>
      <x:c r="U15" s="48" t="str">
        <x:v>Investment Committee.</x:v>
      </x:c>
      <x:c r="V15" s="48" t="str">
        <x:v>Three voting members; a named senior member has individual veto authority.</x:v>
      </x:c>
      <x:c r="W15" s="48" t="str">
        <x:v>Operations Group works with the Transaction Group during diligence and ownership.</x:v>
      </x:c>
      <x:c r="X15" s="48" t="str">
        <x:v>No distinct independent risk unit described.</x:v>
      </x:c>
      <x:c r="Y15" s="48" t="str">
        <x:v>Short-form LOI memorandum followed by full final presentation.</x:v>
      </x:c>
      <x:c r="Z15" s="48" t="str">
        <x:v>Formal closing checklist, monitoring, add-on/disposition review.</x:v>
      </x:c>
      <x:c r="AA15" s="48" t="str">
        <x:v>Strong on LOI authority and vote mechanics; less explicit on early thematic work.</x:v>
      </x:c>
      <x:c r="AB15" s="48" t="str">
        <x:v>29</x:v>
      </x:c>
      <x:c r="AC15" s="48" t="str">
        <x:v>4</x:v>
      </x:c>
      <x:c r="AD15" s="48" t="str">
        <x:v>6</x:v>
      </x:c>
      <x:c r="AE15" s="48" t="str">
        <x:v>9</x:v>
      </x:c>
      <x:c r="AF15" s="48" t="str">
        <x:v>0</x:v>
      </x:c>
    </x:row>
    <x:row r="16">
      <x:c r="A16" s="48" t="str">
        <x:v>B_GOVERNANCE_SEGMENTATION</x:v>
      </x:c>
      <x:c r="B16" s="48" t="str">
        <x:v>Tier B v1.1 - N=29 rerun</x:v>
      </x:c>
      <x:c r="C16" s="48" t="str">
        <x:v>2026-07-16</x:v>
      </x:c>
      <x:c r="D16" s="48" t="str">
        <x:v>SUN_VIII</x:v>
      </x:c>
      <x:c r="E16" s="48" t="str">
        <x:v>Sun Capital Partners VIII</x:v>
      </x:c>
      <x:c r="F16" s="48" t="str">
        <x:v>Sun Capital Partners VIII</x:v>
      </x:c>
      <x:c r="G16" s="48" t="str">
        <x:v>$2.5bn target</x:v>
      </x:c>
      <x:c r="H16" s="48" t="str">
        <x:v>LARGE_2_TO_LT_5B</x:v>
      </x:c>
      <x:c r="I16" s="48" t="str">
        <x:v>CONTROL_BUYOUT</x:v>
      </x:c>
      <x:c r="J16" s="48" t="str">
        <x:v>GLOBAL_TRANSATLANTIC</x:v>
      </x:c>
      <x:c r="K16" s="48" t="str">
        <x:v>2021</x:v>
      </x:c>
      <x:c r="L16" s="48" t="str">
        <x:v>2021_2023</x:v>
      </x:c>
      <x:c r="M16" s="48" t="str">
        <x:v>IC_FINAL_OR_DE_FACTO</x:v>
      </x:c>
      <x:c r="N16" s="48" t="str">
        <x:v>YES_DEDICATED</x:v>
      </x:c>
      <x:c r="O16" s="48" t="str">
        <x:v>SPONSOR_SELF_DESCRIBED</x:v>
      </x:c>
      <x:c r="P16" s="48" t="str">
        <x:v>NONE_IN_CURRENT_TIER_B_CENSUS</x:v>
      </x:c>
      <x:c r="Q16" s="48" t="str">
        <x:v>Sun Capital Fund VIII - Due Diligence Questionnaire - 07-01-21.pdf</x:v>
      </x:c>
      <x:c r="R16" s="48" t="str">
        <x:v>Pre-screen -&gt; IOI presentation -&gt; approval to initiate formal diligence -&gt; LOI presentation -&gt; confirmatory diligence under exclusivity -&gt; final underwriting presentation.</x:v>
      </x:c>
      <x:c r="S16" s="48" t="str">
        <x:v>IC approval is required to initiate formal diligence.</x:v>
      </x:c>
      <x:c r="T16" s="48" t="str">
        <x:v>Distinct IOI and LOI presentations.</x:v>
      </x:c>
      <x:c r="U16" s="48" t="str">
        <x:v>Investment Committee.</x:v>
      </x:c>
      <x:c r="V16" s="48" t="str">
        <x:v>Not clearly observable in the accessible process section.</x:v>
      </x:c>
      <x:c r="W16" s="48" t="str">
        <x:v>Transaction and Operations professionals work in unison; operational resources are represented on the IC.</x:v>
      </x:c>
      <x:c r="X16" s="48" t="str">
        <x:v>No separately named independent risk unit.</x:v>
      </x:c>
      <x:c r="Y16" s="48" t="str">
        <x:v>Pre-screen -&gt; IOI -&gt; LOI -&gt; final underwriting presentation.</x:v>
      </x:c>
      <x:c r="Z16" s="48" t="str">
        <x:v>Sun Transformation System and 100-day planning convert the underwrite into ownership execution.</x:v>
      </x:c>
      <x:c r="AA16" s="48" t="str">
        <x:v>Strong on stage order and exclusivity timing; vote threshold not clear.</x:v>
      </x:c>
      <x:c r="AB16" s="48" t="str">
        <x:v>31</x:v>
      </x:c>
      <x:c r="AC16" s="48" t="str">
        <x:v>2</x:v>
      </x:c>
      <x:c r="AD16" s="48" t="str">
        <x:v>1</x:v>
      </x:c>
      <x:c r="AE16" s="48" t="str">
        <x:v>12</x:v>
      </x:c>
      <x:c r="AF16" s="48" t="str">
        <x:v>0</x:v>
      </x:c>
    </x:row>
    <x:row r="17">
      <x:c r="A17" s="48" t="str">
        <x:v>B_GOVERNANCE_SEGMENTATION</x:v>
      </x:c>
      <x:c r="B17" s="48" t="str">
        <x:v>Tier B v1.1 - N=29 rerun</x:v>
      </x:c>
      <x:c r="C17" s="48" t="str">
        <x:v>2026-07-16</x:v>
      </x:c>
      <x:c r="D17" s="48" t="str">
        <x:v>REVERENCE_VIII</x:v>
      </x:c>
      <x:c r="E17" s="48" t="str">
        <x:v>Reverence Capital Partners PE Opportunities Fund IV</x:v>
      </x:c>
      <x:c r="F17" s="48" t="str">
        <x:v>Reverence PE Opportunities Fund IV / Fund VIII</x:v>
      </x:c>
      <x:c r="G17" s="48" t="str">
        <x:v>$2.75bn target</x:v>
      </x:c>
      <x:c r="H17" s="48" t="str">
        <x:v>LARGE_2_TO_LT_5B</x:v>
      </x:c>
      <x:c r="I17" s="48" t="str">
        <x:v>GROWTH_CONTROL_HYBRID</x:v>
      </x:c>
      <x:c r="J17" s="48" t="str">
        <x:v>NORTH_AMERICA</x:v>
      </x:c>
      <x:c r="K17" s="48" t="str">
        <x:v>2025</x:v>
      </x:c>
      <x:c r="L17" s="48" t="str">
        <x:v>2024_2026</x:v>
      </x:c>
      <x:c r="M17" s="48" t="str">
        <x:v>IC_FINAL_OR_DE_FACTO</x:v>
      </x:c>
      <x:c r="N17" s="48" t="str">
        <x:v>YES_DEDICATED</x:v>
      </x:c>
      <x:c r="O17" s="48" t="str">
        <x:v>SPONSOR_SELF_DESCRIBED</x:v>
      </x:c>
      <x:c r="P17" s="48" t="str">
        <x:v>NONE_IN_CURRENT_TIER_B_CENSUS</x:v>
      </x:c>
      <x:c r="Q17" s="48" t="str">
        <x:v>Reverence Capital Partners PE Opportunites Fund IV (Fund VIII) - ILPA-DDQ-2.0 (September 2025).pdf</x:v>
      </x:c>
      <x:c r="R17" s="48" t="str">
        <x:v>Founders informal screen -&gt; short opportunity memorandum and IOI authorization -&gt; accepted IOI and focused diligence -&gt; fuller IC before LOI -&gt; LOI/exclusivity -&gt; QoE, legal, tax and background work -&gt; final unanimous IC.</x:v>
      </x:c>
      <x:c r="S17" s="48" t="str">
        <x:v>Adviser engagements and fees require approval; the short opportunity stage authorizes early work.</x:v>
      </x:c>
      <x:c r="T17" s="48" t="str">
        <x:v>Separate IOI and LOI authorization stages.</x:v>
      </x:c>
      <x:c r="U17" s="48" t="str">
        <x:v>Investment Committee.</x:v>
      </x:c>
      <x:c r="V17" s="48" t="str">
        <x:v>Unanimous final approval.</x:v>
      </x:c>
      <x:c r="W17" s="48" t="str">
        <x:v>Dedicated operating resources and C-suite special advisers support diligence and value creation.</x:v>
      </x:c>
      <x:c r="X17" s="48" t="str">
        <x:v>No separate independent risk unit identified.</x:v>
      </x:c>
      <x:c r="Y17" s="48" t="str">
        <x:v>Short opportunity memo -&gt; fuller pre-LOI IC document -&gt; final IC material.</x:v>
      </x:c>
      <x:c r="Z17" s="48" t="str">
        <x:v>Operating resources support implementation and monitoring.</x:v>
      </x:c>
      <x:c r="AA17" s="48" t="str">
        <x:v>Very detailed on gates and adviser timing; specialized financial-services strategy may condition some features.</x:v>
      </x:c>
      <x:c r="AB17" s="48" t="str">
        <x:v>32</x:v>
      </x:c>
      <x:c r="AC17" s="48" t="str">
        <x:v>4</x:v>
      </x:c>
      <x:c r="AD17" s="48" t="str">
        <x:v>5</x:v>
      </x:c>
      <x:c r="AE17" s="48" t="str">
        <x:v>7</x:v>
      </x:c>
      <x:c r="AF17" s="48" t="str">
        <x:v>0</x:v>
      </x:c>
    </x:row>
    <x:row r="18">
      <x:c r="A18" s="48" t="str">
        <x:v>B_GOVERNANCE_SEGMENTATION</x:v>
      </x:c>
      <x:c r="B18" s="48" t="str">
        <x:v>Tier B v1.1 - N=29 rerun</x:v>
      </x:c>
      <x:c r="C18" s="48" t="str">
        <x:v>2026-07-16</x:v>
      </x:c>
      <x:c r="D18" s="48" t="str">
        <x:v>BAYPINE_I</x:v>
      </x:c>
      <x:c r="E18" s="48" t="str">
        <x:v>BayPine Capital Partners</x:v>
      </x:c>
      <x:c r="F18" s="48" t="str">
        <x:v>BayPine Capital Partners Fund I</x:v>
      </x:c>
      <x:c r="G18" s="48" t="str">
        <x:v>$2bn target context</x:v>
      </x:c>
      <x:c r="H18" s="48" t="str">
        <x:v>LARGE_2_TO_LT_5B</x:v>
      </x:c>
      <x:c r="I18" s="48" t="str">
        <x:v>CONTROL_BUYOUT</x:v>
      </x:c>
      <x:c r="J18" s="48" t="str">
        <x:v>NORTH_AMERICA</x:v>
      </x:c>
      <x:c r="K18" s="48" t="str">
        <x:v>2021</x:v>
      </x:c>
      <x:c r="L18" s="48" t="str">
        <x:v>2021_2023</x:v>
      </x:c>
      <x:c r="M18" s="48" t="str">
        <x:v>IC_FINAL_OR_DE_FACTO</x:v>
      </x:c>
      <x:c r="N18" s="48" t="str">
        <x:v>YES_DEDICATED</x:v>
      </x:c>
      <x:c r="O18" s="48" t="str">
        <x:v>SPONSOR_SELF_DESCRIBED</x:v>
      </x:c>
      <x:c r="P18" s="48" t="str">
        <x:v>NONE_IN_CURRENT_TIER_B_CENSUS</x:v>
      </x:c>
      <x:c r="Q18" s="48" t="str">
        <x:v>1.8 BayPine Due Diligence Questionnaire (A3).pdf</x:v>
      </x:c>
      <x:c r="R18" s="48" t="str">
        <x:v>Screening memorandum -&gt; screening approval -&gt; parallel financial and operational underwriting by IC and Operating Committee -&gt; final IC approval -&gt; pre-funding commitment form and finance controls.</x:v>
      </x:c>
      <x:c r="S18" s="48" t="str">
        <x:v>Screening approval precedes full diligence.</x:v>
      </x:c>
      <x:c r="T18" s="48" t="str">
        <x:v>No separately named IOI/LOI committee stage is clearly described.</x:v>
      </x:c>
      <x:c r="U18" s="48" t="str">
        <x:v>Investment Committee; Operating Committee is advisory on operations, not price or transaction tactics.</x:v>
      </x:c>
      <x:c r="V18" s="48" t="str">
        <x:v>Five-of-seven supermajority.</x:v>
      </x:c>
      <x:c r="W18" s="48" t="str">
        <x:v>Separate Operating Committee develops the full-potential operating plan in parallel with financial underwriting.</x:v>
      </x:c>
      <x:c r="X18" s="48" t="str">
        <x:v>Operating Committee creates expert challenge but is not coded as a fully independent risk function.</x:v>
      </x:c>
      <x:c r="Y18" s="48" t="str">
        <x:v>Screening memorandum followed by final investment materials.</x:v>
      </x:c>
      <x:c r="Z18" s="48" t="str">
        <x:v>Pre-funding control form and operating plan transition into active ownership.</x:v>
      </x:c>
      <x:c r="AA18" s="48" t="str">
        <x:v>Strong on dual-committee roles; fewer named pre-investment document stages.</x:v>
      </x:c>
      <x:c r="AB18" s="48" t="str">
        <x:v>28</x:v>
      </x:c>
      <x:c r="AC18" s="48" t="str">
        <x:v>4</x:v>
      </x:c>
      <x:c r="AD18" s="48" t="str">
        <x:v>8</x:v>
      </x:c>
      <x:c r="AE18" s="48" t="str">
        <x:v>8</x:v>
      </x:c>
      <x:c r="AF18" s="48" t="str">
        <x:v>0</x:v>
      </x:c>
    </x:row>
    <x:row r="19">
      <x:c r="A19" s="48" t="str">
        <x:v>B_GOVERNANCE_SEGMENTATION</x:v>
      </x:c>
      <x:c r="B19" s="48" t="str">
        <x:v>Tier B v1.1 - N=29 rerun</x:v>
      </x:c>
      <x:c r="C19" s="48" t="str">
        <x:v>2026-07-16</x:v>
      </x:c>
      <x:c r="D19" s="48" t="str">
        <x:v>BROAD_SKY_I</x:v>
      </x:c>
      <x:c r="E19" s="48" t="str">
        <x:v>Broad Sky Partners</x:v>
      </x:c>
      <x:c r="F19" s="48" t="str">
        <x:v>Broad Sky Partners, LP</x:v>
      </x:c>
      <x:c r="G19" s="48" t="str">
        <x:v>$0.5bn-$0.75bn range context</x:v>
      </x:c>
      <x:c r="H19" s="48" t="str">
        <x:v>LOWER_MID_LT_2B</x:v>
      </x:c>
      <x:c r="I19" s="48" t="str">
        <x:v>CONTROL_BUYOUT</x:v>
      </x:c>
      <x:c r="J19" s="48" t="str">
        <x:v>NORTH_AMERICA</x:v>
      </x:c>
      <x:c r="K19" s="48" t="str">
        <x:v>2022</x:v>
      </x:c>
      <x:c r="L19" s="48" t="str">
        <x:v>2021_2023</x:v>
      </x:c>
      <x:c r="M19" s="48" t="str">
        <x:v>IC_FINAL_OR_DE_FACTO</x:v>
      </x:c>
      <x:c r="N19" s="48" t="str">
        <x:v>YES_DEDICATED</x:v>
      </x:c>
      <x:c r="O19" s="48" t="str">
        <x:v>SPONSOR_SELF_DESCRIBED</x:v>
      </x:c>
      <x:c r="P19" s="48" t="str">
        <x:v>NONE_IN_CURRENT_TIER_B_CENSUS</x:v>
      </x:c>
      <x:c r="Q19" s="48" t="str">
        <x:v>01. Broad Sky Partners Due Diligence Questionnaire_Q1 2022.pdf</x:v>
      </x:c>
      <x:c r="R19" s="48" t="str">
        <x:v>Heads-Up Memo -&gt; preliminary/IOI review -&gt; evolving IC memorandum and workstream diligence -&gt; final IC; operating resources co-develop a long-range financial plan and 100-day plan.</x:v>
      </x:c>
      <x:c r="S19" s="48" t="str">
        <x:v>Heads-Up and preliminary stages authorize progression; a separate numerical expense gate is not isolated.</x:v>
      </x:c>
      <x:c r="T19" s="48" t="str">
        <x:v>Preliminary/IOI review governs indicative positioning.</x:v>
      </x:c>
      <x:c r="U19" s="48" t="str">
        <x:v>Investment Committee.</x:v>
      </x:c>
      <x:c r="V19" s="48" t="str">
        <x:v>Not clearly observable in the accessible source.</x:v>
      </x:c>
      <x:c r="W19" s="48" t="str">
        <x:v>Portfolio Resource Group, Operating Partners and Executive Board participate in sourcing, diligence and ownership.</x:v>
      </x:c>
      <x:c r="X19" s="48" t="str">
        <x:v>No separately named independent risk unit.</x:v>
      </x:c>
      <x:c r="Y19" s="48" t="str">
        <x:v>Heads-Up Memo -&gt; preliminary/IOI review -&gt; evolving IC memorandum -&gt; final IC.</x:v>
      </x:c>
      <x:c r="Z19" s="48" t="str">
        <x:v>Long-range financial plan, 100-day plan and detailed Value Creation Playbook.</x:v>
      </x:c>
      <x:c r="AA19" s="48" t="str">
        <x:v>Emerging-manager source; strong on operating architecture, less explicit on vote and closing authority.</x:v>
      </x:c>
      <x:c r="AB19" s="48" t="str">
        <x:v>29</x:v>
      </x:c>
      <x:c r="AC19" s="48" t="str">
        <x:v>6</x:v>
      </x:c>
      <x:c r="AD19" s="48" t="str">
        <x:v>1</x:v>
      </x:c>
      <x:c r="AE19" s="48" t="str">
        <x:v>14</x:v>
      </x:c>
      <x:c r="AF19" s="48" t="str">
        <x:v>0</x:v>
      </x:c>
    </x:row>
    <x:row r="20">
      <x:c r="A20" s="48" t="str">
        <x:v>B_GOVERNANCE_SEGMENTATION</x:v>
      </x:c>
      <x:c r="B20" s="48" t="str">
        <x:v>Tier B v1.1 - N=29 rerun</x:v>
      </x:c>
      <x:c r="C20" s="48" t="str">
        <x:v>2026-07-16</x:v>
      </x:c>
      <x:c r="D20" s="48" t="str">
        <x:v>CENTERBRIDGE_IV</x:v>
      </x:c>
      <x:c r="E20" s="48" t="str">
        <x:v>Centerbridge Capital Partners IV</x:v>
      </x:c>
      <x:c r="F20" s="48" t="str">
        <x:v>Centerbridge Capital Partners IV</x:v>
      </x:c>
      <x:c r="G20" s="48" t="str">
        <x:v>$6bn target context</x:v>
      </x:c>
      <x:c r="H20" s="48" t="str">
        <x:v>MEGA_GE_5B</x:v>
      </x:c>
      <x:c r="I20" s="48" t="str">
        <x:v>OPPORTUNISTIC_CONTROL</x:v>
      </x:c>
      <x:c r="J20" s="48" t="str">
        <x:v>GLOBAL_TRANSATLANTIC</x:v>
      </x:c>
      <x:c r="K20" s="48" t="str">
        <x:v>2020</x:v>
      </x:c>
      <x:c r="L20" s="48" t="str">
        <x:v>2018_2020</x:v>
      </x:c>
      <x:c r="M20" s="48" t="str">
        <x:v>IC_FINAL_OR_DE_FACTO</x:v>
      </x:c>
      <x:c r="N20" s="48" t="str">
        <x:v>YES_DEDICATED</x:v>
      </x:c>
      <x:c r="O20" s="48" t="str">
        <x:v>SPONSOR_SELF_DESCRIBED</x:v>
      </x:c>
      <x:c r="P20" s="48" t="str">
        <x:v>NONE_IN_CURRENT_TIER_B_CENSUS</x:v>
      </x:c>
      <x:c r="Q20" s="48" t="str">
        <x:v>4.3.1 CCP IV ILPA DDQ (June 2020).pdf</x:v>
      </x:c>
      <x:c r="R20" s="48" t="str">
        <x:v>Introductory memorandum and approval for material diligence cost -&gt; IC workshop and repeated review -&gt; final IC -&gt; separate closing/tax execution controls.</x:v>
      </x:c>
      <x:c r="S20" s="48" t="str">
        <x:v>Initial approval is required before material diligence costs are incurred.</x:v>
      </x:c>
      <x:c r="T20" s="48" t="str">
        <x:v>Offer authority is embedded in repeated IC review rather than a separately named IOI stage.</x:v>
      </x:c>
      <x:c r="U20" s="48" t="str">
        <x:v>Investment Committee with specified senior veto rights.</x:v>
      </x:c>
      <x:c r="V20" s="48" t="str">
        <x:v>Majority approval with individual veto rights held by specified senior leaders.</x:v>
      </x:c>
      <x:c r="W20" s="48" t="str">
        <x:v>Portfolio Operations participates from the outset and develops the pre-close VCP.</x:v>
      </x:c>
      <x:c r="X20" s="48" t="str">
        <x:v>A designated Review Partner provides independent challenge.</x:v>
      </x:c>
      <x:c r="Y20" s="48" t="str">
        <x:v>Introductory material -&gt; workshop/update materials -&gt; final recommendation.</x:v>
      </x:c>
      <x:c r="Z20" s="48" t="str">
        <x:v>Separate closing controls and formal portfolio monitoring.</x:v>
      </x:c>
      <x:c r="AA20" s="48" t="str">
        <x:v>Opportunistic strategy differs from pure buyout; strong on resource gate and challenge function.</x:v>
      </x:c>
      <x:c r="AB20" s="48" t="str">
        <x:v>32</x:v>
      </x:c>
      <x:c r="AC20" s="48" t="str">
        <x:v>3</x:v>
      </x:c>
      <x:c r="AD20" s="48" t="str">
        <x:v>4</x:v>
      </x:c>
      <x:c r="AE20" s="48" t="str">
        <x:v>8</x:v>
      </x:c>
      <x:c r="AF20" s="48" t="str">
        <x:v>0</x:v>
      </x:c>
    </x:row>
    <x:row r="21">
      <x:c r="A21" s="48" t="str">
        <x:v>B_GOVERNANCE_SEGMENTATION</x:v>
      </x:c>
      <x:c r="B21" s="48" t="str">
        <x:v>Tier B v1.1 - N=29 rerun</x:v>
      </x:c>
      <x:c r="C21" s="48" t="str">
        <x:v>2026-07-16</x:v>
      </x:c>
      <x:c r="D21" s="48" t="str">
        <x:v>GEF_CSF_III</x:v>
      </x:c>
      <x:c r="E21" s="48" t="str">
        <x:v>GEF U.S. Climate Solutions Fund III</x:v>
      </x:c>
      <x:c r="F21" s="48" t="str">
        <x:v>GEF U.S. Climate Solutions Fund III</x:v>
      </x:c>
      <x:c r="G21" s="48" t="str">
        <x:v>$450m target context</x:v>
      </x:c>
      <x:c r="H21" s="48" t="str">
        <x:v>LOWER_MID_LT_2B</x:v>
      </x:c>
      <x:c r="I21" s="48" t="str">
        <x:v>GROWTH_CONTROL_HYBRID</x:v>
      </x:c>
      <x:c r="J21" s="48" t="str">
        <x:v>NORTH_AMERICA</x:v>
      </x:c>
      <x:c r="K21" s="48" t="str">
        <x:v>2026</x:v>
      </x:c>
      <x:c r="L21" s="48" t="str">
        <x:v>2024_2026</x:v>
      </x:c>
      <x:c r="M21" s="48" t="str">
        <x:v>IC_FINAL_OR_DE_FACTO</x:v>
      </x:c>
      <x:c r="N21" s="48" t="str">
        <x:v>YES_DEDICATED</x:v>
      </x:c>
      <x:c r="O21" s="48" t="str">
        <x:v>SPONSOR_SELF_DESCRIBED</x:v>
      </x:c>
      <x:c r="P21" s="48" t="str">
        <x:v>NONE_IN_CURRENT_TIER_B_CENSUS</x:v>
      </x:c>
      <x:c r="Q21" s="48" t="str">
        <x:v>2.2.2-1 GEF Capital DDQ June 2026 - CSF III.docx</x:v>
      </x:c>
      <x:c r="R21" s="48" t="str">
        <x:v>Team review -&gt; initial model, management work, market research, summary and proposed diligence budget -&gt; initial IC authorization of fund resources -&gt; interim/conditional IC as needed -&gt; closing memorandum and final approval.</x:v>
      </x:c>
      <x:c r="S21" s="48" t="str">
        <x:v>Initial IC expressly authorizes use of fund resources for diligence.</x:v>
      </x:c>
      <x:c r="T21" s="48" t="str">
        <x:v>LOI may occur before or after the first IC, but its terms require IC approval.</x:v>
      </x:c>
      <x:c r="U21" s="48" t="str">
        <x:v>Investment Committee.</x:v>
      </x:c>
      <x:c r="V21" s="48" t="str">
        <x:v>Not clearly observable in the accessible source.</x:v>
      </x:c>
      <x:c r="W21" s="48" t="str">
        <x:v>Operating Partner participates; team expansion is planned.</x:v>
      </x:c>
      <x:c r="X21" s="48" t="str">
        <x:v>No separately named independent risk function.</x:v>
      </x:c>
      <x:c r="Y21" s="48" t="str">
        <x:v>Initial summary/budget -&gt; interim materials -&gt; closing memorandum.</x:v>
      </x:c>
      <x:c r="Z21" s="48" t="str">
        <x:v>Formal monitoring and IC control of follow-ons/exits.</x:v>
      </x:c>
      <x:c r="AA21" s="48" t="str">
        <x:v>Current source; strong on resource and conditional gates, less explicit on vote rule.</x:v>
      </x:c>
      <x:c r="AB21" s="48" t="str">
        <x:v>29</x:v>
      </x:c>
      <x:c r="AC21" s="48" t="str">
        <x:v>4</x:v>
      </x:c>
      <x:c r="AD21" s="48" t="str">
        <x:v>1</x:v>
      </x:c>
      <x:c r="AE21" s="48" t="str">
        <x:v>14</x:v>
      </x:c>
      <x:c r="AF21" s="48" t="str">
        <x:v>0</x:v>
      </x:c>
    </x:row>
    <x:row r="22">
      <x:c r="A22" s="48" t="str">
        <x:v>B_GOVERNANCE_SEGMENTATION</x:v>
      </x:c>
      <x:c r="B22" s="48" t="str">
        <x:v>Tier B v1.1 - N=29 rerun</x:v>
      </x:c>
      <x:c r="C22" s="48" t="str">
        <x:v>2026-07-16</x:v>
      </x:c>
      <x:c r="D22" s="48" t="str">
        <x:v>GRYPHON_HERITAGE_II</x:v>
      </x:c>
      <x:c r="E22" s="48" t="str">
        <x:v>Gryphon Heritage Partners II</x:v>
      </x:c>
      <x:c r="F22" s="48" t="str">
        <x:v>Gryphon Heritage Partners II</x:v>
      </x:c>
      <x:c r="G22" s="48" t="str">
        <x:v>$750m target</x:v>
      </x:c>
      <x:c r="H22" s="48" t="str">
        <x:v>LOWER_MID_LT_2B</x:v>
      </x:c>
      <x:c r="I22" s="48" t="str">
        <x:v>CONTROL_BUYOUT</x:v>
      </x:c>
      <x:c r="J22" s="48" t="str">
        <x:v>NORTH_AMERICA</x:v>
      </x:c>
      <x:c r="K22" s="48" t="str">
        <x:v>2025</x:v>
      </x:c>
      <x:c r="L22" s="48" t="str">
        <x:v>2024_2026</x:v>
      </x:c>
      <x:c r="M22" s="48" t="str">
        <x:v>IC_FINAL_OR_DE_FACTO</x:v>
      </x:c>
      <x:c r="N22" s="48" t="str">
        <x:v>YES_DEDICATED</x:v>
      </x:c>
      <x:c r="O22" s="48" t="str">
        <x:v>SPONSOR_SELF_DESCRIBED</x:v>
      </x:c>
      <x:c r="P22" s="48" t="str">
        <x:v>NONE_IN_CURRENT_TIER_B_CENSUS</x:v>
      </x:c>
      <x:c r="Q22" s="48" t="str">
        <x:v>Gryphon Heritage Partners II -A L.P. - ILPA DDQ_Heritage II Prospective LP.pdf</x:v>
      </x:c>
      <x:c r="R22" s="48" t="str">
        <x:v>IOI review -&gt; Prioritized gate and workplan/budget -&gt; Down Select/Red Zone -&gt; Pricing gate -&gt; pre-signing and pre-closing review.</x:v>
      </x:c>
      <x:c r="S22" s="48" t="str">
        <x:v>Prioritized meeting approves the diligence workplan, specialists and budget; staging defers major spend.</x:v>
      </x:c>
      <x:c r="T22" s="48" t="str">
        <x:v>Separate IOI and Pricing gates.</x:v>
      </x:c>
      <x:c r="U22" s="48" t="str">
        <x:v>Investment Committee and specified pre-signing/pre-closing authorities.</x:v>
      </x:c>
      <x:c r="V22" s="48" t="str">
        <x:v>Not clearly observable in the accessible process section.</x:v>
      </x:c>
      <x:c r="W22" s="48" t="str">
        <x:v>Large Operations Resources Group participates from the earliest screen.</x:v>
      </x:c>
      <x:c r="X22" s="48" t="str">
        <x:v>No separate risk team identified beyond the multi-gate committee process.</x:v>
      </x:c>
      <x:c r="Y22" s="48" t="str">
        <x:v>IOI -&gt; Prioritized -&gt; Red Zone/Down Select -&gt; Pricing -&gt; signing/closing materials.</x:v>
      </x:c>
      <x:c r="Z22" s="48" t="str">
        <x:v>Detailed 180-day plan and operating initiatives are prepared before closing.</x:v>
      </x:c>
      <x:c r="AA22" s="48" t="str">
        <x:v>Strong emerging/lower-middle-market example; voting mechanics are not clear.</x:v>
      </x:c>
      <x:c r="AB22" s="48" t="str">
        <x:v>31</x:v>
      </x:c>
      <x:c r="AC22" s="48" t="str">
        <x:v>6</x:v>
      </x:c>
      <x:c r="AD22" s="48" t="str">
        <x:v>1</x:v>
      </x:c>
      <x:c r="AE22" s="48" t="str">
        <x:v>12</x:v>
      </x:c>
      <x:c r="AF22" s="48" t="str">
        <x:v>0</x:v>
      </x:c>
    </x:row>
    <x:row r="23">
      <x:c r="A23" s="48" t="str">
        <x:v>B_GOVERNANCE_SEGMENTATION</x:v>
      </x:c>
      <x:c r="B23" s="48" t="str">
        <x:v>Tier B v1.1 - N=29 rerun</x:v>
      </x:c>
      <x:c r="C23" s="48" t="str">
        <x:v>2026-07-16</x:v>
      </x:c>
      <x:c r="D23" s="48" t="str">
        <x:v>PERWYN</x:v>
      </x:c>
      <x:c r="E23" s="48" t="str">
        <x:v>Perwyn</x:v>
      </x:c>
      <x:c r="F23" s="48" t="str">
        <x:v>Perwyn evergreen/family-capital investment program</x:v>
      </x:c>
      <x:c r="G23" s="48" t="str">
        <x:v>Evergreen family capital; no comparable blind-pool fund size</x:v>
      </x:c>
      <x:c r="H23" s="48" t="str">
        <x:v>NOT_APPLICABLE</x:v>
      </x:c>
      <x:c r="I23" s="48" t="str">
        <x:v>GROWTH_CONTROL_HYBRID</x:v>
      </x:c>
      <x:c r="J23" s="48" t="str">
        <x:v>EUROPE</x:v>
      </x:c>
      <x:c r="K23" s="48" t="str">
        <x:v>2022</x:v>
      </x:c>
      <x:c r="L23" s="48" t="str">
        <x:v>2021_2023</x:v>
      </x:c>
      <x:c r="M23" s="48" t="str">
        <x:v>IC_RECOMMENDS_SEPARATE_FINAL_AUTHORITY</x:v>
      </x:c>
      <x:c r="N23" s="48" t="str">
        <x:v>NO_OR_LIMITED</x:v>
      </x:c>
      <x:c r="O23" s="48" t="str">
        <x:v>SPONSOR_SELF_DESCRIBED</x:v>
      </x:c>
      <x:c r="P23" s="48" t="str">
        <x:v>NONE_IN_CURRENT_TIER_B_CENSUS</x:v>
      </x:c>
      <x:c r="Q23" s="48" t="str">
        <x:v>7.2.1 Perwyn DDQ.pdf</x:v>
      </x:c>
      <x:c r="R23" s="48" t="str">
        <x:v>One-page opportunity note and Red Flag Review -&gt; IC resource commitment -&gt; Heads-Up Memo -&gt; Round 1 paper before non-binding bid -&gt; Second Round/Investment memorandum after diligence and final bid -&gt; IC recommendation -&gt; family office final decision.</x:v>
      </x:c>
      <x:c r="S23" s="48" t="str">
        <x:v>Initial paper and each subsequent gate approve spend and adviser use.</x:v>
      </x:c>
      <x:c r="T23" s="48" t="str">
        <x:v>Round 1 precedes the non-binding bid; later materials support the final bid.</x:v>
      </x:c>
      <x:c r="U23" s="48" t="str">
        <x:v>Family office after consensual IC recommendation.</x:v>
      </x:c>
      <x:c r="V23" s="48" t="str">
        <x:v>Consensual IC recommendation.</x:v>
      </x:c>
      <x:c r="W23" s="48" t="str">
        <x:v>Investment team and portfolio resources support companies, but no large dedicated internal operating group is evidenced.</x:v>
      </x:c>
      <x:c r="X23" s="48" t="str">
        <x:v>No separate independent risk team.</x:v>
      </x:c>
      <x:c r="Y23" s="48" t="str">
        <x:v>One-page/Red Flag -&gt; Heads-Up -&gt; Round 1 -&gt; Second Round/Investment memorandum.</x:v>
      </x:c>
      <x:c r="Z23" s="48" t="str">
        <x:v>Same professionals continue post-investment; separate exit committee.</x:v>
      </x:c>
      <x:c r="AA23" s="48" t="str">
        <x:v>Not a conventional blind-pool fund; size comparisons are not applicable.</x:v>
      </x:c>
      <x:c r="AB23" s="48" t="str">
        <x:v>29</x:v>
      </x:c>
      <x:c r="AC23" s="48" t="str">
        <x:v>7</x:v>
      </x:c>
      <x:c r="AD23" s="48" t="str">
        <x:v>5</x:v>
      </x:c>
      <x:c r="AE23" s="48" t="str">
        <x:v>9</x:v>
      </x:c>
      <x:c r="AF23" s="48" t="str">
        <x:v>1</x:v>
      </x:c>
    </x:row>
    <x:row r="24">
      <x:c r="A24" s="48" t="str">
        <x:v>B_GOVERNANCE_SEGMENTATION</x:v>
      </x:c>
      <x:c r="B24" s="48" t="str">
        <x:v>Tier B v1.1 - N=29 rerun</x:v>
      </x:c>
      <x:c r="C24" s="48" t="str">
        <x:v>2026-07-16</x:v>
      </x:c>
      <x:c r="D24" s="48" t="str">
        <x:v>VIBURNUM_III</x:v>
      </x:c>
      <x:c r="E24" s="48" t="str">
        <x:v>Viburnum Private III</x:v>
      </x:c>
      <x:c r="F24" s="48" t="str">
        <x:v>Viburnum Private III</x:v>
      </x:c>
      <x:c r="G24" s="48" t="str">
        <x:v>Approximately A$300m context</x:v>
      </x:c>
      <x:c r="H24" s="48" t="str">
        <x:v>LOWER_MID_LT_2B</x:v>
      </x:c>
      <x:c r="I24" s="48" t="str">
        <x:v>CONTROL_BUYOUT</x:v>
      </x:c>
      <x:c r="J24" s="48" t="str">
        <x:v>ASIA_PACIFIC</x:v>
      </x:c>
      <x:c r="K24" s="48" t="str">
        <x:v>2026</x:v>
      </x:c>
      <x:c r="L24" s="48" t="str">
        <x:v>2024_2026</x:v>
      </x:c>
      <x:c r="M24" s="48" t="str">
        <x:v>IC_FINAL_OR_DE_FACTO</x:v>
      </x:c>
      <x:c r="N24" s="48" t="str">
        <x:v>NO_OR_LIMITED</x:v>
      </x:c>
      <x:c r="O24" s="48" t="str">
        <x:v>SPONSOR_SELF_DESCRIBED</x:v>
      </x:c>
      <x:c r="P24" s="48" t="str">
        <x:v>NONE_IN_CURRENT_TIER_B_CENSUS</x:v>
      </x:c>
      <x:c r="Q24" s="48" t="str">
        <x:v>2.1 ILPA-DDQ_260408.pdf</x:v>
      </x:c>
      <x:c r="R24" s="48" t="str">
        <x:v>CRM opportunity -&gt; meeting -&gt; initial review -&gt; IC discussion -&gt; IC approval of non-binding indicative offer -&gt; exclusivity and confirmatory diligence -&gt; credit-approved financing -&gt; documentation -&gt; final investment proposal.</x:v>
      </x:c>
      <x:c r="S24" s="48" t="str">
        <x:v>NBIO approval precedes exclusivity and the main external-adviser work.</x:v>
      </x:c>
      <x:c r="T24" s="48" t="str">
        <x:v>IC approves the NBIO.</x:v>
      </x:c>
      <x:c r="U24" s="48" t="str">
        <x:v>Investment Committee.</x:v>
      </x:c>
      <x:c r="V24" s="48" t="str">
        <x:v>Unanimous final approval.</x:v>
      </x:c>
      <x:c r="W24" s="48" t="str">
        <x:v>No dedicated operating team; investment professionals and external advisers perform the work.</x:v>
      </x:c>
      <x:c r="X24" s="48" t="str">
        <x:v>No separate independent risk function.</x:v>
      </x:c>
      <x:c r="Y24" s="48" t="str">
        <x:v>Initial review -&gt; NBIO material -&gt; final investment proposal.</x:v>
      </x:c>
      <x:c r="Z24" s="48" t="str">
        <x:v>Same team remains involved; 100-day plan and monitoring follow.</x:v>
      </x:c>
      <x:c r="AA24" s="48" t="str">
        <x:v>Clear lower-middle-market process; formal operating-team absence is explicitly useful for segmentation.</x:v>
      </x:c>
      <x:c r="AB24" s="48" t="str">
        <x:v>28</x:v>
      </x:c>
      <x:c r="AC24" s="48" t="str">
        <x:v>3</x:v>
      </x:c>
      <x:c r="AD24" s="48" t="str">
        <x:v>7</x:v>
      </x:c>
      <x:c r="AE24" s="48" t="str">
        <x:v>9</x:v>
      </x:c>
      <x:c r="AF24" s="48" t="str">
        <x:v>0</x:v>
      </x:c>
    </x:row>
    <x:row r="25">
      <x:c r="A25" s="48" t="str">
        <x:v>B_GOVERNANCE_SEGMENTATION</x:v>
      </x:c>
      <x:c r="B25" s="48" t="str">
        <x:v>Tier B v1.1 - N=29 rerun</x:v>
      </x:c>
      <x:c r="C25" s="48" t="str">
        <x:v>2026-07-16</x:v>
      </x:c>
      <x:c r="D25" s="48" t="str">
        <x:v>REDBIRD_FS_I</x:v>
      </x:c>
      <x:c r="E25" s="48" t="str">
        <x:v>RedBird Financial Services I</x:v>
      </x:c>
      <x:c r="F25" s="48" t="str">
        <x:v>RedBird Financial Services I</x:v>
      </x:c>
      <x:c r="G25" s="48" t="str">
        <x:v>$750m target context</x:v>
      </x:c>
      <x:c r="H25" s="48" t="str">
        <x:v>LOWER_MID_LT_2B</x:v>
      </x:c>
      <x:c r="I25" s="48" t="str">
        <x:v>GROWTH_CONTROL_HYBRID</x:v>
      </x:c>
      <x:c r="J25" s="48" t="str">
        <x:v>NORTH_AMERICA</x:v>
      </x:c>
      <x:c r="K25" s="48" t="str">
        <x:v>2025</x:v>
      </x:c>
      <x:c r="L25" s="48" t="str">
        <x:v>2024_2026</x:v>
      </x:c>
      <x:c r="M25" s="48" t="str">
        <x:v>IC_FINAL_OR_DE_FACTO</x:v>
      </x:c>
      <x:c r="N25" s="48" t="str">
        <x:v>NO_OR_LIMITED</x:v>
      </x:c>
      <x:c r="O25" s="48" t="str">
        <x:v>SPONSOR_SELF_DESCRIBED</x:v>
      </x:c>
      <x:c r="P25" s="48" t="str">
        <x:v>NONE_IN_CURRENT_TIER_B_CENSUS</x:v>
      </x:c>
      <x:c r="Q25" s="48" t="str">
        <x:v>RedBird FS DDQ (Q4 2025).pdf</x:v>
      </x:c>
      <x:c r="R25" s="48" t="str">
        <x:v>Long-duration sector research and relationships -&gt; repeated senior-team thesis reviews over six to nine months -&gt; detailed diligence and specialist work -&gt; comprehensive final IC memorandum -&gt; final approval.</x:v>
      </x:c>
      <x:c r="S25" s="48" t="str">
        <x:v>No separately documented permission-to-spend gate.</x:v>
      </x:c>
      <x:c r="T25" s="48" t="str">
        <x:v>Offer authority is embedded in senior-team review; no named IOI/LOI gate is observable.</x:v>
      </x:c>
      <x:c r="U25" s="48" t="str">
        <x:v>Investment Committee.</x:v>
      </x:c>
      <x:c r="V25" s="48" t="str">
        <x:v>Majority approval, full consensus generally sought, with an individual veto held by the strategy head.</x:v>
      </x:c>
      <x:c r="W25" s="48" t="str">
        <x:v>No dedicated internal operating team; external Advisory Board members provide operating and sector support.</x:v>
      </x:c>
      <x:c r="X25" s="48" t="str">
        <x:v>No separate independent risk team.</x:v>
      </x:c>
      <x:c r="Y25" s="48" t="str">
        <x:v>Repeated senior reviews followed by a comprehensive final memorandum.</x:v>
      </x:c>
      <x:c r="Z25" s="48" t="str">
        <x:v>Deal team and Advisory Board continue monitoring and strategic support.</x:v>
      </x:c>
      <x:c r="AA25" s="48" t="str">
        <x:v>Specialized financial-services strategy; operating support is largely external rather than an internal team.</x:v>
      </x:c>
      <x:c r="AB25" s="48" t="str">
        <x:v>19</x:v>
      </x:c>
      <x:c r="AC25" s="48" t="str">
        <x:v>2</x:v>
      </x:c>
      <x:c r="AD25" s="48" t="str">
        <x:v>10</x:v>
      </x:c>
      <x:c r="AE25" s="48" t="str">
        <x:v>15</x:v>
      </x:c>
      <x:c r="AF25" s="48" t="str">
        <x:v>0</x:v>
      </x:c>
    </x:row>
    <x:row r="26">
      <x:c r="A26" s="48" t="str">
        <x:v>B_GOVERNANCE_SEGMENTATION</x:v>
      </x:c>
      <x:c r="B26" s="48" t="str">
        <x:v>Tier B v1.1 - N=29 rerun</x:v>
      </x:c>
      <x:c r="C26" s="48" t="str">
        <x:v>2026-07-16</x:v>
      </x:c>
      <x:c r="D26" s="48" t="str">
        <x:v>SILVER_LAKE_VII</x:v>
      </x:c>
      <x:c r="E26" s="48" t="str">
        <x:v>Silver Lake</x:v>
      </x:c>
      <x:c r="F26" s="48" t="str">
        <x:v>Silver Lake Partners VII</x:v>
      </x:c>
      <x:c r="G26" s="48" t="str">
        <x:v>Large-scale flagship; fund target not populated in DDQ cover sheet; clearly &gt;= $5bn archetype</x:v>
      </x:c>
      <x:c r="H26" s="48" t="str">
        <x:v>MEGA_GE_5B</x:v>
      </x:c>
      <x:c r="I26" s="48" t="str">
        <x:v>CONTROL_BUYOUT</x:v>
      </x:c>
      <x:c r="J26" s="48" t="str">
        <x:v>GLOBAL_TRANSATLANTIC</x:v>
      </x:c>
      <x:c r="K26" s="48" t="str">
        <x:v>2022</x:v>
      </x:c>
      <x:c r="L26" s="48" t="str">
        <x:v>2021_2023</x:v>
      </x:c>
      <x:c r="M26" s="48" t="str">
        <x:v>IC_FINAL_OR_DE_FACTO</x:v>
      </x:c>
      <x:c r="N26" s="48" t="str">
        <x:v>YES_DEDICATED</x:v>
      </x:c>
      <x:c r="O26" s="48" t="str">
        <x:v>SPONSOR_SELF_DESCRIBED</x:v>
      </x:c>
      <x:c r="P26" s="48" t="str">
        <x:v>NONE_IN_CURRENT_TIER_B_CENSUS</x:v>
      </x:c>
      <x:c r="Q26" s="48" t="str">
        <x:v>SLP VII ILPA DDQ_vF.pdf</x:v>
      </x:c>
      <x:c r="R26" s="48" t="str">
        <x:v>Domain-led sourcing and screening -&gt; comprehensive diligence and bottom-up operating model -&gt; repeated Investment Committee sessions -&gt; final IC decision on whether and under what conditions to commit -&gt; same investment team monitors through exit.</x:v>
      </x:c>
      <x:c r="S26" s="48" t="str">
        <x:v>Repeated IC review directs whether and how the team proceeds; a separately named permission-to-spend gate is not explicit.</x:v>
      </x:c>
      <x:c r="T26" s="48" t="str">
        <x:v>Not separately observable from the extracted process section.</x:v>
      </x:c>
      <x:c r="U26" s="48" t="str">
        <x:v>SLP VII Investment Committee decides whether to commit capital and under what conditions.</x:v>
      </x:c>
      <x:c r="V26" s="48" t="str">
        <x:v>Not observable in the extracted process section.</x:v>
      </x:c>
      <x:c r="W26" s="48" t="str">
        <x:v>Dedicated operating team participates in diligence; customer, vendor and expert work plus external financial, tax, legal and regulatory advisers are explicit.</x:v>
      </x:c>
      <x:c r="X26" s="48" t="str">
        <x:v>Repeated IC sessions and broad senior-professional participation provide challenge; a separate independent risk committee is not explicit.</x:v>
      </x:c>
      <x:c r="Y26" s="48" t="str">
        <x:v>Multiple IC presentations as the project progresses; no fixed named memo ladder was located.</x:v>
      </x:c>
      <x:c r="Z26" s="48" t="str">
        <x:v>The same investment team remains responsible throughout ownership to exit; follow-on investments require IC approval.</x:v>
      </x:c>
      <x:c r="AA26" s="48" t="str">
        <x:v>LATEST_LOCATED_MANAGER_DDQ_IN_THIS_PASS; process_section_access=FULL_TEXT_EXTRACTED; richness=HIGH. Added after DDQ universe reconciliation.</x:v>
      </x:c>
      <x:c r="AB26" s="48" t="str">
        <x:v>26</x:v>
      </x:c>
      <x:c r="AC26" s="48" t="str">
        <x:v>2</x:v>
      </x:c>
      <x:c r="AD26" s="48" t="str">
        <x:v>1</x:v>
      </x:c>
      <x:c r="AE26" s="48" t="str">
        <x:v>17</x:v>
      </x:c>
      <x:c r="AF26" s="48" t="str">
        <x:v>0</x:v>
      </x:c>
    </x:row>
    <x:row r="27">
      <x:c r="A27" s="48" t="str">
        <x:v>B_GOVERNANCE_SEGMENTATION</x:v>
      </x:c>
      <x:c r="B27" s="48" t="str">
        <x:v>Tier B v1.1 - N=29 rerun</x:v>
      </x:c>
      <x:c r="C27" s="48" t="str">
        <x:v>2026-07-16</x:v>
      </x:c>
      <x:c r="D27" s="48" t="str">
        <x:v>OAK_HILL_V</x:v>
      </x:c>
      <x:c r="E27" s="48" t="str">
        <x:v>Oak Hill Capital Partners</x:v>
      </x:c>
      <x:c r="F27" s="48" t="str">
        <x:v>Oak Hill Capital Partners V</x:v>
      </x:c>
      <x:c r="G27" s="48" t="str">
        <x:v>$3.0bn target</x:v>
      </x:c>
      <x:c r="H27" s="48" t="str">
        <x:v>LARGE_2_TO_LT_5B</x:v>
      </x:c>
      <x:c r="I27" s="48" t="str">
        <x:v>CONTROL_BUYOUT</x:v>
      </x:c>
      <x:c r="J27" s="48" t="str">
        <x:v>NORTH_AMERICA</x:v>
      </x:c>
      <x:c r="K27" s="48" t="str">
        <x:v>2018</x:v>
      </x:c>
      <x:c r="L27" s="48" t="str">
        <x:v>2018_2020</x:v>
      </x:c>
      <x:c r="M27" s="48" t="str">
        <x:v>IC_FINAL_OR_DE_FACTO</x:v>
      </x:c>
      <x:c r="N27" s="48" t="str">
        <x:v>YES_DEDICATED</x:v>
      </x:c>
      <x:c r="O27" s="48" t="str">
        <x:v>SPONSOR_SELF_DESCRIBED</x:v>
      </x:c>
      <x:c r="P27" s="48" t="str">
        <x:v>NONE_IN_CURRENT_TIER_B_CENSUS</x:v>
      </x:c>
      <x:c r="Q27" s="48" t="str">
        <x:v>OHCP V DDQ_October 2018.pdf</x:v>
      </x:c>
      <x:c r="R27" s="48" t="str">
        <x:v>Phase I opportunity and human-capital screen -&gt; Phase II comprehensive thesis/diligence plan and resource allocation -&gt; Phase III diligence, valuation, structure, scenarios and VCP -&gt; Phase IV management presentation -&gt; Phase V final terms -&gt; Phase VI early-ownership implementation review.</x:v>
      </x:c>
      <x:c r="S27" s="48" t="str">
        <x:v>Phase II explicitly determines further human-capital and financial-resource allocation.</x:v>
      </x:c>
      <x:c r="T27" s="48" t="str">
        <x:v>Valuation, structure and negotiation strategy are finalized at Phase III; final terms are updated at Phase V.</x:v>
      </x:c>
      <x:c r="U27" s="48" t="str">
        <x:v>Oak Hill Investment Committee approves all material investment decisions.</x:v>
      </x:c>
      <x:c r="V27" s="48" t="str">
        <x:v>Majority vote; decisions generally reached by consensus.</x:v>
      </x:c>
      <x:c r="W27" s="48" t="str">
        <x:v>In-house operating talent and functional experts participate in diligence and VCP development.</x:v>
      </x:c>
      <x:c r="X27" s="48" t="str">
        <x:v>Firm-wide discussion and multi-phase IC review; no separately independent risk body is explicit.</x:v>
      </x:c>
      <x:c r="Y27" s="48" t="str">
        <x:v>Six-phase process with progressively fuller materials and post-close implementation review.</x:v>
      </x:c>
      <x:c r="Z27" s="48" t="str">
        <x:v>IC retains authority over follow-ons, material acquisitions, capital structure, divestitures and exit.</x:v>
      </x:c>
      <x:c r="AA27" s="48" t="str">
        <x:v>LOCATED_MANAGER_DDQ; LATEST_VERSION_NOT_PROVEN; process_section_access=FULL_TEXT_EXTRACTED; richness=HIGH. Added after DDQ universe reconciliation.</x:v>
      </x:c>
      <x:c r="AB27" s="48" t="str">
        <x:v>30</x:v>
      </x:c>
      <x:c r="AC27" s="48" t="str">
        <x:v>2</x:v>
      </x:c>
      <x:c r="AD27" s="48" t="str">
        <x:v>5</x:v>
      </x:c>
      <x:c r="AE27" s="48" t="str">
        <x:v>9</x:v>
      </x:c>
      <x:c r="AF27" s="48" t="str">
        <x:v>0</x:v>
      </x:c>
    </x:row>
    <x:row r="28">
      <x:c r="A28" s="48" t="str">
        <x:v>B_GOVERNANCE_SEGMENTATION</x:v>
      </x:c>
      <x:c r="B28" s="48" t="str">
        <x:v>Tier B v1.1 - N=29 rerun</x:v>
      </x:c>
      <x:c r="C28" s="48" t="str">
        <x:v>2026-07-16</x:v>
      </x:c>
      <x:c r="D28" s="48" t="str">
        <x:v>LEE_EQUITY_III</x:v>
      </x:c>
      <x:c r="E28" s="48" t="str">
        <x:v>Lee Equity Partners</x:v>
      </x:c>
      <x:c r="F28" s="48" t="str">
        <x:v>Lee Equity Partners Fund III</x:v>
      </x:c>
      <x:c r="G28" s="48" t="str">
        <x:v>$700m target</x:v>
      </x:c>
      <x:c r="H28" s="48" t="str">
        <x:v>LOWER_MID_LT_2B</x:v>
      </x:c>
      <x:c r="I28" s="48" t="str">
        <x:v>CONTROL_BUYOUT</x:v>
      </x:c>
      <x:c r="J28" s="48" t="str">
        <x:v>NORTH_AMERICA</x:v>
      </x:c>
      <x:c r="K28" s="48" t="str">
        <x:v>2018</x:v>
      </x:c>
      <x:c r="L28" s="48" t="str">
        <x:v>2018_2020</x:v>
      </x:c>
      <x:c r="M28" s="48" t="str">
        <x:v>IC_FINAL_OR_DE_FACTO</x:v>
      </x:c>
      <x:c r="N28" s="48" t="str">
        <x:v>NO_OR_LIMITED</x:v>
      </x:c>
      <x:c r="O28" s="48" t="str">
        <x:v>SPONSOR_SELF_DESCRIBED</x:v>
      </x:c>
      <x:c r="P28" s="48" t="str">
        <x:v>NONE_IN_CURRENT_TIER_B_CENSUS</x:v>
      </x:c>
      <x:c r="Q28" s="48" t="str">
        <x:v>LEP_Fund III_Due Diligence Questionnaire (DDQ)_4Q18_FINALv2.pdf</x:v>
      </x:c>
      <x:c r="R28" s="48" t="str">
        <x:v>Thesis-led sourcing -&gt; first screen -&gt; preliminary IC -&gt; in-house commercial/strategic diligence with specialist workstreams -&gt; negotiated principal terms -&gt; formal final IC presentation and executive session -&gt; active ownership through the same investment professionals.</x:v>
      </x:c>
      <x:c r="S28" s="48" t="str">
        <x:v>Gating issues are identified early and the process advances through first-screen and preliminary-review stages; a separate adviser-budget gate is not explicit.</x:v>
      </x:c>
      <x:c r="T28" s="48" t="str">
        <x:v>Principal terms are negotiated before final IC; separate IOI/LOI authority is not clearly stated.</x:v>
      </x:c>
      <x:c r="U28" s="48" t="str">
        <x:v>Investment Committee makes final decisions to commit or invest capital.</x:v>
      </x:c>
      <x:c r="V28" s="48" t="str">
        <x:v>Majority vote; no individual veto.</x:v>
      </x:c>
      <x:c r="W28" s="48" t="str">
        <x:v>Strategy and operational capabilities sit primarily within the investment team and senior-adviser network rather than a separately dedicated operating team.</x:v>
      </x:c>
      <x:c r="X28" s="48" t="str">
        <x:v>Firm-wide weekly discussion and IC scrutiny; no separate independent risk function is explicit.</x:v>
      </x:c>
      <x:c r="Y28" s="48" t="str">
        <x:v>First screen, preliminary IC and final review; formal presentation at final stage.</x:v>
      </x:c>
      <x:c r="Z28" s="48" t="str">
        <x:v>Internal strategy and operations capabilities support post-close value creation and monitoring.</x:v>
      </x:c>
      <x:c r="AA28" s="48" t="str">
        <x:v>LOCATED_MANAGER_DDQ; LATEST_VERSION_NOT_PROVEN; process_section_access=FULL_TEXT_EXTRACTED; richness=HIGH. Added after DDQ universe reconciliation.</x:v>
      </x:c>
      <x:c r="AB28" s="48" t="str">
        <x:v>22</x:v>
      </x:c>
      <x:c r="AC28" s="48" t="str">
        <x:v>2</x:v>
      </x:c>
      <x:c r="AD28" s="48" t="str">
        <x:v>8</x:v>
      </x:c>
      <x:c r="AE28" s="48" t="str">
        <x:v>14</x:v>
      </x:c>
      <x:c r="AF28" s="48" t="str">
        <x:v>0</x:v>
      </x:c>
    </x:row>
    <x:row r="29">
      <x:c r="A29" s="48" t="str">
        <x:v>B_GOVERNANCE_SEGMENTATION</x:v>
      </x:c>
      <x:c r="B29" s="48" t="str">
        <x:v>Tier B v1.1 - N=29 rerun</x:v>
      </x:c>
      <x:c r="C29" s="48" t="str">
        <x:v>2026-07-16</x:v>
      </x:c>
      <x:c r="D29" s="48" t="str">
        <x:v>NAXICAP_NIO_III</x:v>
      </x:c>
      <x:c r="E29" s="48" t="str">
        <x:v>Naxicap Partners</x:v>
      </x:c>
      <x:c r="F29" s="48" t="str">
        <x:v>Naxicap Investment Opportunities III</x:v>
      </x:c>
      <x:c r="G29" s="48" t="str">
        <x:v>€1.2bn target</x:v>
      </x:c>
      <x:c r="H29" s="48" t="str">
        <x:v>LOWER_MID_LT_2B</x:v>
      </x:c>
      <x:c r="I29" s="48" t="str">
        <x:v>CONTROL_BUYOUT</x:v>
      </x:c>
      <x:c r="J29" s="48" t="str">
        <x:v>EUROPE</x:v>
      </x:c>
      <x:c r="K29" s="48" t="str">
        <x:v>2023</x:v>
      </x:c>
      <x:c r="L29" s="48" t="str">
        <x:v>2021_2023</x:v>
      </x:c>
      <x:c r="M29" s="48" t="str">
        <x:v>IC_FINAL_OR_DE_FACTO</x:v>
      </x:c>
      <x:c r="N29" s="48" t="str">
        <x:v>NO_OR_LIMITED</x:v>
      </x:c>
      <x:c r="O29" s="48" t="str">
        <x:v>SPONSOR_SELF_DESCRIBED</x:v>
      </x:c>
      <x:c r="P29" s="48" t="str">
        <x:v>NONE_IN_CURRENT_TIER_B_CENSUS</x:v>
      </x:c>
      <x:c r="Q29" s="48" t="str">
        <x:v>NIO III Due Diligence Questionnaire - May 2023.pdf</x:v>
      </x:c>
      <x:c r="R29" s="48" t="str">
        <x:v>Initial screen logged for bi-monthly IC -&gt; IC authorizes detailed review and forms deal team -&gt; preliminary report and possible expression of interest -&gt; detailed diligence with external advisers -&gt; interim reports and advisory-IC challenge -&gt; final report -&gt; formal IC approval -&gt; Middle Office/Risk/KYC sign-offs -&gt; payment approval and implementation.</x:v>
      </x:c>
      <x:c r="S29" s="48" t="str">
        <x:v>IC decision to progress the opportunity authorizes detailed diligence and formation of the dedicated deal team.</x:v>
      </x:c>
      <x:c r="T29" s="48" t="str">
        <x:v>Preliminary report enables the IC to authorize formal expression of interest.</x:v>
      </x:c>
      <x:c r="U29" s="48" t="str">
        <x:v>Naxicap Investment Committee is the formal final investment-decision body.</x:v>
      </x:c>
      <x:c r="V29" s="48" t="str">
        <x:v>Not clearly stated in the extracted process section.</x:v>
      </x:c>
      <x:c r="W29" s="48" t="str">
        <x:v>The named Operations Team is primarily risk, compliance, IR, finance, administration, data and ESG—not a dedicated portfolio-operations group; senior advisers provide operating expertise.</x:v>
      </x:c>
      <x:c r="X29" s="48" t="str">
        <x:v>External Advisory Investment Committee gives non-binding opinions; Middle Office and Risk/Compliance perform independent controls.</x:v>
      </x:c>
      <x:c r="Y29" s="48" t="str">
        <x:v>Preliminary report -&gt; interim reports -&gt; final report.</x:v>
      </x:c>
      <x:c r="Z29" s="48" t="str">
        <x:v>Value-creation opportunities are identified in diligence; ownership oversight is described elsewhere in the DDQ.</x:v>
      </x:c>
      <x:c r="AA29" s="48" t="str">
        <x:v>LATEST_LOCATED_MANAGER_DDQ; SUPERSEDES_NIO_II_2019; process_section_access=FULL_TEXT_EXTRACTED; richness=HIGH. Added after DDQ universe reconciliation.</x:v>
      </x:c>
      <x:c r="AB29" s="48" t="str">
        <x:v>26</x:v>
      </x:c>
      <x:c r="AC29" s="48" t="str">
        <x:v>2</x:v>
      </x:c>
      <x:c r="AD29" s="48" t="str">
        <x:v>3</x:v>
      </x:c>
      <x:c r="AE29" s="48" t="str">
        <x:v>15</x:v>
      </x:c>
      <x:c r="AF29" s="48" t="str">
        <x:v>0</x:v>
      </x:c>
    </x:row>
    <x:row r="30">
      <x:c r="A30" s="48" t="str">
        <x:v>B_GOVERNANCE_SEGMENTATION</x:v>
      </x:c>
      <x:c r="B30" s="48" t="str">
        <x:v>Tier B v1.1 - N=29 rerun</x:v>
      </x:c>
      <x:c r="C30" s="48" t="str">
        <x:v>2026-07-16</x:v>
      </x:c>
      <x:c r="D30" s="48" t="str">
        <x:v>MANNA_TREE_III</x:v>
      </x:c>
      <x:c r="E30" s="48" t="str">
        <x:v>Manna Tree Partners</x:v>
      </x:c>
      <x:c r="F30" s="48" t="str">
        <x:v>Manna Tree Fund III</x:v>
      </x:c>
      <x:c r="G30" s="48" t="str">
        <x:v>$500m target / $750m cap</x:v>
      </x:c>
      <x:c r="H30" s="48" t="str">
        <x:v>LOWER_MID_LT_2B</x:v>
      </x:c>
      <x:c r="I30" s="48" t="str">
        <x:v>GROWTH_CONTROL_HYBRID</x:v>
      </x:c>
      <x:c r="J30" s="48" t="str">
        <x:v>NORTH_AMERICA</x:v>
      </x:c>
      <x:c r="K30" s="48" t="str">
        <x:v>2025</x:v>
      </x:c>
      <x:c r="L30" s="48" t="str">
        <x:v>2024_2026</x:v>
      </x:c>
      <x:c r="M30" s="48" t="str">
        <x:v>IC_FINAL_OR_DE_FACTO</x:v>
      </x:c>
      <x:c r="N30" s="48" t="str">
        <x:v>NO_OR_LIMITED</x:v>
      </x:c>
      <x:c r="O30" s="48" t="str">
        <x:v>SPONSOR_SELF_DESCRIBED</x:v>
      </x:c>
      <x:c r="P30" s="48" t="str">
        <x:v>NONE_IN_CURRENT_TIER_B_CENSUS</x:v>
      </x:c>
      <x:c r="Q30" s="48" t="str">
        <x:v>Manna Tree Fund III DDQ - January 2025.pdf</x:v>
      </x:c>
      <x:c r="R30" s="48" t="str">
        <x:v>Deal Screen and preliminary IC discussion -&gt; IOI authorization -&gt; Phase 3 management meeting, model stress-testing and base/downside/upside cases -&gt; unanimous LOI approval -&gt; Phase 4 confirmatory QoE/tax/legal/human-capital/commercial/IT work -&gt; full investment memorandum -&gt; unanimous final funding approval.</x:v>
      </x:c>
      <x:c r="S30" s="48" t="str">
        <x:v>Phase progression and unanimous offer approvals constrain resource deployment; a separate adviser-budget vote is not explicit.</x:v>
      </x:c>
      <x:c r="T30" s="48" t="str">
        <x:v>Investment Committee unanimously approves IOI/LOI and final funding.</x:v>
      </x:c>
      <x:c r="U30" s="48" t="str">
        <x:v>Manna Tree Investment Committee.</x:v>
      </x:c>
      <x:c r="V30" s="48" t="str">
        <x:v>Unanimity at IOI, LOI and final approval.</x:v>
      </x:c>
      <x:c r="W30" s="48" t="str">
        <x:v>No dedicated operations team is explicitly disclosed; investment professionals, operating executives, advisers and board members provide support.</x:v>
      </x:c>
      <x:c r="X30" s="48" t="str">
        <x:v>IC challenge and external specialist work; no separate independent risk body is explicit.</x:v>
      </x:c>
      <x:c r="Y30" s="48" t="str">
        <x:v>Deal Screen -&gt; executive summary/LOI package -&gt; full confirmatory investment memorandum.</x:v>
      </x:c>
      <x:c r="Z30" s="48" t="str">
        <x:v>Board representation, portfolio tracking and value-creation work continue after close.</x:v>
      </x:c>
      <x:c r="AA30" s="48" t="str">
        <x:v>LATEST_LOCATED_MANAGER_DDQ_IN_THIS_PASS; process_section_access=FULL_TEXT_EXTRACTED; richness=HIGH. Added after DDQ universe reconciliation.</x:v>
      </x:c>
      <x:c r="AB30" s="48" t="str">
        <x:v>31</x:v>
      </x:c>
      <x:c r="AC30" s="48" t="str">
        <x:v>4</x:v>
      </x:c>
      <x:c r="AD30" s="48" t="str">
        <x:v>7</x:v>
      </x:c>
      <x:c r="AE30" s="48" t="str">
        <x:v>6</x:v>
      </x:c>
      <x:c r="AF30" s="48" t="str">
        <x:v>0</x:v>
      </x:c>
    </x:row>
  </x:sheetData>
  <x:pageMargins left="0.7" right="0.7" top="0.75" bottom="0.75" header="0.3" footer="0.3"/>
  <x:tableParts count="1">
    <x:tablePart xmlns:r="http://schemas.openxmlformats.org/officeDocument/2006/relationships" r:id="Rbd47e41ab6cb44c5"/>
  </x:tableParts>
</x:worksheet>
</file>

<file path=xl/worksheets/sheet10.xml><?xml version="1.0" encoding="utf-8"?>
<x:worksheet xmlns:x="http://schemas.openxmlformats.org/spreadsheetml/2006/main">
  <x:sheetFormatPr defaultRowHeight="15"/>
  <x:cols>
    <x:col min="1" max="1" width="14" hidden="0" customWidth="1"/>
    <x:col min="2" max="2" width="18" hidden="0" customWidth="1"/>
    <x:col min="3" max="3" width="16" hidden="0" customWidth="1"/>
    <x:col min="4" max="4" width="16" hidden="0" customWidth="1"/>
    <x:col min="5" max="5" width="16" hidden="0" customWidth="1"/>
    <x:col min="6" max="6" width="16" hidden="0" customWidth="1"/>
    <x:col min="7" max="7" width="16" hidden="0" customWidth="1"/>
  </x:cols>
  <x:sheetData>
    <x:row r="1">
      <x:c r="A1" s="42" t="str">
        <x:v>tier</x:v>
      </x:c>
      <x:c r="B1" s="42" t="str">
        <x:v>version</x:v>
      </x:c>
      <x:c r="C1" s="42" t="str">
        <x:v>metric</x:v>
      </x:c>
      <x:c r="D1" s="42" t="str">
        <x:v>value</x:v>
      </x:c>
      <x:c r="E1" s="42" t="str">
        <x:v>denominator</x:v>
      </x:c>
      <x:c r="F1" s="42" t="str">
        <x:v>percentage</x:v>
      </x:c>
      <x:c r="G1" s="42" t="str">
        <x:v>note</x:v>
      </x:c>
    </x:row>
    <x:row r="2">
      <x:c r="A2" s="48" t="str">
        <x:v>B_GOVERNANCE_SEGMENTATION</x:v>
      </x:c>
      <x:c r="B2" s="48" t="str">
        <x:v>Tier B v1.1 - N=29 rerun</x:v>
      </x:c>
      <x:c r="C2" s="48" t="str">
        <x:v>manager_families</x:v>
      </x:c>
      <x:c r="D2" s="48" t="str">
        <x:v>29</x:v>
      </x:c>
      <x:c r="E2" s="48" t="str">
        <x:v>29</x:v>
      </x:c>
      <x:c r="F2" s="48" t="str">
        <x:v>100.0%</x:v>
      </x:c>
      <x:c r="G2" s="48" t="str">
        <x:v>All primary N=29 observations are sponsor self-described DDQ or equivalent process sources.</x:v>
      </x:c>
    </x:row>
    <x:row r="3">
      <x:c r="A3" s="48" t="str">
        <x:v>B_GOVERNANCE_SEGMENTATION</x:v>
      </x:c>
      <x:c r="B3" s="48" t="str">
        <x:v>Tier B v1.1 - N=29 rerun</x:v>
      </x:c>
      <x:c r="C3" s="48" t="str">
        <x:v>matrix_cells</x:v>
      </x:c>
      <x:c r="D3" s="48" t="str">
        <x:v>1276</x:v>
      </x:c>
      <x:c r="E3" s="48" t="str">
        <x:v>1276</x:v>
      </x:c>
      <x:c r="F3" s="48" t="str">
        <x:v>100.0%</x:v>
      </x:c>
      <x:c r="G3" s="48" t="str">
        <x:v>44 features x 29 manager families.</x:v>
      </x:c>
    </x:row>
    <x:row r="4">
      <x:c r="A4" s="48" t="str">
        <x:v>B_GOVERNANCE_SEGMENTATION</x:v>
      </x:c>
      <x:c r="B4" s="48" t="str">
        <x:v>Tier B v1.1 - N=29 rerun</x:v>
      </x:c>
      <x:c r="C4" s="48" t="str">
        <x:v>present_explicit</x:v>
      </x:c>
      <x:c r="D4" s="48" t="str">
        <x:v>726</x:v>
      </x:c>
      <x:c r="E4" s="48" t="str">
        <x:v>1276</x:v>
      </x:c>
      <x:c r="F4" s="48" t="str">
        <x:v>56.9%</x:v>
      </x:c>
      <x:c r="G4" s="48" t="str"/>
    </x:row>
    <x:row r="5">
      <x:c r="A5" s="48" t="str">
        <x:v>B_GOVERNANCE_SEGMENTATION</x:v>
      </x:c>
      <x:c r="B5" s="48" t="str">
        <x:v>Tier B v1.1 - N=29 rerun</x:v>
      </x:c>
      <x:c r="C5" s="48" t="str">
        <x:v>present_conditional</x:v>
      </x:c>
      <x:c r="D5" s="48" t="str">
        <x:v>114</x:v>
      </x:c>
      <x:c r="E5" s="48" t="str">
        <x:v>1276</x:v>
      </x:c>
      <x:c r="F5" s="48" t="str">
        <x:v>8.9%</x:v>
      </x:c>
      <x:c r="G5" s="48" t="str"/>
    </x:row>
    <x:row r="6">
      <x:c r="A6" s="48" t="str">
        <x:v>B_GOVERNANCE_SEGMENTATION</x:v>
      </x:c>
      <x:c r="B6" s="48" t="str">
        <x:v>Tier B v1.1 - N=29 rerun</x:v>
      </x:c>
      <x:c r="C6" s="48" t="str">
        <x:v>explicit_absent</x:v>
      </x:c>
      <x:c r="D6" s="48" t="str">
        <x:v>135</x:v>
      </x:c>
      <x:c r="E6" s="48" t="str">
        <x:v>1276</x:v>
      </x:c>
      <x:c r="F6" s="48" t="str">
        <x:v>10.6%</x:v>
      </x:c>
      <x:c r="G6" s="48" t="str"/>
    </x:row>
    <x:row r="7">
      <x:c r="A7" s="48" t="str">
        <x:v>B_GOVERNANCE_SEGMENTATION</x:v>
      </x:c>
      <x:c r="B7" s="48" t="str">
        <x:v>Tier B v1.1 - N=29 rerun</x:v>
      </x:c>
      <x:c r="C7" s="48" t="str">
        <x:v>not_observable</x:v>
      </x:c>
      <x:c r="D7" s="48" t="str">
        <x:v>299</x:v>
      </x:c>
      <x:c r="E7" s="48" t="str">
        <x:v>1276</x:v>
      </x:c>
      <x:c r="F7" s="48" t="str">
        <x:v>23.4%</x:v>
      </x:c>
      <x:c r="G7" s="48" t="str"/>
    </x:row>
    <x:row r="8">
      <x:c r="A8" s="48" t="str">
        <x:v>B_GOVERNANCE_SEGMENTATION</x:v>
      </x:c>
      <x:c r="B8" s="48" t="str">
        <x:v>Tier B v1.1 - N=29 rerun</x:v>
      </x:c>
      <x:c r="C8" s="48" t="str">
        <x:v>ambiguous</x:v>
      </x:c>
      <x:c r="D8" s="48" t="str">
        <x:v>2</x:v>
      </x:c>
      <x:c r="E8" s="48" t="str">
        <x:v>1276</x:v>
      </x:c>
      <x:c r="F8" s="48" t="str">
        <x:v>0.2%</x:v>
      </x:c>
      <x:c r="G8" s="48" t="str"/>
    </x:row>
    <x:row r="9">
      <x:c r="A9" s="48" t="str">
        <x:v>B_GOVERNANCE_SEGMENTATION</x:v>
      </x:c>
      <x:c r="B9" s="48" t="str">
        <x:v>Tier B v1.1 - N=29 rerun</x:v>
      </x:c>
      <x:c r="C9" s="48" t="str">
        <x:v>not_applicable</x:v>
      </x:c>
      <x:c r="D9" s="48" t="str">
        <x:v>0</x:v>
      </x:c>
      <x:c r="E9" s="48" t="str">
        <x:v>1276</x:v>
      </x:c>
      <x:c r="F9" s="48" t="str">
        <x:v>0.0%</x:v>
      </x:c>
      <x:c r="G9" s="48" t="str"/>
    </x:row>
    <x:row r="10">
      <x:c r="A10" s="48" t="str">
        <x:v>B_GOVERNANCE_SEGMENTATION</x:v>
      </x:c>
      <x:c r="B10" s="48" t="str">
        <x:v>Tier B v1.1 - N=29 rerun</x:v>
      </x:c>
      <x:c r="C10" s="48" t="str">
        <x:v>sponsor_self_described_manager_families</x:v>
      </x:c>
      <x:c r="D10" s="48" t="str">
        <x:v>29</x:v>
      </x:c>
      <x:c r="E10" s="48" t="str">
        <x:v>29</x:v>
      </x:c>
      <x:c r="F10" s="48" t="str">
        <x:v>100.0%</x:v>
      </x:c>
      <x:c r="G10" s="48" t="str">
        <x:v>Primary evidence class for Tier B manager-family matrix.</x:v>
      </x:c>
    </x:row>
    <x:row r="11">
      <x:c r="A11" s="48" t="str">
        <x:v>B_GOVERNANCE_SEGMENTATION</x:v>
      </x:c>
      <x:c r="B11" s="48" t="str">
        <x:v>Tier B v1.1 - N=29 rerun</x:v>
      </x:c>
      <x:c r="C11" s="48" t="str">
        <x:v>sponsor_behavioural_crosschecked_manager_families</x:v>
      </x:c>
      <x:c r="D11" s="48" t="str">
        <x:v>1</x:v>
      </x:c>
      <x:c r="E11" s="48" t="str">
        <x:v>29</x:v>
      </x:c>
      <x:c r="F11" s="48" t="str">
        <x:v>3.4%</x:v>
      </x:c>
      <x:c r="G11" s="48" t="str">
        <x:v>One manager family has a limited sponsor-authored deal cross-check; deal identity is withheld and the cross-check does not validate every feature.</x:v>
      </x:c>
    </x:row>
    <x:row r="12">
      <x:c r="A12" s="48" t="str">
        <x:v>B_GOVERNANCE_SEGMENTATION</x:v>
      </x:c>
      <x:c r="B12" s="48" t="str">
        <x:v>Tier B v1.1 - N=29 rerun</x:v>
      </x:c>
      <x:c r="C12" s="48" t="str">
        <x:v>co_investor_behavioural_manager_families</x:v>
      </x:c>
      <x:c r="D12" s="48" t="str">
        <x:v>0</x:v>
      </x:c>
      <x:c r="E12" s="48" t="str">
        <x:v>29</x:v>
      </x:c>
      <x:c r="F12" s="48" t="str">
        <x:v>0.0%</x:v>
      </x:c>
      <x:c r="G12" s="48" t="str">
        <x:v>CO_INVESTOR behavioural evidence is not the manager-family evidence base for Tier B.</x:v>
      </x:c>
    </x:row>
  </x:sheetData>
  <x:pageMargins left="0.7" right="0.7" top="0.75" bottom="0.75" header="0.3" footer="0.3"/>
  <x:tableParts count="1">
    <x:tablePart xmlns:r="http://schemas.openxmlformats.org/officeDocument/2006/relationships" r:id="R9d73f49ba59e4126"/>
  </x:tableParts>
</x:worksheet>
</file>

<file path=xl/worksheets/sheet11.xml><?xml version="1.0" encoding="utf-8"?>
<x:worksheet xmlns:x="http://schemas.openxmlformats.org/spreadsheetml/2006/main">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26" hidden="0" customWidth="1"/>
    <x:col min="26" max="26" width="26" hidden="0" customWidth="1"/>
    <x:col min="27" max="27" width="26" hidden="0" customWidth="1"/>
    <x:col min="28" max="28" width="26" hidden="0" customWidth="1"/>
    <x:col min="29" max="29" width="26" hidden="0" customWidth="1"/>
  </x:cols>
  <x:sheetData>
    <x:row r="1">
      <x:c r="A1" s="42" t="str">
        <x:v>inventory_version</x:v>
      </x:c>
      <x:c r="B1" s="42" t="str">
        <x:v>as_of_date</x:v>
      </x:c>
      <x:c r="C1" s="42" t="str">
        <x:v>inventory_completeness</x:v>
      </x:c>
      <x:c r="D1" s="42" t="str">
        <x:v>manager_family_id</x:v>
      </x:c>
      <x:c r="E1" s="42" t="str">
        <x:v>manager_family</x:v>
      </x:c>
      <x:c r="F1" s="42" t="str">
        <x:v>vehicle</x:v>
      </x:c>
      <x:c r="G1" s="42" t="str">
        <x:v>manager_status</x:v>
      </x:c>
      <x:c r="H1" s="42" t="str">
        <x:v>tier_b_status</x:v>
      </x:c>
      <x:c r="I1" s="42" t="str">
        <x:v>fund_size_reported</x:v>
      </x:c>
      <x:c r="J1" s="42" t="str">
        <x:v>fund_size_archetype</x:v>
      </x:c>
      <x:c r="K1" s="42" t="str">
        <x:v>strategy</x:v>
      </x:c>
      <x:c r="L1" s="42" t="str">
        <x:v>geography</x:v>
      </x:c>
      <x:c r="M1" s="42" t="str">
        <x:v>source_year</x:v>
      </x:c>
      <x:c r="N1" s="42" t="str">
        <x:v>source_vintage_bin</x:v>
      </x:c>
      <x:c r="O1" s="42" t="str">
        <x:v>governance_architecture</x:v>
      </x:c>
      <x:c r="P1" s="42" t="str">
        <x:v>dedicated_operating_team</x:v>
      </x:c>
      <x:c r="Q1" s="42" t="str">
        <x:v>primary_evidence_class</x:v>
      </x:c>
      <x:c r="R1" s="42" t="str">
        <x:v>ddq_files_found_lower_bound</x:v>
      </x:c>
      <x:c r="S1" s="42" t="str">
        <x:v>selected_source_file</x:v>
      </x:c>
      <x:c r="T1" s="42" t="str">
        <x:v>selected_source_url</x:v>
      </x:c>
      <x:c r="U1" s="42" t="str">
        <x:v>version_status</x:v>
      </x:c>
      <x:c r="V1" s="42" t="str">
        <x:v>process_section_access</x:v>
      </x:c>
      <x:c r="W1" s="42" t="str">
        <x:v>process_section_richness</x:v>
      </x:c>
      <x:c r="X1" s="42" t="str">
        <x:v>process_features_observable_or_coded</x:v>
      </x:c>
      <x:c r="Y1" s="42" t="str">
        <x:v>reason_included_or_excluded</x:v>
      </x:c>
      <x:c r="Z1" s="42" t="str">
        <x:v>n_impact_if_added</x:v>
      </x:c>
      <x:c r="AA1" s="42" t="str">
        <x:v>threshold_impact</x:v>
      </x:c>
      <x:c r="AB1" s="42" t="str">
        <x:v>extraction_priority</x:v>
      </x:c>
      <x:c r="AC1" s="42" t="str">
        <x:v>audit_note</x:v>
      </x:c>
    </x:row>
    <x:row r="2">
      <x:c r="A2" s="48" t="str">
        <x:v>DDQ Universe Reconciliation v1.1 / Tier B N=29</x:v>
      </x:c>
      <x:c r="B2" s="48" t="str">
        <x:v>2026-07-16</x:v>
      </x:c>
      <x:c r="C2" s="48" t="str">
        <x:v>LOWER_BOUND_NOT_RECURSIVE_COMPLETE</x:v>
      </x:c>
      <x:c r="D2" s="48" t="str">
        <x:v>BLACKSTONE_ASIA_III</x:v>
      </x:c>
      <x:c r="E2" s="48" t="str">
        <x:v>Blackstone Capital Partners Asia III</x:v>
      </x:c>
      <x:c r="F2" s="48" t="str">
        <x:v>Blackstone Capital Partners Asia III</x:v>
      </x:c>
      <x:c r="G2" s="48" t="str">
        <x:v>PRIMARY_IN_SCOPE</x:v>
      </x:c>
      <x:c r="H2" s="48" t="str">
        <x:v>INCLUDED_TIER_B_V1</x:v>
      </x:c>
      <x:c r="I2" s="48" t="str">
        <x:v>Approximately $10bn+ target/cap context</x:v>
      </x:c>
      <x:c r="J2" s="48" t="str">
        <x:v>MEGA_GE_5B</x:v>
      </x:c>
      <x:c r="K2" s="48" t="str">
        <x:v>CONTROL_BUYOUT</x:v>
      </x:c>
      <x:c r="L2" s="48" t="str">
        <x:v>ASIA_PACIFIC</x:v>
      </x:c>
      <x:c r="M2" s="48" t="str">
        <x:v>2024</x:v>
      </x:c>
      <x:c r="N2" s="48" t="str">
        <x:v>2024_2026</x:v>
      </x:c>
      <x:c r="O2" s="48" t="str">
        <x:v>IC_FINAL_OR_DE_FACTO</x:v>
      </x:c>
      <x:c r="P2" s="48" t="str">
        <x:v>YES_DEDICATED</x:v>
      </x:c>
      <x:c r="Q2" s="48" t="str">
        <x:v>SPONSOR_SELF_DESCRIBED</x:v>
      </x:c>
      <x:c r="R2" s="48" t="str">
        <x:v>1</x:v>
      </x:c>
      <x:c r="S2" s="48" t="str">
        <x:v>BCP Asia III_ILPA-DDQ.pdf</x:v>
      </x:c>
      <x:c r="T2" s="48" t="str"/>
      <x:c r="U2" s="48" t="str">
        <x:v>SELECTED_SOURCE_USED_IN_TIER_B; LATEST_VERSION_NOT_REVALIDATED_IN_THIS_PASS</x:v>
      </x:c>
      <x:c r="V2" s="48" t="str">
        <x:v>EXTRACT_USED_IN_TIER_B</x:v>
      </x:c>
      <x:c r="W2" s="48" t="str">
        <x:v>HIGH</x:v>
      </x:c>
      <x:c r="X2" s="48" t="str">
        <x:v>31</x:v>
      </x:c>
      <x:c r="Y2" s="48" t="str">
        <x:v>Included in the original 24-family primary matrix.</x:v>
      </x:c>
      <x:c r="Z2" s="48" t="str">
        <x:v>ALREADY_INCLUDED</x:v>
      </x:c>
      <x:c r="AA2" s="48" t="str">
        <x:v>NONE</x:v>
      </x:c>
      <x:c r="AB2" s="48" t="str">
        <x:v>NO_REEXTRACTION_PER_SCOPE</x:v>
      </x:c>
      <x:c r="AC2" s="48" t="str">
        <x:v>Detailed on functions and gates; voting threshold and closing-release mechanics are not clearly observable.</x:v>
      </x:c>
    </x:row>
    <x:row r="3">
      <x:c r="A3" s="48" t="str">
        <x:v>DDQ Universe Reconciliation v1.1 / Tier B N=29</x:v>
      </x:c>
      <x:c r="B3" s="48" t="str">
        <x:v>2026-07-16</x:v>
      </x:c>
      <x:c r="C3" s="48" t="str">
        <x:v>LOWER_BOUND_NOT_RECURSIVE_COMPLETE</x:v>
      </x:c>
      <x:c r="D3" s="48" t="str">
        <x:v>TPG_ASIA_VIII</x:v>
      </x:c>
      <x:c r="E3" s="48" t="str">
        <x:v>TPG Asia VIII</x:v>
      </x:c>
      <x:c r="F3" s="48" t="str">
        <x:v>TPG Asia VIII</x:v>
      </x:c>
      <x:c r="G3" s="48" t="str">
        <x:v>PRIMARY_IN_SCOPE</x:v>
      </x:c>
      <x:c r="H3" s="48" t="str">
        <x:v>INCLUDED_TIER_B_V1</x:v>
      </x:c>
      <x:c r="I3" s="48" t="str">
        <x:v>$6.0bn target / approximately $6.5bn cap context</x:v>
      </x:c>
      <x:c r="J3" s="48" t="str">
        <x:v>MEGA_GE_5B</x:v>
      </x:c>
      <x:c r="K3" s="48" t="str">
        <x:v>CONTROL_BUYOUT</x:v>
      </x:c>
      <x:c r="L3" s="48" t="str">
        <x:v>ASIA_PACIFIC</x:v>
      </x:c>
      <x:c r="M3" s="48" t="str">
        <x:v>2021</x:v>
      </x:c>
      <x:c r="N3" s="48" t="str">
        <x:v>2021_2023</x:v>
      </x:c>
      <x:c r="O3" s="48" t="str">
        <x:v>IC_FINAL_OR_DE_FACTO</x:v>
      </x:c>
      <x:c r="P3" s="48" t="str">
        <x:v>YES_DEDICATED</x:v>
      </x:c>
      <x:c r="Q3" s="48" t="str">
        <x:v>SPONSOR_SELF_DESCRIBED</x:v>
      </x:c>
      <x:c r="R3" s="48" t="str">
        <x:v>1</x:v>
      </x:c>
      <x:c r="S3" s="48" t="str">
        <x:v>ILPA_Due_Diligence_Questionnaire (TPG Asia VIII)_vF.pdf</x:v>
      </x:c>
      <x:c r="T3" s="48" t="str"/>
      <x:c r="U3" s="48" t="str">
        <x:v>SELECTED_SOURCE_USED_IN_TIER_B; LATEST_VERSION_NOT_REVALIDATED_IN_THIS_PASS</x:v>
      </x:c>
      <x:c r="V3" s="48" t="str">
        <x:v>EXTRACT_USED_IN_TIER_B</x:v>
      </x:c>
      <x:c r="W3" s="48" t="str">
        <x:v>HIGH</x:v>
      </x:c>
      <x:c r="X3" s="48" t="str">
        <x:v>42</x:v>
      </x:c>
      <x:c r="Y3" s="48" t="str">
        <x:v>Included in the original 24-family primary matrix.</x:v>
      </x:c>
      <x:c r="Z3" s="48" t="str">
        <x:v>ALREADY_INCLUDED</x:v>
      </x:c>
      <x:c r="AA3" s="48" t="str">
        <x:v>NONE</x:v>
      </x:c>
      <x:c r="AB3" s="48" t="str">
        <x:v>NO_REEXTRACTION_PER_SCOPE</x:v>
      </x:c>
      <x:c r="AC3" s="48" t="str">
        <x:v>Very detailed process source; exact legal closing-release mechanics remain less explicit.</x:v>
      </x:c>
    </x:row>
    <x:row r="4">
      <x:c r="A4" s="48" t="str">
        <x:v>DDQ Universe Reconciliation v1.1 / Tier B N=29</x:v>
      </x:c>
      <x:c r="B4" s="48" t="str">
        <x:v>2026-07-16</x:v>
      </x:c>
      <x:c r="C4" s="48" t="str">
        <x:v>LOWER_BOUND_NOT_RECURSIVE_COMPLETE</x:v>
      </x:c>
      <x:c r="D4" s="48" t="str">
        <x:v>CVC_ASIA_V</x:v>
      </x:c>
      <x:c r="E4" s="48" t="str">
        <x:v>CVC Capital Partners Asia V</x:v>
      </x:c>
      <x:c r="F4" s="48" t="str">
        <x:v>CVC Capital Partners Asia V</x:v>
      </x:c>
      <x:c r="G4" s="48" t="str">
        <x:v>PRIMARY_IN_SCOPE</x:v>
      </x:c>
      <x:c r="H4" s="48" t="str">
        <x:v>INCLUDED_TIER_B_V1</x:v>
      </x:c>
      <x:c r="I4" s="48" t="str">
        <x:v>Approximately $4bn target context</x:v>
      </x:c>
      <x:c r="J4" s="48" t="str">
        <x:v>LARGE_2_TO_LT_5B</x:v>
      </x:c>
      <x:c r="K4" s="48" t="str">
        <x:v>CONTROL_BUYOUT</x:v>
      </x:c>
      <x:c r="L4" s="48" t="str">
        <x:v>ASIA_PACIFIC</x:v>
      </x:c>
      <x:c r="M4" s="48" t="str">
        <x:v>2018</x:v>
      </x:c>
      <x:c r="N4" s="48" t="str">
        <x:v>2018_2020</x:v>
      </x:c>
      <x:c r="O4" s="48" t="str">
        <x:v>IC_RECOMMENDS_SEPARATE_FINAL_AUTHORITY</x:v>
      </x:c>
      <x:c r="P4" s="48" t="str">
        <x:v>YES_DEDICATED</x:v>
      </x:c>
      <x:c r="Q4" s="48" t="str">
        <x:v>SPONSOR_SELF_DESCRIBED</x:v>
      </x:c>
      <x:c r="R4" s="48" t="str">
        <x:v>1</x:v>
      </x:c>
      <x:c r="S4" s="48" t="str">
        <x:v>CVC Asia V Due Diligence Information Package.pdf</x:v>
      </x:c>
      <x:c r="T4" s="48" t="str"/>
      <x:c r="U4" s="48" t="str">
        <x:v>SELECTED_SOURCE_USED_IN_TIER_B; LATEST_VERSION_NOT_REVALIDATED_IN_THIS_PASS</x:v>
      </x:c>
      <x:c r="V4" s="48" t="str">
        <x:v>EXTRACT_USED_IN_TIER_B</x:v>
      </x:c>
      <x:c r="W4" s="48" t="str">
        <x:v>HIGH</x:v>
      </x:c>
      <x:c r="X4" s="48" t="str">
        <x:v>41</x:v>
      </x:c>
      <x:c r="Y4" s="48" t="str">
        <x:v>Included in the original 24-family primary matrix.</x:v>
      </x:c>
      <x:c r="Z4" s="48" t="str">
        <x:v>ALREADY_INCLUDED</x:v>
      </x:c>
      <x:c r="AA4" s="48" t="str">
        <x:v>NONE</x:v>
      </x:c>
      <x:c r="AB4" s="48" t="str">
        <x:v>NO_REEXTRACTION_PER_SCOPE</x:v>
      </x:c>
      <x:c r="AC4" s="48" t="str">
        <x:v>Historical 2018 source; strong detail, but current CVC governance may have evolved.</x:v>
      </x:c>
    </x:row>
    <x:row r="5">
      <x:c r="A5" s="48" t="str">
        <x:v>DDQ Universe Reconciliation v1.1 / Tier B N=29</x:v>
      </x:c>
      <x:c r="B5" s="48" t="str">
        <x:v>2026-07-16</x:v>
      </x:c>
      <x:c r="C5" s="48" t="str">
        <x:v>LOWER_BOUND_NOT_RECURSIVE_COMPLETE</x:v>
      </x:c>
      <x:c r="D5" s="48" t="str">
        <x:v>PERMIRA_VII</x:v>
      </x:c>
      <x:c r="E5" s="48" t="str">
        <x:v>Permira VII</x:v>
      </x:c>
      <x:c r="F5" s="48" t="str">
        <x:v>Permira VII</x:v>
      </x:c>
      <x:c r="G5" s="48" t="str">
        <x:v>PRIMARY_IN_SCOPE</x:v>
      </x:c>
      <x:c r="H5" s="48" t="str">
        <x:v>INCLUDED_TIER_B_V1</x:v>
      </x:c>
      <x:c r="I5" s="48" t="str">
        <x:v>€10bn target</x:v>
      </x:c>
      <x:c r="J5" s="48" t="str">
        <x:v>MEGA_GE_5B</x:v>
      </x:c>
      <x:c r="K5" s="48" t="str">
        <x:v>CONTROL_BUYOUT</x:v>
      </x:c>
      <x:c r="L5" s="48" t="str">
        <x:v>GLOBAL_TRANSATLANTIC</x:v>
      </x:c>
      <x:c r="M5" s="48" t="str">
        <x:v>2019</x:v>
      </x:c>
      <x:c r="N5" s="48" t="str">
        <x:v>2018_2020</x:v>
      </x:c>
      <x:c r="O5" s="48" t="str">
        <x:v>IC_RECOMMENDS_SEPARATE_FINAL_AUTHORITY</x:v>
      </x:c>
      <x:c r="P5" s="48" t="str">
        <x:v>YES_DEDICATED</x:v>
      </x:c>
      <x:c r="Q5" s="48" t="str">
        <x:v>SPONSOR_SELF_DESCRIBED</x:v>
      </x:c>
      <x:c r="R5" s="48" t="str">
        <x:v>1</x:v>
      </x:c>
      <x:c r="S5" s="48" t="str">
        <x:v>Permira VII DDQ_7 Feb 2019.pdf</x:v>
      </x:c>
      <x:c r="T5" s="48" t="str"/>
      <x:c r="U5" s="48" t="str">
        <x:v>SELECTED_SOURCE_USED_IN_TIER_B; LATEST_VERSION_NOT_REVALIDATED_IN_THIS_PASS</x:v>
      </x:c>
      <x:c r="V5" s="48" t="str">
        <x:v>EXTRACT_USED_IN_TIER_B</x:v>
      </x:c>
      <x:c r="W5" s="48" t="str">
        <x:v>HIGH</x:v>
      </x:c>
      <x:c r="X5" s="48" t="str">
        <x:v>42</x:v>
      </x:c>
      <x:c r="Y5" s="48" t="str">
        <x:v>Included in the original 24-family primary matrix.</x:v>
      </x:c>
      <x:c r="Z5" s="48" t="str">
        <x:v>ALREADY_INCLUDED</x:v>
      </x:c>
      <x:c r="AA5" s="48" t="str">
        <x:v>NONE</x:v>
      </x:c>
      <x:c r="AB5" s="48" t="str">
        <x:v>NO_REEXTRACTION_PER_SCOPE</x:v>
      </x:c>
      <x:c r="AC5" s="48" t="str">
        <x:v>Historical 2019 fund source; very strong on memo lineage and authority split.</x:v>
      </x:c>
    </x:row>
    <x:row r="6">
      <x:c r="A6" s="48" t="str">
        <x:v>DDQ Universe Reconciliation v1.1 / Tier B N=29</x:v>
      </x:c>
      <x:c r="B6" s="48" t="str">
        <x:v>2026-07-16</x:v>
      </x:c>
      <x:c r="C6" s="48" t="str">
        <x:v>LOWER_BOUND_NOT_RECURSIVE_COMPLETE</x:v>
      </x:c>
      <x:c r="D6" s="48" t="str">
        <x:v>BC_PARTNERS_XI</x:v>
      </x:c>
      <x:c r="E6" s="48" t="str">
        <x:v>BC Partners Fund XI</x:v>
      </x:c>
      <x:c r="F6" s="48" t="str">
        <x:v>BC Partners Fund XI</x:v>
      </x:c>
      <x:c r="G6" s="48" t="str">
        <x:v>PRIMARY_IN_SCOPE</x:v>
      </x:c>
      <x:c r="H6" s="48" t="str">
        <x:v>INCLUDED_TIER_B_V1</x:v>
      </x:c>
      <x:c r="I6" s="48" t="str">
        <x:v>€7bn notional fund-size context</x:v>
      </x:c>
      <x:c r="J6" s="48" t="str">
        <x:v>MEGA_GE_5B</x:v>
      </x:c>
      <x:c r="K6" s="48" t="str">
        <x:v>CONTROL_BUYOUT</x:v>
      </x:c>
      <x:c r="L6" s="48" t="str">
        <x:v>GLOBAL_TRANSATLANTIC</x:v>
      </x:c>
      <x:c r="M6" s="48" t="str">
        <x:v>2021</x:v>
      </x:c>
      <x:c r="N6" s="48" t="str">
        <x:v>2021_2023</x:v>
      </x:c>
      <x:c r="O6" s="48" t="str">
        <x:v>IC_FINAL_OR_DE_FACTO</x:v>
      </x:c>
      <x:c r="P6" s="48" t="str">
        <x:v>YES_DEDICATED</x:v>
      </x:c>
      <x:c r="Q6" s="48" t="str">
        <x:v>SPONSOR_SELF_DESCRIBED</x:v>
      </x:c>
      <x:c r="R6" s="48" t="str">
        <x:v>1</x:v>
      </x:c>
      <x:c r="S6" s="48" t="str">
        <x:v>BC Fund XI DDQ_30 June 2021- vF-Addendum.pdf</x:v>
      </x:c>
      <x:c r="T6" s="48" t="str"/>
      <x:c r="U6" s="48" t="str">
        <x:v>SELECTED_SOURCE_USED_IN_TIER_B; LATEST_VERSION_NOT_REVALIDATED_IN_THIS_PASS</x:v>
      </x:c>
      <x:c r="V6" s="48" t="str">
        <x:v>EXTRACT_USED_IN_TIER_B</x:v>
      </x:c>
      <x:c r="W6" s="48" t="str">
        <x:v>HIGH</x:v>
      </x:c>
      <x:c r="X6" s="48" t="str">
        <x:v>42</x:v>
      </x:c>
      <x:c r="Y6" s="48" t="str">
        <x:v>Included in the original 24-family primary matrix.</x:v>
      </x:c>
      <x:c r="Z6" s="48" t="str">
        <x:v>ALREADY_INCLUDED</x:v>
      </x:c>
      <x:c r="AA6" s="48" t="str">
        <x:v>NONE</x:v>
      </x:c>
      <x:c r="AB6" s="48" t="str">
        <x:v>NO_REEXTRACTION_PER_SCOPE</x:v>
      </x:c>
      <x:c r="AC6" s="48" t="str">
        <x:v>Process is explicit; exact division between analytical approval and legal execution is less clear.</x:v>
      </x:c>
    </x:row>
    <x:row r="7">
      <x:c r="A7" s="48" t="str">
        <x:v>DDQ Universe Reconciliation v1.1 / Tier B N=29</x:v>
      </x:c>
      <x:c r="B7" s="48" t="str">
        <x:v>2026-07-16</x:v>
      </x:c>
      <x:c r="C7" s="48" t="str">
        <x:v>LOWER_BOUND_NOT_RECURSIVE_COMPLETE</x:v>
      </x:c>
      <x:c r="D7" s="48" t="str">
        <x:v>BROOKFIELD_BCP_VII</x:v>
      </x:c>
      <x:c r="E7" s="48" t="str">
        <x:v>Brookfield Capital Partners VII</x:v>
      </x:c>
      <x:c r="F7" s="48" t="str">
        <x:v>Brookfield Capital Partners VII</x:v>
      </x:c>
      <x:c r="G7" s="48" t="str">
        <x:v>PRIMARY_IN_SCOPE</x:v>
      </x:c>
      <x:c r="H7" s="48" t="str">
        <x:v>INCLUDED_TIER_B_V1</x:v>
      </x:c>
      <x:c r="I7" s="48" t="str">
        <x:v>$12.5bn target context</x:v>
      </x:c>
      <x:c r="J7" s="48" t="str">
        <x:v>MEGA_GE_5B</x:v>
      </x:c>
      <x:c r="K7" s="48" t="str">
        <x:v>CONTROL_BUYOUT</x:v>
      </x:c>
      <x:c r="L7" s="48" t="str">
        <x:v>GLOBAL_TRANSATLANTIC</x:v>
      </x:c>
      <x:c r="M7" s="48" t="str">
        <x:v>2025</x:v>
      </x:c>
      <x:c r="N7" s="48" t="str">
        <x:v>2024_2026</x:v>
      </x:c>
      <x:c r="O7" s="48" t="str">
        <x:v>IC_FINAL_OR_DE_FACTO</x:v>
      </x:c>
      <x:c r="P7" s="48" t="str">
        <x:v>YES_DEDICATED</x:v>
      </x:c>
      <x:c r="Q7" s="48" t="str">
        <x:v>SPONSOR_SELF_DESCRIBED</x:v>
      </x:c>
      <x:c r="R7" s="48" t="str">
        <x:v>1</x:v>
      </x:c>
      <x:c r="S7" s="48" t="str">
        <x:v>BCP VII_BAM_BCP VII_Standard DDQ (ILPA)_vF.pdf</x:v>
      </x:c>
      <x:c r="T7" s="48" t="str"/>
      <x:c r="U7" s="48" t="str">
        <x:v>SELECTED_SOURCE_USED_IN_TIER_B; LATEST_VERSION_NOT_REVALIDATED_IN_THIS_PASS</x:v>
      </x:c>
      <x:c r="V7" s="48" t="str">
        <x:v>EXTRACT_USED_IN_TIER_B</x:v>
      </x:c>
      <x:c r="W7" s="48" t="str">
        <x:v>HIGH</x:v>
      </x:c>
      <x:c r="X7" s="48" t="str">
        <x:v>37</x:v>
      </x:c>
      <x:c r="Y7" s="48" t="str">
        <x:v>Included in the original 24-family primary matrix.</x:v>
      </x:c>
      <x:c r="Z7" s="48" t="str">
        <x:v>ALREADY_INCLUDED</x:v>
      </x:c>
      <x:c r="AA7" s="48" t="str">
        <x:v>NONE</x:v>
      </x:c>
      <x:c r="AB7" s="48" t="str">
        <x:v>NO_REEXTRACTION_PER_SCOPE</x:v>
      </x:c>
      <x:c r="AC7" s="48" t="str">
        <x:v>Strong on two principal gates; less granular than several other DDQs on memo revisions.</x:v>
      </x:c>
    </x:row>
    <x:row r="8">
      <x:c r="A8" s="48" t="str">
        <x:v>DDQ Universe Reconciliation v1.1 / Tier B N=29</x:v>
      </x:c>
      <x:c r="B8" s="48" t="str">
        <x:v>2026-07-16</x:v>
      </x:c>
      <x:c r="C8" s="48" t="str">
        <x:v>LOWER_BOUND_NOT_RECURSIVE_COMPLETE</x:v>
      </x:c>
      <x:c r="D8" s="48" t="str">
        <x:v>PROVIDENCE_IX</x:v>
      </x:c>
      <x:c r="E8" s="48" t="str">
        <x:v>Providence Equity Partners IX</x:v>
      </x:c>
      <x:c r="F8" s="48" t="str">
        <x:v>Providence Equity Partners IX</x:v>
      </x:c>
      <x:c r="G8" s="48" t="str">
        <x:v>PRIMARY_IN_SCOPE</x:v>
      </x:c>
      <x:c r="H8" s="48" t="str">
        <x:v>INCLUDED_TIER_B_V1</x:v>
      </x:c>
      <x:c r="I8" s="48" t="str">
        <x:v>$6bn target</x:v>
      </x:c>
      <x:c r="J8" s="48" t="str">
        <x:v>MEGA_GE_5B</x:v>
      </x:c>
      <x:c r="K8" s="48" t="str">
        <x:v>CONTROL_BUYOUT</x:v>
      </x:c>
      <x:c r="L8" s="48" t="str">
        <x:v>GLOBAL_TRANSATLANTIC</x:v>
      </x:c>
      <x:c r="M8" s="48" t="str">
        <x:v>2021</x:v>
      </x:c>
      <x:c r="N8" s="48" t="str">
        <x:v>2021_2023</x:v>
      </x:c>
      <x:c r="O8" s="48" t="str">
        <x:v>IC_FINAL_OR_DE_FACTO</x:v>
      </x:c>
      <x:c r="P8" s="48" t="str">
        <x:v>YES_DEDICATED</x:v>
      </x:c>
      <x:c r="Q8" s="48" t="str">
        <x:v>SPONSOR_SELF_DESCRIBED</x:v>
      </x:c>
      <x:c r="R8" s="48" t="str">
        <x:v>1</x:v>
      </x:c>
      <x:c r="S8" s="48" t="str">
        <x:v>3. Providence IX Due Diligence Questionnaire.pdf</x:v>
      </x:c>
      <x:c r="T8" s="48" t="str"/>
      <x:c r="U8" s="48" t="str">
        <x:v>SELECTED_SOURCE_USED_IN_TIER_B; LATEST_VERSION_NOT_REVALIDATED_IN_THIS_PASS</x:v>
      </x:c>
      <x:c r="V8" s="48" t="str">
        <x:v>EXTRACT_USED_IN_TIER_B</x:v>
      </x:c>
      <x:c r="W8" s="48" t="str">
        <x:v>HIGH</x:v>
      </x:c>
      <x:c r="X8" s="48" t="str">
        <x:v>37</x:v>
      </x:c>
      <x:c r="Y8" s="48" t="str">
        <x:v>Included in the original 24-family primary matrix.</x:v>
      </x:c>
      <x:c r="Z8" s="48" t="str">
        <x:v>ALREADY_INCLUDED</x:v>
      </x:c>
      <x:c r="AA8" s="48" t="str">
        <x:v>NONE</x:v>
      </x:c>
      <x:c r="AB8" s="48" t="str">
        <x:v>NO_REEXTRACTION_PER_SCOPE</x:v>
      </x:c>
      <x:c r="AC8" s="48" t="str">
        <x:v>Detailed on workstreams and repeated reviews; less explicit on offer and adviser-spend authority.</x:v>
      </x:c>
    </x:row>
    <x:row r="9">
      <x:c r="A9" s="48" t="str">
        <x:v>DDQ Universe Reconciliation v1.1 / Tier B N=29</x:v>
      </x:c>
      <x:c r="B9" s="48" t="str">
        <x:v>2026-07-16</x:v>
      </x:c>
      <x:c r="C9" s="48" t="str">
        <x:v>LOWER_BOUND_NOT_RECURSIVE_COMPLETE</x:v>
      </x:c>
      <x:c r="D9" s="48" t="str">
        <x:v>ONEX_PARTNERS_VI</x:v>
      </x:c>
      <x:c r="E9" s="48" t="str">
        <x:v>Onex Partners VI</x:v>
      </x:c>
      <x:c r="F9" s="48" t="str">
        <x:v>Onex Partners VI</x:v>
      </x:c>
      <x:c r="G9" s="48" t="str">
        <x:v>PRIMARY_IN_SCOPE</x:v>
      </x:c>
      <x:c r="H9" s="48" t="str">
        <x:v>INCLUDED_TIER_B_V1</x:v>
      </x:c>
      <x:c r="I9" s="48" t="str">
        <x:v>$8bn target context</x:v>
      </x:c>
      <x:c r="J9" s="48" t="str">
        <x:v>MEGA_GE_5B</x:v>
      </x:c>
      <x:c r="K9" s="48" t="str">
        <x:v>CONTROL_BUYOUT</x:v>
      </x:c>
      <x:c r="L9" s="48" t="str">
        <x:v>GLOBAL_TRANSATLANTIC</x:v>
      </x:c>
      <x:c r="M9" s="48" t="str">
        <x:v>2023</x:v>
      </x:c>
      <x:c r="N9" s="48" t="str">
        <x:v>2021_2023</x:v>
      </x:c>
      <x:c r="O9" s="48" t="str">
        <x:v>IC_FINAL_OR_DE_FACTO</x:v>
      </x:c>
      <x:c r="P9" s="48" t="str">
        <x:v>YES_DEDICATED</x:v>
      </x:c>
      <x:c r="Q9" s="48" t="str">
        <x:v>SPONSOR_SELF_DESCRIBED</x:v>
      </x:c>
      <x:c r="R9" s="48" t="str">
        <x:v>1</x:v>
      </x:c>
      <x:c r="S9" s="48" t="str">
        <x:v>Onex Partners VI - Due Diligence Questionnaire (Q3 2022).pdf</x:v>
      </x:c>
      <x:c r="T9" s="48" t="str"/>
      <x:c r="U9" s="48" t="str">
        <x:v>SELECTED_SOURCE_USED_IN_TIER_B; LATEST_VERSION_NOT_REVALIDATED_IN_THIS_PASS</x:v>
      </x:c>
      <x:c r="V9" s="48" t="str">
        <x:v>EXTRACT_USED_IN_TIER_B</x:v>
      </x:c>
      <x:c r="W9" s="48" t="str">
        <x:v>HIGH</x:v>
      </x:c>
      <x:c r="X9" s="48" t="str">
        <x:v>38</x:v>
      </x:c>
      <x:c r="Y9" s="48" t="str">
        <x:v>Included in the original 24-family primary matrix.</x:v>
      </x:c>
      <x:c r="Z9" s="48" t="str">
        <x:v>ALREADY_INCLUDED</x:v>
      </x:c>
      <x:c r="AA9" s="48" t="str">
        <x:v>NONE</x:v>
      </x:c>
      <x:c r="AB9" s="48" t="str">
        <x:v>NO_REEXTRACTION_PER_SCOPE</x:v>
      </x:c>
      <x:c r="AC9" s="48" t="str">
        <x:v>Detailed process description; behavioural evidence is reported only at aggregate corpus level.</x:v>
      </x:c>
    </x:row>
    <x:row r="10">
      <x:c r="A10" s="48" t="str">
        <x:v>DDQ Universe Reconciliation v1.1 / Tier B N=29</x:v>
      </x:c>
      <x:c r="B10" s="48" t="str">
        <x:v>2026-07-16</x:v>
      </x:c>
      <x:c r="C10" s="48" t="str">
        <x:v>LOWER_BOUND_NOT_RECURSIVE_COMPLETE</x:v>
      </x:c>
      <x:c r="D10" s="48" t="str">
        <x:v>PARTNERS_GROUP_DE_V</x:v>
      </x:c>
      <x:c r="E10" s="48" t="str">
        <x:v>Partners Group Direct Equity V</x:v>
      </x:c>
      <x:c r="F10" s="48" t="str">
        <x:v>Partners Group Direct Equity V Program</x:v>
      </x:c>
      <x:c r="G10" s="48" t="str">
        <x:v>PRIMARY_IN_SCOPE</x:v>
      </x:c>
      <x:c r="H10" s="48" t="str">
        <x:v>INCLUDED_TIER_B_V1</x:v>
      </x:c>
      <x:c r="I10" s="48" t="str">
        <x:v>$5bn target</x:v>
      </x:c>
      <x:c r="J10" s="48" t="str">
        <x:v>MEGA_GE_5B</x:v>
      </x:c>
      <x:c r="K10" s="48" t="str">
        <x:v>CONTROL_BUYOUT</x:v>
      </x:c>
      <x:c r="L10" s="48" t="str">
        <x:v>GLOBAL_TRANSATLANTIC</x:v>
      </x:c>
      <x:c r="M10" s="48" t="str">
        <x:v>2023</x:v>
      </x:c>
      <x:c r="N10" s="48" t="str">
        <x:v>2021_2023</x:v>
      </x:c>
      <x:c r="O10" s="48" t="str">
        <x:v>IC_FINAL_OR_DE_FACTO</x:v>
      </x:c>
      <x:c r="P10" s="48" t="str">
        <x:v>YES_DEDICATED</x:v>
      </x:c>
      <x:c r="Q10" s="48" t="str">
        <x:v>SPONSOR_SELF_DESCRIBED</x:v>
      </x:c>
      <x:c r="R10" s="48" t="str">
        <x:v>1</x:v>
      </x:c>
      <x:c r="S10" s="48" t="str">
        <x:v>ILPA_DDQ - Non US.pdf</x:v>
      </x:c>
      <x:c r="T10" s="48" t="str"/>
      <x:c r="U10" s="48" t="str">
        <x:v>SELECTED_SOURCE_USED_IN_TIER_B; LATEST_VERSION_NOT_REVALIDATED_IN_THIS_PASS</x:v>
      </x:c>
      <x:c r="V10" s="48" t="str">
        <x:v>EXTRACT_USED_IN_TIER_B</x:v>
      </x:c>
      <x:c r="W10" s="48" t="str">
        <x:v>HIGH</x:v>
      </x:c>
      <x:c r="X10" s="48" t="str">
        <x:v>40</x:v>
      </x:c>
      <x:c r="Y10" s="48" t="str">
        <x:v>Included in the original 24-family primary matrix.</x:v>
      </x:c>
      <x:c r="Z10" s="48" t="str">
        <x:v>ALREADY_INCLUDED</x:v>
      </x:c>
      <x:c r="AA10" s="48" t="str">
        <x:v>NONE</x:v>
      </x:c>
      <x:c r="AB10" s="48" t="str">
        <x:v>NO_REEXTRACTION_PER_SCOPE</x:v>
      </x:c>
      <x:c r="AC10" s="48" t="str">
        <x:v>Highly detailed; some committee-threshold detail remains stage-specific rather than uniform.</x:v>
      </x:c>
    </x:row>
    <x:row r="11">
      <x:c r="A11" s="48" t="str">
        <x:v>DDQ Universe Reconciliation v1.1 / Tier B N=29</x:v>
      </x:c>
      <x:c r="B11" s="48" t="str">
        <x:v>2026-07-16</x:v>
      </x:c>
      <x:c r="C11" s="48" t="str">
        <x:v>LOWER_BOUND_NOT_RECURSIVE_COMPLETE</x:v>
      </x:c>
      <x:c r="D11" s="48" t="str">
        <x:v>GENERAL_ATLANTIC_2025</x:v>
      </x:c>
      <x:c r="E11" s="48" t="str">
        <x:v>General Atlantic Core Program</x:v>
      </x:c>
      <x:c r="F11" s="48" t="str">
        <x:v>General Atlantic Investment Partners 2025</x:v>
      </x:c>
      <x:c r="G11" s="48" t="str">
        <x:v>PRIMARY_IN_SCOPE</x:v>
      </x:c>
      <x:c r="H11" s="48" t="str">
        <x:v>INCLUDED_TIER_B_V1</x:v>
      </x:c>
      <x:c r="I11" s="48" t="str">
        <x:v>$8bn program context</x:v>
      </x:c>
      <x:c r="J11" s="48" t="str">
        <x:v>MEGA_GE_5B</x:v>
      </x:c>
      <x:c r="K11" s="48" t="str">
        <x:v>GROWTH_CONTROL_HYBRID</x:v>
      </x:c>
      <x:c r="L11" s="48" t="str">
        <x:v>GLOBAL_TRANSATLANTIC</x:v>
      </x:c>
      <x:c r="M11" s="48" t="str">
        <x:v>2024</x:v>
      </x:c>
      <x:c r="N11" s="48" t="str">
        <x:v>2024_2026</x:v>
      </x:c>
      <x:c r="O11" s="48" t="str">
        <x:v>IC_FINAL_OR_DE_FACTO</x:v>
      </x:c>
      <x:c r="P11" s="48" t="str">
        <x:v>YES_DEDICATED</x:v>
      </x:c>
      <x:c r="Q11" s="48" t="str">
        <x:v>SPONSOR_SELF_DESCRIBED</x:v>
      </x:c>
      <x:c r="R11" s="48" t="str">
        <x:v>1</x:v>
      </x:c>
      <x:c r="S11" s="48" t="str">
        <x:v>3.1 - General Atlantic ILPA DDQ (October 2024).pdf</x:v>
      </x:c>
      <x:c r="T11" s="48" t="str"/>
      <x:c r="U11" s="48" t="str">
        <x:v>SELECTED_SOURCE_USED_IN_TIER_B; LATEST_VERSION_NOT_REVALIDATED_IN_THIS_PASS</x:v>
      </x:c>
      <x:c r="V11" s="48" t="str">
        <x:v>EXTRACT_USED_IN_TIER_B</x:v>
      </x:c>
      <x:c r="W11" s="48" t="str">
        <x:v>HIGH</x:v>
      </x:c>
      <x:c r="X11" s="48" t="str">
        <x:v>42</x:v>
      </x:c>
      <x:c r="Y11" s="48" t="str">
        <x:v>Included in the original 24-family primary matrix.</x:v>
      </x:c>
      <x:c r="Z11" s="48" t="str">
        <x:v>ALREADY_INCLUDED</x:v>
      </x:c>
      <x:c r="AA11" s="48" t="str">
        <x:v>NONE</x:v>
      </x:c>
      <x:c r="AB11" s="48" t="str">
        <x:v>NO_REEXTRACTION_PER_SCOPE</x:v>
      </x:c>
      <x:c r="AC11" s="48" t="str">
        <x:v>Strong process detail; source spans growth and control-oriented investments, so some features are conditional on transaction type.</x:v>
      </x:c>
    </x:row>
    <x:row r="12">
      <x:c r="A12" s="48" t="str">
        <x:v>DDQ Universe Reconciliation v1.1 / Tier B N=29</x:v>
      </x:c>
      <x:c r="B12" s="48" t="str">
        <x:v>2026-07-16</x:v>
      </x:c>
      <x:c r="C12" s="48" t="str">
        <x:v>LOWER_BOUND_NOT_RECURSIVE_COMPLETE</x:v>
      </x:c>
      <x:c r="D12" s="48" t="str">
        <x:v>KOHLBERG_IX</x:v>
      </x:c>
      <x:c r="E12" s="48" t="str">
        <x:v>Kohlberg &amp; Company Fund IX</x:v>
      </x:c>
      <x:c r="F12" s="48" t="str">
        <x:v>Kohlberg Investors IX</x:v>
      </x:c>
      <x:c r="G12" s="48" t="str">
        <x:v>PRIMARY_IN_SCOPE</x:v>
      </x:c>
      <x:c r="H12" s="48" t="str">
        <x:v>INCLUDED_TIER_B_V1</x:v>
      </x:c>
      <x:c r="I12" s="48" t="str">
        <x:v>$3bn target/cap</x:v>
      </x:c>
      <x:c r="J12" s="48" t="str">
        <x:v>LARGE_2_TO_LT_5B</x:v>
      </x:c>
      <x:c r="K12" s="48" t="str">
        <x:v>CONTROL_BUYOUT</x:v>
      </x:c>
      <x:c r="L12" s="48" t="str">
        <x:v>NORTH_AMERICA</x:v>
      </x:c>
      <x:c r="M12" s="48" t="str">
        <x:v>2019</x:v>
      </x:c>
      <x:c r="N12" s="48" t="str">
        <x:v>2018_2020</x:v>
      </x:c>
      <x:c r="O12" s="48" t="str">
        <x:v>IC_FINAL_OR_DE_FACTO</x:v>
      </x:c>
      <x:c r="P12" s="48" t="str">
        <x:v>YES_DEDICATED</x:v>
      </x:c>
      <x:c r="Q12" s="48" t="str">
        <x:v>SPONSOR_SELF_DESCRIBED</x:v>
      </x:c>
      <x:c r="R12" s="48" t="str">
        <x:v>1</x:v>
      </x:c>
      <x:c r="S12" s="48" t="str">
        <x:v>2.2.1.1 Kohlberg &amp; Company_ILPA_Due_Diligence_Questionnaire.pdf</x:v>
      </x:c>
      <x:c r="T12" s="48" t="str"/>
      <x:c r="U12" s="48" t="str">
        <x:v>SELECTED_SOURCE_USED_IN_TIER_B; LATEST_VERSION_NOT_REVALIDATED_IN_THIS_PASS</x:v>
      </x:c>
      <x:c r="V12" s="48" t="str">
        <x:v>EXTRACT_USED_IN_TIER_B</x:v>
      </x:c>
      <x:c r="W12" s="48" t="str">
        <x:v>HIGH</x:v>
      </x:c>
      <x:c r="X12" s="48" t="str">
        <x:v>39</x:v>
      </x:c>
      <x:c r="Y12" s="48" t="str">
        <x:v>Included in the original 24-family primary matrix.</x:v>
      </x:c>
      <x:c r="Z12" s="48" t="str">
        <x:v>ALREADY_INCLUDED</x:v>
      </x:c>
      <x:c r="AA12" s="48" t="str">
        <x:v>NONE</x:v>
      </x:c>
      <x:c r="AB12" s="48" t="str">
        <x:v>NO_REEXTRACTION_PER_SCOPE</x:v>
      </x:c>
      <x:c r="AC12" s="48" t="str">
        <x:v>Historical 2019 source; highly useful for exclusivity timing and operating-team integration.</x:v>
      </x:c>
    </x:row>
    <x:row r="13">
      <x:c r="A13" s="48" t="str">
        <x:v>DDQ Universe Reconciliation v1.1 / Tier B N=29</x:v>
      </x:c>
      <x:c r="B13" s="48" t="str">
        <x:v>2026-07-16</x:v>
      </x:c>
      <x:c r="C13" s="48" t="str">
        <x:v>LOWER_BOUND_NOT_RECURSIVE_COMPLETE</x:v>
      </x:c>
      <x:c r="D13" s="48" t="str">
        <x:v>CHARLESBANK_XI</x:v>
      </x:c>
      <x:c r="E13" s="48" t="str">
        <x:v>Charlesbank Capital Partners Fund XI</x:v>
      </x:c>
      <x:c r="F13" s="48" t="str">
        <x:v>Charlesbank Fund XI</x:v>
      </x:c>
      <x:c r="G13" s="48" t="str">
        <x:v>PRIMARY_IN_SCOPE</x:v>
      </x:c>
      <x:c r="H13" s="48" t="str">
        <x:v>INCLUDED_TIER_B_V1</x:v>
      </x:c>
      <x:c r="I13" s="48" t="str">
        <x:v>$4bn target context</x:v>
      </x:c>
      <x:c r="J13" s="48" t="str">
        <x:v>LARGE_2_TO_LT_5B</x:v>
      </x:c>
      <x:c r="K13" s="48" t="str">
        <x:v>CONTROL_BUYOUT</x:v>
      </x:c>
      <x:c r="L13" s="48" t="str">
        <x:v>NORTH_AMERICA</x:v>
      </x:c>
      <x:c r="M13" s="48" t="str">
        <x:v>2025</x:v>
      </x:c>
      <x:c r="N13" s="48" t="str">
        <x:v>2024_2026</x:v>
      </x:c>
      <x:c r="O13" s="48" t="str">
        <x:v>IC_FINAL_OR_DE_FACTO</x:v>
      </x:c>
      <x:c r="P13" s="48" t="str">
        <x:v>YES_DEDICATED</x:v>
      </x:c>
      <x:c r="Q13" s="48" t="str">
        <x:v>SPONSOR_SELF_DESCRIBED</x:v>
      </x:c>
      <x:c r="R13" s="48" t="str">
        <x:v>1</x:v>
      </x:c>
      <x:c r="S13" s="48" t="str">
        <x:v>Charlesbank Capital Partners - Fund XI - ILPA DDQ January 2025.pdf</x:v>
      </x:c>
      <x:c r="T13" s="48" t="str"/>
      <x:c r="U13" s="48" t="str">
        <x:v>SELECTED_SOURCE_USED_IN_TIER_B; LATEST_VERSION_NOT_REVALIDATED_IN_THIS_PASS</x:v>
      </x:c>
      <x:c r="V13" s="48" t="str">
        <x:v>EXTRACT_USED_IN_TIER_B</x:v>
      </x:c>
      <x:c r="W13" s="48" t="str">
        <x:v>HIGH</x:v>
      </x:c>
      <x:c r="X13" s="48" t="str">
        <x:v>37</x:v>
      </x:c>
      <x:c r="Y13" s="48" t="str">
        <x:v>Included in the original 24-family primary matrix.</x:v>
      </x:c>
      <x:c r="Z13" s="48" t="str">
        <x:v>ALREADY_INCLUDED</x:v>
      </x:c>
      <x:c r="AA13" s="48" t="str">
        <x:v>NONE</x:v>
      </x:c>
      <x:c r="AB13" s="48" t="str">
        <x:v>NO_REEXTRACTION_PER_SCOPE</x:v>
      </x:c>
      <x:c r="AC13" s="48" t="str">
        <x:v>Strong on iterative governance; less explicit on formal IOI/LOI and closing-release authority.</x:v>
      </x:c>
    </x:row>
    <x:row r="14">
      <x:c r="A14" s="48" t="str">
        <x:v>DDQ Universe Reconciliation v1.1 / Tier B N=29</x:v>
      </x:c>
      <x:c r="B14" s="48" t="str">
        <x:v>2026-07-16</x:v>
      </x:c>
      <x:c r="C14" s="48" t="str">
        <x:v>LOWER_BOUND_NOT_RECURSIVE_COMPLETE</x:v>
      </x:c>
      <x:c r="D14" s="48" t="str">
        <x:v>GRIDIRON_VI</x:v>
      </x:c>
      <x:c r="E14" s="48" t="str">
        <x:v>Gridiron Capital Fund VI</x:v>
      </x:c>
      <x:c r="F14" s="48" t="str">
        <x:v>Gridiron Capital Fund VI</x:v>
      </x:c>
      <x:c r="G14" s="48" t="str">
        <x:v>PRIMARY_IN_SCOPE</x:v>
      </x:c>
      <x:c r="H14" s="48" t="str">
        <x:v>INCLUDED_TIER_B_V1</x:v>
      </x:c>
      <x:c r="I14" s="48" t="str">
        <x:v>$2.5bn target context</x:v>
      </x:c>
      <x:c r="J14" s="48" t="str">
        <x:v>LARGE_2_TO_LT_5B</x:v>
      </x:c>
      <x:c r="K14" s="48" t="str">
        <x:v>CONTROL_BUYOUT</x:v>
      </x:c>
      <x:c r="L14" s="48" t="str">
        <x:v>NORTH_AMERICA</x:v>
      </x:c>
      <x:c r="M14" s="48" t="str">
        <x:v>2025</x:v>
      </x:c>
      <x:c r="N14" s="48" t="str">
        <x:v>2024_2026</x:v>
      </x:c>
      <x:c r="O14" s="48" t="str">
        <x:v>IC_FINAL_OR_DE_FACTO</x:v>
      </x:c>
      <x:c r="P14" s="48" t="str">
        <x:v>YES_DEDICATED</x:v>
      </x:c>
      <x:c r="Q14" s="48" t="str">
        <x:v>SPONSOR_SELF_DESCRIBED</x:v>
      </x:c>
      <x:c r="R14" s="48" t="str">
        <x:v>1</x:v>
      </x:c>
      <x:c r="S14" s="48" t="str">
        <x:v>Gridiron ILPA Due Diligence Questionnaire November 2025.pdf</x:v>
      </x:c>
      <x:c r="T14" s="48" t="str"/>
      <x:c r="U14" s="48" t="str">
        <x:v>SELECTED_SOURCE_USED_IN_TIER_B; LATEST_VERSION_NOT_REVALIDATED_IN_THIS_PASS</x:v>
      </x:c>
      <x:c r="V14" s="48" t="str">
        <x:v>EXTRACT_USED_IN_TIER_B</x:v>
      </x:c>
      <x:c r="W14" s="48" t="str">
        <x:v>HIGH</x:v>
      </x:c>
      <x:c r="X14" s="48" t="str">
        <x:v>39</x:v>
      </x:c>
      <x:c r="Y14" s="48" t="str">
        <x:v>Included in the original 24-family primary matrix.</x:v>
      </x:c>
      <x:c r="Z14" s="48" t="str">
        <x:v>ALREADY_INCLUDED</x:v>
      </x:c>
      <x:c r="AA14" s="48" t="str">
        <x:v>NONE</x:v>
      </x:c>
      <x:c r="AB14" s="48" t="str">
        <x:v>NO_REEXTRACTION_PER_SCOPE</x:v>
      </x:c>
      <x:c r="AC14" s="48" t="str">
        <x:v>Strong on gating and document progression; less explicit on closing-release mechanics.</x:v>
      </x:c>
    </x:row>
    <x:row r="15">
      <x:c r="A15" s="48" t="str">
        <x:v>DDQ Universe Reconciliation v1.1 / Tier B N=29</x:v>
      </x:c>
      <x:c r="B15" s="48" t="str">
        <x:v>2026-07-16</x:v>
      </x:c>
      <x:c r="C15" s="48" t="str">
        <x:v>LOWER_BOUND_NOT_RECURSIVE_COMPLETE</x:v>
      </x:c>
      <x:c r="D15" s="48" t="str">
        <x:v>WARREN_V</x:v>
      </x:c>
      <x:c r="E15" s="48" t="str">
        <x:v>Warren Equity Partners Fund V</x:v>
      </x:c>
      <x:c r="F15" s="48" t="str">
        <x:v>Warren Equity Partners Fund V</x:v>
      </x:c>
      <x:c r="G15" s="48" t="str">
        <x:v>PRIMARY_IN_SCOPE</x:v>
      </x:c>
      <x:c r="H15" s="48" t="str">
        <x:v>INCLUDED_TIER_B_V1</x:v>
      </x:c>
      <x:c r="I15" s="48" t="str">
        <x:v>$2.25bn target context</x:v>
      </x:c>
      <x:c r="J15" s="48" t="str">
        <x:v>LARGE_2_TO_LT_5B</x:v>
      </x:c>
      <x:c r="K15" s="48" t="str">
        <x:v>CONTROL_BUYOUT</x:v>
      </x:c>
      <x:c r="L15" s="48" t="str">
        <x:v>NORTH_AMERICA</x:v>
      </x:c>
      <x:c r="M15" s="48" t="str">
        <x:v>2025</x:v>
      </x:c>
      <x:c r="N15" s="48" t="str">
        <x:v>2024_2026</x:v>
      </x:c>
      <x:c r="O15" s="48" t="str">
        <x:v>IC_FINAL_OR_DE_FACTO</x:v>
      </x:c>
      <x:c r="P15" s="48" t="str">
        <x:v>YES_DEDICATED</x:v>
      </x:c>
      <x:c r="Q15" s="48" t="str">
        <x:v>SPONSOR_SELF_DESCRIBED</x:v>
      </x:c>
      <x:c r="R15" s="48" t="str">
        <x:v>1</x:v>
      </x:c>
      <x:c r="S15" s="48" t="str">
        <x:v>Warren Equity Partners Fund V - DDQ - February 2025.pdf</x:v>
      </x:c>
      <x:c r="T15" s="48" t="str"/>
      <x:c r="U15" s="48" t="str">
        <x:v>SELECTED_SOURCE_USED_IN_TIER_B; LATEST_VERSION_NOT_REVALIDATED_IN_THIS_PASS</x:v>
      </x:c>
      <x:c r="V15" s="48" t="str">
        <x:v>EXTRACT_USED_IN_TIER_B</x:v>
      </x:c>
      <x:c r="W15" s="48" t="str">
        <x:v>HIGH</x:v>
      </x:c>
      <x:c r="X15" s="48" t="str">
        <x:v>39</x:v>
      </x:c>
      <x:c r="Y15" s="48" t="str">
        <x:v>Included in the original 24-family primary matrix.</x:v>
      </x:c>
      <x:c r="Z15" s="48" t="str">
        <x:v>ALREADY_INCLUDED</x:v>
      </x:c>
      <x:c r="AA15" s="48" t="str">
        <x:v>NONE</x:v>
      </x:c>
      <x:c r="AB15" s="48" t="str">
        <x:v>NO_REEXTRACTION_PER_SCOPE</x:v>
      </x:c>
      <x:c r="AC15" s="48" t="str">
        <x:v>Strong on LOI authority and vote mechanics; less explicit on early thematic work.</x:v>
      </x:c>
    </x:row>
    <x:row r="16">
      <x:c r="A16" s="48" t="str">
        <x:v>DDQ Universe Reconciliation v1.1 / Tier B N=29</x:v>
      </x:c>
      <x:c r="B16" s="48" t="str">
        <x:v>2026-07-16</x:v>
      </x:c>
      <x:c r="C16" s="48" t="str">
        <x:v>LOWER_BOUND_NOT_RECURSIVE_COMPLETE</x:v>
      </x:c>
      <x:c r="D16" s="48" t="str">
        <x:v>SUN_VIII</x:v>
      </x:c>
      <x:c r="E16" s="48" t="str">
        <x:v>Sun Capital Partners VIII</x:v>
      </x:c>
      <x:c r="F16" s="48" t="str">
        <x:v>Sun Capital Partners VIII</x:v>
      </x:c>
      <x:c r="G16" s="48" t="str">
        <x:v>PRIMARY_IN_SCOPE</x:v>
      </x:c>
      <x:c r="H16" s="48" t="str">
        <x:v>INCLUDED_TIER_B_V1</x:v>
      </x:c>
      <x:c r="I16" s="48" t="str">
        <x:v>$2.5bn target</x:v>
      </x:c>
      <x:c r="J16" s="48" t="str">
        <x:v>LARGE_2_TO_LT_5B</x:v>
      </x:c>
      <x:c r="K16" s="48" t="str">
        <x:v>CONTROL_BUYOUT</x:v>
      </x:c>
      <x:c r="L16" s="48" t="str">
        <x:v>GLOBAL_TRANSATLANTIC</x:v>
      </x:c>
      <x:c r="M16" s="48" t="str">
        <x:v>2021</x:v>
      </x:c>
      <x:c r="N16" s="48" t="str">
        <x:v>2021_2023</x:v>
      </x:c>
      <x:c r="O16" s="48" t="str">
        <x:v>IC_FINAL_OR_DE_FACTO</x:v>
      </x:c>
      <x:c r="P16" s="48" t="str">
        <x:v>YES_DEDICATED</x:v>
      </x:c>
      <x:c r="Q16" s="48" t="str">
        <x:v>SPONSOR_SELF_DESCRIBED</x:v>
      </x:c>
      <x:c r="R16" s="48" t="str">
        <x:v>1</x:v>
      </x:c>
      <x:c r="S16" s="48" t="str">
        <x:v>Sun Capital Fund VIII - Due Diligence Questionnaire - 07-01-21.pdf</x:v>
      </x:c>
      <x:c r="T16" s="48" t="str"/>
      <x:c r="U16" s="48" t="str">
        <x:v>SELECTED_SOURCE_USED_IN_TIER_B; LATEST_VERSION_NOT_REVALIDATED_IN_THIS_PASS</x:v>
      </x:c>
      <x:c r="V16" s="48" t="str">
        <x:v>EXTRACT_USED_IN_TIER_B</x:v>
      </x:c>
      <x:c r="W16" s="48" t="str">
        <x:v>HIGH</x:v>
      </x:c>
      <x:c r="X16" s="48" t="str">
        <x:v>34</x:v>
      </x:c>
      <x:c r="Y16" s="48" t="str">
        <x:v>Included in the original 24-family primary matrix.</x:v>
      </x:c>
      <x:c r="Z16" s="48" t="str">
        <x:v>ALREADY_INCLUDED</x:v>
      </x:c>
      <x:c r="AA16" s="48" t="str">
        <x:v>NONE</x:v>
      </x:c>
      <x:c r="AB16" s="48" t="str">
        <x:v>NO_REEXTRACTION_PER_SCOPE</x:v>
      </x:c>
      <x:c r="AC16" s="48" t="str">
        <x:v>Strong on stage order and exclusivity timing; vote threshold not clear.</x:v>
      </x:c>
    </x:row>
    <x:row r="17">
      <x:c r="A17" s="48" t="str">
        <x:v>DDQ Universe Reconciliation v1.1 / Tier B N=29</x:v>
      </x:c>
      <x:c r="B17" s="48" t="str">
        <x:v>2026-07-16</x:v>
      </x:c>
      <x:c r="C17" s="48" t="str">
        <x:v>LOWER_BOUND_NOT_RECURSIVE_COMPLETE</x:v>
      </x:c>
      <x:c r="D17" s="48" t="str">
        <x:v>REVERENCE_VIII</x:v>
      </x:c>
      <x:c r="E17" s="48" t="str">
        <x:v>Reverence Capital Partners PE Opportunities Fund IV</x:v>
      </x:c>
      <x:c r="F17" s="48" t="str">
        <x:v>Reverence PE Opportunities Fund IV / Fund VIII</x:v>
      </x:c>
      <x:c r="G17" s="48" t="str">
        <x:v>PRIMARY_IN_SCOPE</x:v>
      </x:c>
      <x:c r="H17" s="48" t="str">
        <x:v>INCLUDED_TIER_B_V1</x:v>
      </x:c>
      <x:c r="I17" s="48" t="str">
        <x:v>$2.75bn target</x:v>
      </x:c>
      <x:c r="J17" s="48" t="str">
        <x:v>LARGE_2_TO_LT_5B</x:v>
      </x:c>
      <x:c r="K17" s="48" t="str">
        <x:v>GROWTH_CONTROL_HYBRID</x:v>
      </x:c>
      <x:c r="L17" s="48" t="str">
        <x:v>NORTH_AMERICA</x:v>
      </x:c>
      <x:c r="M17" s="48" t="str">
        <x:v>2025</x:v>
      </x:c>
      <x:c r="N17" s="48" t="str">
        <x:v>2024_2026</x:v>
      </x:c>
      <x:c r="O17" s="48" t="str">
        <x:v>IC_FINAL_OR_DE_FACTO</x:v>
      </x:c>
      <x:c r="P17" s="48" t="str">
        <x:v>YES_DEDICATED</x:v>
      </x:c>
      <x:c r="Q17" s="48" t="str">
        <x:v>SPONSOR_SELF_DESCRIBED</x:v>
      </x:c>
      <x:c r="R17" s="48" t="str">
        <x:v>1</x:v>
      </x:c>
      <x:c r="S17" s="48" t="str">
        <x:v>Reverence Capital Partners PE Opportunites Fund IV (Fund VIII) - ILPA-DDQ-2.0 (September 2025).pdf</x:v>
      </x:c>
      <x:c r="T17" s="48" t="str"/>
      <x:c r="U17" s="48" t="str">
        <x:v>SELECTED_SOURCE_USED_IN_TIER_B; LATEST_VERSION_NOT_REVALIDATED_IN_THIS_PASS</x:v>
      </x:c>
      <x:c r="V17" s="48" t="str">
        <x:v>EXTRACT_USED_IN_TIER_B</x:v>
      </x:c>
      <x:c r="W17" s="48" t="str">
        <x:v>HIGH</x:v>
      </x:c>
      <x:c r="X17" s="48" t="str">
        <x:v>41</x:v>
      </x:c>
      <x:c r="Y17" s="48" t="str">
        <x:v>Included in the original 24-family primary matrix.</x:v>
      </x:c>
      <x:c r="Z17" s="48" t="str">
        <x:v>ALREADY_INCLUDED</x:v>
      </x:c>
      <x:c r="AA17" s="48" t="str">
        <x:v>NONE</x:v>
      </x:c>
      <x:c r="AB17" s="48" t="str">
        <x:v>NO_REEXTRACTION_PER_SCOPE</x:v>
      </x:c>
      <x:c r="AC17" s="48" t="str">
        <x:v>Very detailed on gates and adviser timing; specialized financial-services strategy may condition some features.</x:v>
      </x:c>
    </x:row>
    <x:row r="18">
      <x:c r="A18" s="48" t="str">
        <x:v>DDQ Universe Reconciliation v1.1 / Tier B N=29</x:v>
      </x:c>
      <x:c r="B18" s="48" t="str">
        <x:v>2026-07-16</x:v>
      </x:c>
      <x:c r="C18" s="48" t="str">
        <x:v>LOWER_BOUND_NOT_RECURSIVE_COMPLETE</x:v>
      </x:c>
      <x:c r="D18" s="48" t="str">
        <x:v>BAYPINE_I</x:v>
      </x:c>
      <x:c r="E18" s="48" t="str">
        <x:v>BayPine Capital Partners</x:v>
      </x:c>
      <x:c r="F18" s="48" t="str">
        <x:v>BayPine Capital Partners Fund I</x:v>
      </x:c>
      <x:c r="G18" s="48" t="str">
        <x:v>PRIMARY_IN_SCOPE</x:v>
      </x:c>
      <x:c r="H18" s="48" t="str">
        <x:v>INCLUDED_TIER_B_V1</x:v>
      </x:c>
      <x:c r="I18" s="48" t="str">
        <x:v>$2bn target context</x:v>
      </x:c>
      <x:c r="J18" s="48" t="str">
        <x:v>LARGE_2_TO_LT_5B</x:v>
      </x:c>
      <x:c r="K18" s="48" t="str">
        <x:v>CONTROL_BUYOUT</x:v>
      </x:c>
      <x:c r="L18" s="48" t="str">
        <x:v>NORTH_AMERICA</x:v>
      </x:c>
      <x:c r="M18" s="48" t="str">
        <x:v>2021</x:v>
      </x:c>
      <x:c r="N18" s="48" t="str">
        <x:v>2021_2023</x:v>
      </x:c>
      <x:c r="O18" s="48" t="str">
        <x:v>IC_FINAL_OR_DE_FACTO</x:v>
      </x:c>
      <x:c r="P18" s="48" t="str">
        <x:v>YES_DEDICATED</x:v>
      </x:c>
      <x:c r="Q18" s="48" t="str">
        <x:v>SPONSOR_SELF_DESCRIBED</x:v>
      </x:c>
      <x:c r="R18" s="48" t="str">
        <x:v>1</x:v>
      </x:c>
      <x:c r="S18" s="48" t="str">
        <x:v>1.8 BayPine Due Diligence Questionnaire (A3).pdf</x:v>
      </x:c>
      <x:c r="T18" s="48" t="str"/>
      <x:c r="U18" s="48" t="str">
        <x:v>SELECTED_SOURCE_USED_IN_TIER_B; LATEST_VERSION_NOT_REVALIDATED_IN_THIS_PASS</x:v>
      </x:c>
      <x:c r="V18" s="48" t="str">
        <x:v>EXTRACT_USED_IN_TIER_B</x:v>
      </x:c>
      <x:c r="W18" s="48" t="str">
        <x:v>HIGH</x:v>
      </x:c>
      <x:c r="X18" s="48" t="str">
        <x:v>40</x:v>
      </x:c>
      <x:c r="Y18" s="48" t="str">
        <x:v>Included in the original 24-family primary matrix.</x:v>
      </x:c>
      <x:c r="Z18" s="48" t="str">
        <x:v>ALREADY_INCLUDED</x:v>
      </x:c>
      <x:c r="AA18" s="48" t="str">
        <x:v>NONE</x:v>
      </x:c>
      <x:c r="AB18" s="48" t="str">
        <x:v>NO_REEXTRACTION_PER_SCOPE</x:v>
      </x:c>
      <x:c r="AC18" s="48" t="str">
        <x:v>Strong on dual-committee roles; fewer named pre-investment document stages.</x:v>
      </x:c>
    </x:row>
    <x:row r="19">
      <x:c r="A19" s="48" t="str">
        <x:v>DDQ Universe Reconciliation v1.1 / Tier B N=29</x:v>
      </x:c>
      <x:c r="B19" s="48" t="str">
        <x:v>2026-07-16</x:v>
      </x:c>
      <x:c r="C19" s="48" t="str">
        <x:v>LOWER_BOUND_NOT_RECURSIVE_COMPLETE</x:v>
      </x:c>
      <x:c r="D19" s="48" t="str">
        <x:v>BROAD_SKY_I</x:v>
      </x:c>
      <x:c r="E19" s="48" t="str">
        <x:v>Broad Sky Partners</x:v>
      </x:c>
      <x:c r="F19" s="48" t="str">
        <x:v>Broad Sky Partners, LP</x:v>
      </x:c>
      <x:c r="G19" s="48" t="str">
        <x:v>PRIMARY_IN_SCOPE</x:v>
      </x:c>
      <x:c r="H19" s="48" t="str">
        <x:v>INCLUDED_TIER_B_V1</x:v>
      </x:c>
      <x:c r="I19" s="48" t="str">
        <x:v>$0.5bn-$0.75bn range context</x:v>
      </x:c>
      <x:c r="J19" s="48" t="str">
        <x:v>LOWER_MID_LT_2B</x:v>
      </x:c>
      <x:c r="K19" s="48" t="str">
        <x:v>CONTROL_BUYOUT</x:v>
      </x:c>
      <x:c r="L19" s="48" t="str">
        <x:v>NORTH_AMERICA</x:v>
      </x:c>
      <x:c r="M19" s="48" t="str">
        <x:v>2022</x:v>
      </x:c>
      <x:c r="N19" s="48" t="str">
        <x:v>2021_2023</x:v>
      </x:c>
      <x:c r="O19" s="48" t="str">
        <x:v>IC_FINAL_OR_DE_FACTO</x:v>
      </x:c>
      <x:c r="P19" s="48" t="str">
        <x:v>YES_DEDICATED</x:v>
      </x:c>
      <x:c r="Q19" s="48" t="str">
        <x:v>SPONSOR_SELF_DESCRIBED</x:v>
      </x:c>
      <x:c r="R19" s="48" t="str">
        <x:v>1</x:v>
      </x:c>
      <x:c r="S19" s="48" t="str">
        <x:v>01. Broad Sky Partners Due Diligence Questionnaire_Q1 2022.pdf</x:v>
      </x:c>
      <x:c r="T19" s="48" t="str"/>
      <x:c r="U19" s="48" t="str">
        <x:v>SELECTED_SOURCE_USED_IN_TIER_B; LATEST_VERSION_NOT_REVALIDATED_IN_THIS_PASS</x:v>
      </x:c>
      <x:c r="V19" s="48" t="str">
        <x:v>EXTRACT_USED_IN_TIER_B</x:v>
      </x:c>
      <x:c r="W19" s="48" t="str">
        <x:v>HIGH</x:v>
      </x:c>
      <x:c r="X19" s="48" t="str">
        <x:v>36</x:v>
      </x:c>
      <x:c r="Y19" s="48" t="str">
        <x:v>Included in the original 24-family primary matrix.</x:v>
      </x:c>
      <x:c r="Z19" s="48" t="str">
        <x:v>ALREADY_INCLUDED</x:v>
      </x:c>
      <x:c r="AA19" s="48" t="str">
        <x:v>NONE</x:v>
      </x:c>
      <x:c r="AB19" s="48" t="str">
        <x:v>NO_REEXTRACTION_PER_SCOPE</x:v>
      </x:c>
      <x:c r="AC19" s="48" t="str">
        <x:v>Emerging-manager source; strong on operating architecture, less explicit on vote and closing authority.</x:v>
      </x:c>
    </x:row>
    <x:row r="20">
      <x:c r="A20" s="48" t="str">
        <x:v>DDQ Universe Reconciliation v1.1 / Tier B N=29</x:v>
      </x:c>
      <x:c r="B20" s="48" t="str">
        <x:v>2026-07-16</x:v>
      </x:c>
      <x:c r="C20" s="48" t="str">
        <x:v>LOWER_BOUND_NOT_RECURSIVE_COMPLETE</x:v>
      </x:c>
      <x:c r="D20" s="48" t="str">
        <x:v>CENTERBRIDGE_IV</x:v>
      </x:c>
      <x:c r="E20" s="48" t="str">
        <x:v>Centerbridge Capital Partners IV</x:v>
      </x:c>
      <x:c r="F20" s="48" t="str">
        <x:v>Centerbridge Capital Partners IV</x:v>
      </x:c>
      <x:c r="G20" s="48" t="str">
        <x:v>PRIMARY_IN_SCOPE</x:v>
      </x:c>
      <x:c r="H20" s="48" t="str">
        <x:v>INCLUDED_TIER_B_V1</x:v>
      </x:c>
      <x:c r="I20" s="48" t="str">
        <x:v>$6bn target context</x:v>
      </x:c>
      <x:c r="J20" s="48" t="str">
        <x:v>MEGA_GE_5B</x:v>
      </x:c>
      <x:c r="K20" s="48" t="str">
        <x:v>OPPORTUNISTIC_CONTROL</x:v>
      </x:c>
      <x:c r="L20" s="48" t="str">
        <x:v>GLOBAL_TRANSATLANTIC</x:v>
      </x:c>
      <x:c r="M20" s="48" t="str">
        <x:v>2020</x:v>
      </x:c>
      <x:c r="N20" s="48" t="str">
        <x:v>2018_2020</x:v>
      </x:c>
      <x:c r="O20" s="48" t="str">
        <x:v>IC_FINAL_OR_DE_FACTO</x:v>
      </x:c>
      <x:c r="P20" s="48" t="str">
        <x:v>YES_DEDICATED</x:v>
      </x:c>
      <x:c r="Q20" s="48" t="str">
        <x:v>SPONSOR_SELF_DESCRIBED</x:v>
      </x:c>
      <x:c r="R20" s="48" t="str">
        <x:v>1</x:v>
      </x:c>
      <x:c r="S20" s="48" t="str">
        <x:v>4.3.1 CCP IV ILPA DDQ (June 2020).pdf</x:v>
      </x:c>
      <x:c r="T20" s="48" t="str"/>
      <x:c r="U20" s="48" t="str">
        <x:v>SELECTED_SOURCE_USED_IN_TIER_B; LATEST_VERSION_NOT_REVALIDATED_IN_THIS_PASS</x:v>
      </x:c>
      <x:c r="V20" s="48" t="str">
        <x:v>EXTRACT_USED_IN_TIER_B</x:v>
      </x:c>
      <x:c r="W20" s="48" t="str">
        <x:v>HIGH</x:v>
      </x:c>
      <x:c r="X20" s="48" t="str">
        <x:v>39</x:v>
      </x:c>
      <x:c r="Y20" s="48" t="str">
        <x:v>Included in the original 24-family primary matrix.</x:v>
      </x:c>
      <x:c r="Z20" s="48" t="str">
        <x:v>ALREADY_INCLUDED</x:v>
      </x:c>
      <x:c r="AA20" s="48" t="str">
        <x:v>NONE</x:v>
      </x:c>
      <x:c r="AB20" s="48" t="str">
        <x:v>NO_REEXTRACTION_PER_SCOPE</x:v>
      </x:c>
      <x:c r="AC20" s="48" t="str">
        <x:v>Opportunistic strategy differs from pure buyout; strong on resource gate and challenge function.</x:v>
      </x:c>
    </x:row>
    <x:row r="21">
      <x:c r="A21" s="48" t="str">
        <x:v>DDQ Universe Reconciliation v1.1 / Tier B N=29</x:v>
      </x:c>
      <x:c r="B21" s="48" t="str">
        <x:v>2026-07-16</x:v>
      </x:c>
      <x:c r="C21" s="48" t="str">
        <x:v>LOWER_BOUND_NOT_RECURSIVE_COMPLETE</x:v>
      </x:c>
      <x:c r="D21" s="48" t="str">
        <x:v>GEF_CSF_III</x:v>
      </x:c>
      <x:c r="E21" s="48" t="str">
        <x:v>GEF U.S. Climate Solutions Fund III</x:v>
      </x:c>
      <x:c r="F21" s="48" t="str">
        <x:v>GEF U.S. Climate Solutions Fund III</x:v>
      </x:c>
      <x:c r="G21" s="48" t="str">
        <x:v>PRIMARY_IN_SCOPE</x:v>
      </x:c>
      <x:c r="H21" s="48" t="str">
        <x:v>INCLUDED_TIER_B_V1</x:v>
      </x:c>
      <x:c r="I21" s="48" t="str">
        <x:v>$450m target context</x:v>
      </x:c>
      <x:c r="J21" s="48" t="str">
        <x:v>LOWER_MID_LT_2B</x:v>
      </x:c>
      <x:c r="K21" s="48" t="str">
        <x:v>GROWTH_CONTROL_HYBRID</x:v>
      </x:c>
      <x:c r="L21" s="48" t="str">
        <x:v>NORTH_AMERICA</x:v>
      </x:c>
      <x:c r="M21" s="48" t="str">
        <x:v>2026</x:v>
      </x:c>
      <x:c r="N21" s="48" t="str">
        <x:v>2024_2026</x:v>
      </x:c>
      <x:c r="O21" s="48" t="str">
        <x:v>IC_FINAL_OR_DE_FACTO</x:v>
      </x:c>
      <x:c r="P21" s="48" t="str">
        <x:v>YES_DEDICATED</x:v>
      </x:c>
      <x:c r="Q21" s="48" t="str">
        <x:v>SPONSOR_SELF_DESCRIBED</x:v>
      </x:c>
      <x:c r="R21" s="48" t="str">
        <x:v>1</x:v>
      </x:c>
      <x:c r="S21" s="48" t="str">
        <x:v>2.2.2-1 GEF Capital DDQ June 2026 - CSF III.docx</x:v>
      </x:c>
      <x:c r="T21" s="48" t="str"/>
      <x:c r="U21" s="48" t="str">
        <x:v>SELECTED_SOURCE_USED_IN_TIER_B; LATEST_VERSION_NOT_REVALIDATED_IN_THIS_PASS</x:v>
      </x:c>
      <x:c r="V21" s="48" t="str">
        <x:v>EXTRACT_USED_IN_TIER_B</x:v>
      </x:c>
      <x:c r="W21" s="48" t="str">
        <x:v>HIGH</x:v>
      </x:c>
      <x:c r="X21" s="48" t="str">
        <x:v>34</x:v>
      </x:c>
      <x:c r="Y21" s="48" t="str">
        <x:v>Included in the original 24-family primary matrix.</x:v>
      </x:c>
      <x:c r="Z21" s="48" t="str">
        <x:v>ALREADY_INCLUDED</x:v>
      </x:c>
      <x:c r="AA21" s="48" t="str">
        <x:v>NONE</x:v>
      </x:c>
      <x:c r="AB21" s="48" t="str">
        <x:v>NO_REEXTRACTION_PER_SCOPE</x:v>
      </x:c>
      <x:c r="AC21" s="48" t="str">
        <x:v>Current source; strong on resource and conditional gates, less explicit on vote rule.</x:v>
      </x:c>
    </x:row>
    <x:row r="22">
      <x:c r="A22" s="48" t="str">
        <x:v>DDQ Universe Reconciliation v1.1 / Tier B N=29</x:v>
      </x:c>
      <x:c r="B22" s="48" t="str">
        <x:v>2026-07-16</x:v>
      </x:c>
      <x:c r="C22" s="48" t="str">
        <x:v>LOWER_BOUND_NOT_RECURSIVE_COMPLETE</x:v>
      </x:c>
      <x:c r="D22" s="48" t="str">
        <x:v>GRYPHON_HERITAGE_II</x:v>
      </x:c>
      <x:c r="E22" s="48" t="str">
        <x:v>Gryphon Heritage Partners II</x:v>
      </x:c>
      <x:c r="F22" s="48" t="str">
        <x:v>Gryphon Heritage Partners II</x:v>
      </x:c>
      <x:c r="G22" s="48" t="str">
        <x:v>PRIMARY_IN_SCOPE</x:v>
      </x:c>
      <x:c r="H22" s="48" t="str">
        <x:v>INCLUDED_TIER_B_V1</x:v>
      </x:c>
      <x:c r="I22" s="48" t="str">
        <x:v>$750m target</x:v>
      </x:c>
      <x:c r="J22" s="48" t="str">
        <x:v>LOWER_MID_LT_2B</x:v>
      </x:c>
      <x:c r="K22" s="48" t="str">
        <x:v>CONTROL_BUYOUT</x:v>
      </x:c>
      <x:c r="L22" s="48" t="str">
        <x:v>NORTH_AMERICA</x:v>
      </x:c>
      <x:c r="M22" s="48" t="str">
        <x:v>2025</x:v>
      </x:c>
      <x:c r="N22" s="48" t="str">
        <x:v>2024_2026</x:v>
      </x:c>
      <x:c r="O22" s="48" t="str">
        <x:v>IC_FINAL_OR_DE_FACTO</x:v>
      </x:c>
      <x:c r="P22" s="48" t="str">
        <x:v>YES_DEDICATED</x:v>
      </x:c>
      <x:c r="Q22" s="48" t="str">
        <x:v>SPONSOR_SELF_DESCRIBED</x:v>
      </x:c>
      <x:c r="R22" s="48" t="str">
        <x:v>1</x:v>
      </x:c>
      <x:c r="S22" s="48" t="str">
        <x:v>Gryphon Heritage Partners II -A L.P. - ILPA DDQ_Heritage II Prospective LP.pdf</x:v>
      </x:c>
      <x:c r="T22" s="48" t="str"/>
      <x:c r="U22" s="48" t="str">
        <x:v>SELECTED_SOURCE_USED_IN_TIER_B; LATEST_VERSION_NOT_REVALIDATED_IN_THIS_PASS</x:v>
      </x:c>
      <x:c r="V22" s="48" t="str">
        <x:v>EXTRACT_USED_IN_TIER_B</x:v>
      </x:c>
      <x:c r="W22" s="48" t="str">
        <x:v>HIGH</x:v>
      </x:c>
      <x:c r="X22" s="48" t="str">
        <x:v>38</x:v>
      </x:c>
      <x:c r="Y22" s="48" t="str">
        <x:v>Included in the original 24-family primary matrix.</x:v>
      </x:c>
      <x:c r="Z22" s="48" t="str">
        <x:v>ALREADY_INCLUDED</x:v>
      </x:c>
      <x:c r="AA22" s="48" t="str">
        <x:v>NONE</x:v>
      </x:c>
      <x:c r="AB22" s="48" t="str">
        <x:v>NO_REEXTRACTION_PER_SCOPE</x:v>
      </x:c>
      <x:c r="AC22" s="48" t="str">
        <x:v>Strong emerging/lower-middle-market example; voting mechanics are not clear.</x:v>
      </x:c>
    </x:row>
    <x:row r="23">
      <x:c r="A23" s="48" t="str">
        <x:v>DDQ Universe Reconciliation v1.1 / Tier B N=29</x:v>
      </x:c>
      <x:c r="B23" s="48" t="str">
        <x:v>2026-07-16</x:v>
      </x:c>
      <x:c r="C23" s="48" t="str">
        <x:v>LOWER_BOUND_NOT_RECURSIVE_COMPLETE</x:v>
      </x:c>
      <x:c r="D23" s="48" t="str">
        <x:v>PERWYN</x:v>
      </x:c>
      <x:c r="E23" s="48" t="str">
        <x:v>Perwyn</x:v>
      </x:c>
      <x:c r="F23" s="48" t="str">
        <x:v>Perwyn evergreen/family-capital investment program</x:v>
      </x:c>
      <x:c r="G23" s="48" t="str">
        <x:v>PRIMARY_IN_SCOPE</x:v>
      </x:c>
      <x:c r="H23" s="48" t="str">
        <x:v>INCLUDED_TIER_B_V1</x:v>
      </x:c>
      <x:c r="I23" s="48" t="str">
        <x:v>Evergreen family capital; no comparable blind-pool fund size</x:v>
      </x:c>
      <x:c r="J23" s="48" t="str">
        <x:v>NOT_APPLICABLE</x:v>
      </x:c>
      <x:c r="K23" s="48" t="str">
        <x:v>GROWTH_CONTROL_HYBRID</x:v>
      </x:c>
      <x:c r="L23" s="48" t="str">
        <x:v>EUROPE</x:v>
      </x:c>
      <x:c r="M23" s="48" t="str">
        <x:v>2022</x:v>
      </x:c>
      <x:c r="N23" s="48" t="str">
        <x:v>2021_2023</x:v>
      </x:c>
      <x:c r="O23" s="48" t="str">
        <x:v>IC_RECOMMENDS_SEPARATE_FINAL_AUTHORITY</x:v>
      </x:c>
      <x:c r="P23" s="48" t="str">
        <x:v>NO_OR_LIMITED</x:v>
      </x:c>
      <x:c r="Q23" s="48" t="str">
        <x:v>SPONSOR_SELF_DESCRIBED</x:v>
      </x:c>
      <x:c r="R23" s="48" t="str">
        <x:v>1</x:v>
      </x:c>
      <x:c r="S23" s="48" t="str">
        <x:v>7.2.1 Perwyn DDQ.pdf</x:v>
      </x:c>
      <x:c r="T23" s="48" t="str"/>
      <x:c r="U23" s="48" t="str">
        <x:v>SELECTED_SOURCE_USED_IN_TIER_B; LATEST_VERSION_NOT_REVALIDATED_IN_THIS_PASS</x:v>
      </x:c>
      <x:c r="V23" s="48" t="str">
        <x:v>EXTRACT_USED_IN_TIER_B</x:v>
      </x:c>
      <x:c r="W23" s="48" t="str">
        <x:v>HIGH</x:v>
      </x:c>
      <x:c r="X23" s="48" t="str">
        <x:v>41</x:v>
      </x:c>
      <x:c r="Y23" s="48" t="str">
        <x:v>Included in the original 24-family primary matrix.</x:v>
      </x:c>
      <x:c r="Z23" s="48" t="str">
        <x:v>ALREADY_INCLUDED</x:v>
      </x:c>
      <x:c r="AA23" s="48" t="str">
        <x:v>NONE</x:v>
      </x:c>
      <x:c r="AB23" s="48" t="str">
        <x:v>NO_REEXTRACTION_PER_SCOPE</x:v>
      </x:c>
      <x:c r="AC23" s="48" t="str">
        <x:v>Not a conventional blind-pool fund; size comparisons are not applicable.</x:v>
      </x:c>
    </x:row>
    <x:row r="24">
      <x:c r="A24" s="48" t="str">
        <x:v>DDQ Universe Reconciliation v1.1 / Tier B N=29</x:v>
      </x:c>
      <x:c r="B24" s="48" t="str">
        <x:v>2026-07-16</x:v>
      </x:c>
      <x:c r="C24" s="48" t="str">
        <x:v>LOWER_BOUND_NOT_RECURSIVE_COMPLETE</x:v>
      </x:c>
      <x:c r="D24" s="48" t="str">
        <x:v>VIBURNUM_III</x:v>
      </x:c>
      <x:c r="E24" s="48" t="str">
        <x:v>Viburnum Private III</x:v>
      </x:c>
      <x:c r="F24" s="48" t="str">
        <x:v>Viburnum Private III</x:v>
      </x:c>
      <x:c r="G24" s="48" t="str">
        <x:v>PRIMARY_IN_SCOPE</x:v>
      </x:c>
      <x:c r="H24" s="48" t="str">
        <x:v>INCLUDED_TIER_B_V1</x:v>
      </x:c>
      <x:c r="I24" s="48" t="str">
        <x:v>Approximately A$300m context</x:v>
      </x:c>
      <x:c r="J24" s="48" t="str">
        <x:v>LOWER_MID_LT_2B</x:v>
      </x:c>
      <x:c r="K24" s="48" t="str">
        <x:v>CONTROL_BUYOUT</x:v>
      </x:c>
      <x:c r="L24" s="48" t="str">
        <x:v>ASIA_PACIFIC</x:v>
      </x:c>
      <x:c r="M24" s="48" t="str">
        <x:v>2026</x:v>
      </x:c>
      <x:c r="N24" s="48" t="str">
        <x:v>2024_2026</x:v>
      </x:c>
      <x:c r="O24" s="48" t="str">
        <x:v>IC_FINAL_OR_DE_FACTO</x:v>
      </x:c>
      <x:c r="P24" s="48" t="str">
        <x:v>NO_OR_LIMITED</x:v>
      </x:c>
      <x:c r="Q24" s="48" t="str">
        <x:v>SPONSOR_SELF_DESCRIBED</x:v>
      </x:c>
      <x:c r="R24" s="48" t="str">
        <x:v>1</x:v>
      </x:c>
      <x:c r="S24" s="48" t="str">
        <x:v>2.1 ILPA-DDQ_260408.pdf</x:v>
      </x:c>
      <x:c r="T24" s="48" t="str"/>
      <x:c r="U24" s="48" t="str">
        <x:v>SELECTED_SOURCE_USED_IN_TIER_B; LATEST_VERSION_NOT_REVALIDATED_IN_THIS_PASS</x:v>
      </x:c>
      <x:c r="V24" s="48" t="str">
        <x:v>EXTRACT_USED_IN_TIER_B</x:v>
      </x:c>
      <x:c r="W24" s="48" t="str">
        <x:v>HIGH</x:v>
      </x:c>
      <x:c r="X24" s="48" t="str">
        <x:v>38</x:v>
      </x:c>
      <x:c r="Y24" s="48" t="str">
        <x:v>Included in the original 24-family primary matrix.</x:v>
      </x:c>
      <x:c r="Z24" s="48" t="str">
        <x:v>ALREADY_INCLUDED</x:v>
      </x:c>
      <x:c r="AA24" s="48" t="str">
        <x:v>NONE</x:v>
      </x:c>
      <x:c r="AB24" s="48" t="str">
        <x:v>NO_REEXTRACTION_PER_SCOPE</x:v>
      </x:c>
      <x:c r="AC24" s="48" t="str">
        <x:v>Clear lower-middle-market process; formal operating-team absence is explicitly useful for segmentation.</x:v>
      </x:c>
    </x:row>
    <x:row r="25">
      <x:c r="A25" s="48" t="str">
        <x:v>DDQ Universe Reconciliation v1.1 / Tier B N=29</x:v>
      </x:c>
      <x:c r="B25" s="48" t="str">
        <x:v>2026-07-16</x:v>
      </x:c>
      <x:c r="C25" s="48" t="str">
        <x:v>LOWER_BOUND_NOT_RECURSIVE_COMPLETE</x:v>
      </x:c>
      <x:c r="D25" s="48" t="str">
        <x:v>REDBIRD_FS_I</x:v>
      </x:c>
      <x:c r="E25" s="48" t="str">
        <x:v>RedBird Financial Services I</x:v>
      </x:c>
      <x:c r="F25" s="48" t="str">
        <x:v>RedBird Financial Services I</x:v>
      </x:c>
      <x:c r="G25" s="48" t="str">
        <x:v>PRIMARY_IN_SCOPE</x:v>
      </x:c>
      <x:c r="H25" s="48" t="str">
        <x:v>INCLUDED_TIER_B_V1</x:v>
      </x:c>
      <x:c r="I25" s="48" t="str">
        <x:v>$750m target context</x:v>
      </x:c>
      <x:c r="J25" s="48" t="str">
        <x:v>LOWER_MID_LT_2B</x:v>
      </x:c>
      <x:c r="K25" s="48" t="str">
        <x:v>GROWTH_CONTROL_HYBRID</x:v>
      </x:c>
      <x:c r="L25" s="48" t="str">
        <x:v>NORTH_AMERICA</x:v>
      </x:c>
      <x:c r="M25" s="48" t="str">
        <x:v>2025</x:v>
      </x:c>
      <x:c r="N25" s="48" t="str">
        <x:v>2024_2026</x:v>
      </x:c>
      <x:c r="O25" s="48" t="str">
        <x:v>IC_FINAL_OR_DE_FACTO</x:v>
      </x:c>
      <x:c r="P25" s="48" t="str">
        <x:v>NO_OR_LIMITED</x:v>
      </x:c>
      <x:c r="Q25" s="48" t="str">
        <x:v>SPONSOR_SELF_DESCRIBED</x:v>
      </x:c>
      <x:c r="R25" s="48" t="str">
        <x:v>1</x:v>
      </x:c>
      <x:c r="S25" s="48" t="str">
        <x:v>RedBird FS DDQ (Q4 2025).pdf</x:v>
      </x:c>
      <x:c r="T25" s="48" t="str"/>
      <x:c r="U25" s="48" t="str">
        <x:v>SELECTED_SOURCE_USED_IN_TIER_B; LATEST_VERSION_NOT_REVALIDATED_IN_THIS_PASS</x:v>
      </x:c>
      <x:c r="V25" s="48" t="str">
        <x:v>EXTRACT_USED_IN_TIER_B</x:v>
      </x:c>
      <x:c r="W25" s="48" t="str">
        <x:v>HIGH</x:v>
      </x:c>
      <x:c r="X25" s="48" t="str">
        <x:v>31</x:v>
      </x:c>
      <x:c r="Y25" s="48" t="str">
        <x:v>Included in the original 24-family primary matrix.</x:v>
      </x:c>
      <x:c r="Z25" s="48" t="str">
        <x:v>ALREADY_INCLUDED</x:v>
      </x:c>
      <x:c r="AA25" s="48" t="str">
        <x:v>NONE</x:v>
      </x:c>
      <x:c r="AB25" s="48" t="str">
        <x:v>NO_REEXTRACTION_PER_SCOPE</x:v>
      </x:c>
      <x:c r="AC25" s="48" t="str">
        <x:v>Specialized financial-services strategy; operating support is largely external rather than an internal team.</x:v>
      </x:c>
    </x:row>
    <x:row r="26">
      <x:c r="A26" s="48" t="str">
        <x:v>DDQ Universe Reconciliation v1.1 / Tier B N=29</x:v>
      </x:c>
      <x:c r="B26" s="48" t="str">
        <x:v>2026-07-16</x:v>
      </x:c>
      <x:c r="C26" s="48" t="str">
        <x:v>LOWER_BOUND_NOT_RECURSIVE_COMPLETE</x:v>
      </x:c>
      <x:c r="D26" s="48" t="str">
        <x:v>SILVER_LAKE_VII</x:v>
      </x:c>
      <x:c r="E26" s="48" t="str">
        <x:v>Silver Lake</x:v>
      </x:c>
      <x:c r="F26" s="48" t="str">
        <x:v>Silver Lake Partners VII</x:v>
      </x:c>
      <x:c r="G26" s="48" t="str">
        <x:v>PRIMARY_IN_SCOPE</x:v>
      </x:c>
      <x:c r="H26" s="48" t="str">
        <x:v>INCLUDED_TIER_B_N29_RERUN</x:v>
      </x:c>
      <x:c r="I26" s="48" t="str">
        <x:v>Large-scale flagship; fund target not populated in DDQ cover sheet; clearly &gt;= $5bn archetype</x:v>
      </x:c>
      <x:c r="J26" s="48" t="str">
        <x:v>MEGA_GE_5B</x:v>
      </x:c>
      <x:c r="K26" s="48" t="str">
        <x:v>CONTROL_BUYOUT</x:v>
      </x:c>
      <x:c r="L26" s="48" t="str">
        <x:v>GLOBAL_TRANSATLANTIC</x:v>
      </x:c>
      <x:c r="M26" s="48" t="str">
        <x:v>2022</x:v>
      </x:c>
      <x:c r="N26" s="48" t="str">
        <x:v>2021_2023</x:v>
      </x:c>
      <x:c r="O26" s="48" t="str">
        <x:v>IC_FINAL_OR_DE_FACTO</x:v>
      </x:c>
      <x:c r="P26" s="48" t="str">
        <x:v>YES_DEDICATED</x:v>
      </x:c>
      <x:c r="Q26" s="48" t="str">
        <x:v>SPONSOR_SELF_DESCRIBED</x:v>
      </x:c>
      <x:c r="R26" s="48" t="str">
        <x:v>1</x:v>
      </x:c>
      <x:c r="S26" s="48" t="str">
        <x:v>SLP VII ILPA DDQ_vF.pdf</x:v>
      </x:c>
      <x:c r="T26" s="48" t="str"/>
      <x:c r="U26" s="48" t="str">
        <x:v>LATEST_LOCATED_MANAGER_DDQ_IN_THIS_PASS</x:v>
      </x:c>
      <x:c r="V26" s="48" t="str">
        <x:v>FULL_TEXT_EXTRACTED</x:v>
      </x:c>
      <x:c r="W26" s="48" t="str">
        <x:v>HIGH</x:v>
      </x:c>
      <x:c r="X26" s="48" t="str">
        <x:v>CODED_IN_44_FEATURE_MATRIX_N29</x:v>
      </x:c>
      <x:c r="Y26" s="48" t="str">
        <x:v>File was located but was not included in the 24-family Tier B matrix; retrieval/resolution failure silently became exclusion.</x:v>
      </x:c>
      <x:c r="Z26" s="48" t="str">
        <x:v>Mega 10→11; Control Buyout 18→19; Global/Transatlantic 9→10; 2021–23 9→10; IC-final 21→22; dedicated-team Yes 21→22.</x:v>
      </x:c>
      <x:c r="AA26" s="48" t="str">
        <x:v>No minimum-N threshold crossed.</x:v>
      </x:c>
      <x:c r="AB26" s="48" t="str">
        <x:v>COMPLETE</x:v>
      </x:c>
      <x:c r="AC26" s="48" t="str">
        <x:v>Found and process section read during this reconciliation pass.</x:v>
      </x:c>
    </x:row>
    <x:row r="27">
      <x:c r="A27" s="48" t="str">
        <x:v>DDQ Universe Reconciliation v1.1 / Tier B N=29</x:v>
      </x:c>
      <x:c r="B27" s="48" t="str">
        <x:v>2026-07-16</x:v>
      </x:c>
      <x:c r="C27" s="48" t="str">
        <x:v>LOWER_BOUND_NOT_RECURSIVE_COMPLETE</x:v>
      </x:c>
      <x:c r="D27" s="48" t="str">
        <x:v>OAK_HILL_V</x:v>
      </x:c>
      <x:c r="E27" s="48" t="str">
        <x:v>Oak Hill Capital Partners</x:v>
      </x:c>
      <x:c r="F27" s="48" t="str">
        <x:v>Oak Hill Capital Partners V</x:v>
      </x:c>
      <x:c r="G27" s="48" t="str">
        <x:v>PRIMARY_IN_SCOPE</x:v>
      </x:c>
      <x:c r="H27" s="48" t="str">
        <x:v>INCLUDED_TIER_B_N29_RERUN</x:v>
      </x:c>
      <x:c r="I27" s="48" t="str">
        <x:v>$3.0bn target</x:v>
      </x:c>
      <x:c r="J27" s="48" t="str">
        <x:v>LARGE_2_TO_LT_5B</x:v>
      </x:c>
      <x:c r="K27" s="48" t="str">
        <x:v>CONTROL_BUYOUT</x:v>
      </x:c>
      <x:c r="L27" s="48" t="str">
        <x:v>NORTH_AMERICA</x:v>
      </x:c>
      <x:c r="M27" s="48" t="str">
        <x:v>2018</x:v>
      </x:c>
      <x:c r="N27" s="48" t="str">
        <x:v>2018_2020</x:v>
      </x:c>
      <x:c r="O27" s="48" t="str">
        <x:v>IC_FINAL_OR_DE_FACTO</x:v>
      </x:c>
      <x:c r="P27" s="48" t="str">
        <x:v>YES_DEDICATED</x:v>
      </x:c>
      <x:c r="Q27" s="48" t="str">
        <x:v>SPONSOR_SELF_DESCRIBED</x:v>
      </x:c>
      <x:c r="R27" s="48" t="str">
        <x:v>1</x:v>
      </x:c>
      <x:c r="S27" s="48" t="str">
        <x:v>OHCP V DDQ_October 2018.pdf</x:v>
      </x:c>
      <x:c r="T27" s="48" t="str"/>
      <x:c r="U27" s="48" t="str">
        <x:v>LOCATED_MANAGER_DDQ; LATEST_VERSION_NOT_PROVEN</x:v>
      </x:c>
      <x:c r="V27" s="48" t="str">
        <x:v>FULL_TEXT_EXTRACTED</x:v>
      </x:c>
      <x:c r="W27" s="48" t="str">
        <x:v>HIGH</x:v>
      </x:c>
      <x:c r="X27" s="48" t="str">
        <x:v>CODED_IN_44_FEATURE_MATRIX_N29</x:v>
      </x:c>
      <x:c r="Y27" s="48" t="str">
        <x:v>A process-rich control-buyout DDQ was locally available but omitted from the 24-family matrix.</x:v>
      </x:c>
      <x:c r="Z27" s="48" t="str">
        <x:v>Large 8→9; Control Buyout 18→19; North America 10→11; 2018–20 4→5; IC-final 21→22; dedicated-team Yes 21→22.</x:v>
      </x:c>
      <x:c r="AA27" s="48" t="str">
        <x:v>Source-vintage 2018–20 reaches N=5 if added alone.</x:v>
      </x:c>
      <x:c r="AB27" s="48" t="str">
        <x:v>COMPLETE</x:v>
      </x:c>
      <x:c r="AC27" s="48" t="str">
        <x:v>Found and process section read during this reconciliation pass.</x:v>
      </x:c>
    </x:row>
    <x:row r="28">
      <x:c r="A28" s="48" t="str">
        <x:v>DDQ Universe Reconciliation v1.1 / Tier B N=29</x:v>
      </x:c>
      <x:c r="B28" s="48" t="str">
        <x:v>2026-07-16</x:v>
      </x:c>
      <x:c r="C28" s="48" t="str">
        <x:v>LOWER_BOUND_NOT_RECURSIVE_COMPLETE</x:v>
      </x:c>
      <x:c r="D28" s="48" t="str">
        <x:v>LEE_EQUITY_III</x:v>
      </x:c>
      <x:c r="E28" s="48" t="str">
        <x:v>Lee Equity Partners</x:v>
      </x:c>
      <x:c r="F28" s="48" t="str">
        <x:v>Lee Equity Partners Fund III</x:v>
      </x:c>
      <x:c r="G28" s="48" t="str">
        <x:v>PRIMARY_IN_SCOPE</x:v>
      </x:c>
      <x:c r="H28" s="48" t="str">
        <x:v>INCLUDED_TIER_B_N29_RERUN</x:v>
      </x:c>
      <x:c r="I28" s="48" t="str">
        <x:v>$700m target</x:v>
      </x:c>
      <x:c r="J28" s="48" t="str">
        <x:v>LOWER_MID_LT_2B</x:v>
      </x:c>
      <x:c r="K28" s="48" t="str">
        <x:v>CONTROL_BUYOUT</x:v>
      </x:c>
      <x:c r="L28" s="48" t="str">
        <x:v>NORTH_AMERICA</x:v>
      </x:c>
      <x:c r="M28" s="48" t="str">
        <x:v>2018</x:v>
      </x:c>
      <x:c r="N28" s="48" t="str">
        <x:v>2018_2020</x:v>
      </x:c>
      <x:c r="O28" s="48" t="str">
        <x:v>IC_FINAL_OR_DE_FACTO</x:v>
      </x:c>
      <x:c r="P28" s="48" t="str">
        <x:v>NO_OR_LIMITED</x:v>
      </x:c>
      <x:c r="Q28" s="48" t="str">
        <x:v>SPONSOR_SELF_DESCRIBED</x:v>
      </x:c>
      <x:c r="R28" s="48" t="str">
        <x:v>1</x:v>
      </x:c>
      <x:c r="S28" s="48" t="str">
        <x:v>LEP_Fund III_Due Diligence Questionnaire (DDQ)_4Q18_FINALv2.pdf</x:v>
      </x:c>
      <x:c r="T28" s="48" t="str"/>
      <x:c r="U28" s="48" t="str">
        <x:v>LOCATED_MANAGER_DDQ; LATEST_VERSION_NOT_PROVEN</x:v>
      </x:c>
      <x:c r="V28" s="48" t="str">
        <x:v>FULL_TEXT_EXTRACTED</x:v>
      </x:c>
      <x:c r="W28" s="48" t="str">
        <x:v>HIGH</x:v>
      </x:c>
      <x:c r="X28" s="48" t="str">
        <x:v>CODED_IN_44_FEATURE_MATRIX_N29</x:v>
      </x:c>
      <x:c r="Y28" s="48" t="str">
        <x:v>A lower-middle-market control-buyout DDQ was locally available but omitted from Tier B.</x:v>
      </x:c>
      <x:c r="Z28" s="48" t="str">
        <x:v>Lower-Mid 5→6; Control Buyout 18→19; North America 10→11; 2018–20 4→5; IC-final 21→22; no/limited team 3→4.</x:v>
      </x:c>
      <x:c r="AA28" s="48" t="str">
        <x:v>Stabilizes Lower-Mid above threshold; no/limited team remains below threshold alone.</x:v>
      </x:c>
      <x:c r="AB28" s="48" t="str">
        <x:v>COMPLETE</x:v>
      </x:c>
      <x:c r="AC28" s="48" t="str">
        <x:v>Found and process section read during this reconciliation pass.</x:v>
      </x:c>
    </x:row>
    <x:row r="29">
      <x:c r="A29" s="48" t="str">
        <x:v>DDQ Universe Reconciliation v1.1 / Tier B N=29</x:v>
      </x:c>
      <x:c r="B29" s="48" t="str">
        <x:v>2026-07-16</x:v>
      </x:c>
      <x:c r="C29" s="48" t="str">
        <x:v>LOWER_BOUND_NOT_RECURSIVE_COMPLETE</x:v>
      </x:c>
      <x:c r="D29" s="48" t="str">
        <x:v>NAXICAP_NIO_III</x:v>
      </x:c>
      <x:c r="E29" s="48" t="str">
        <x:v>Naxicap Partners</x:v>
      </x:c>
      <x:c r="F29" s="48" t="str">
        <x:v>Naxicap Investment Opportunities III</x:v>
      </x:c>
      <x:c r="G29" s="48" t="str">
        <x:v>PRIMARY_IN_SCOPE</x:v>
      </x:c>
      <x:c r="H29" s="48" t="str">
        <x:v>INCLUDED_TIER_B_N29_RERUN</x:v>
      </x:c>
      <x:c r="I29" s="48" t="str">
        <x:v>€1.2bn target</x:v>
      </x:c>
      <x:c r="J29" s="48" t="str">
        <x:v>LOWER_MID_LT_2B</x:v>
      </x:c>
      <x:c r="K29" s="48" t="str">
        <x:v>CONTROL_BUYOUT</x:v>
      </x:c>
      <x:c r="L29" s="48" t="str">
        <x:v>EUROPE</x:v>
      </x:c>
      <x:c r="M29" s="48" t="str">
        <x:v>2023</x:v>
      </x:c>
      <x:c r="N29" s="48" t="str">
        <x:v>2021_2023</x:v>
      </x:c>
      <x:c r="O29" s="48" t="str">
        <x:v>IC_FINAL_OR_DE_FACTO</x:v>
      </x:c>
      <x:c r="P29" s="48" t="str">
        <x:v>NO_OR_LIMITED</x:v>
      </x:c>
      <x:c r="Q29" s="48" t="str">
        <x:v>SPONSOR_SELF_DESCRIBED</x:v>
      </x:c>
      <x:c r="R29" s="48" t="str">
        <x:v>2</x:v>
      </x:c>
      <x:c r="S29" s="48" t="str">
        <x:v>NIO III Due Diligence Questionnaire - May 2023.pdf</x:v>
      </x:c>
      <x:c r="T29" s="48" t="str"/>
      <x:c r="U29" s="48" t="str">
        <x:v>LATEST_LOCATED_MANAGER_DDQ; SUPERSEDES_NIO_II_2019</x:v>
      </x:c>
      <x:c r="V29" s="48" t="str">
        <x:v>FULL_TEXT_EXTRACTED</x:v>
      </x:c>
      <x:c r="W29" s="48" t="str">
        <x:v>HIGH</x:v>
      </x:c>
      <x:c r="X29" s="48" t="str">
        <x:v>CODED_IN_44_FEATURE_MATRIX_N29</x:v>
      </x:c>
      <x:c r="Y29" s="48" t="str">
        <x:v>NIO II and NIO III DDQs were located but Naxicap was absent from Tier B; the 2023 DDQ is the correct current source.</x:v>
      </x:c>
      <x:c r="Z29" s="48" t="str">
        <x:v>Lower-Mid 5→6; Control Buyout 18→19; Europe 1→2; 2021–23 9→10; IC-final 21→22; no/limited team 3→4.</x:v>
      </x:c>
      <x:c r="AA29" s="48" t="str">
        <x:v>Stabilizes Lower-Mid; Europe and no/limited team remain below threshold alone.</x:v>
      </x:c>
      <x:c r="AB29" s="48" t="str">
        <x:v>COMPLETE</x:v>
      </x:c>
      <x:c r="AC29" s="48" t="str">
        <x:v>Found and process section read during this reconciliation pass.</x:v>
      </x:c>
    </x:row>
    <x:row r="30">
      <x:c r="A30" s="48" t="str">
        <x:v>DDQ Universe Reconciliation v1.1 / Tier B N=29</x:v>
      </x:c>
      <x:c r="B30" s="48" t="str">
        <x:v>2026-07-16</x:v>
      </x:c>
      <x:c r="C30" s="48" t="str">
        <x:v>LOWER_BOUND_NOT_RECURSIVE_COMPLETE</x:v>
      </x:c>
      <x:c r="D30" s="48" t="str">
        <x:v>MANNA_TREE_III</x:v>
      </x:c>
      <x:c r="E30" s="48" t="str">
        <x:v>Manna Tree Partners</x:v>
      </x:c>
      <x:c r="F30" s="48" t="str">
        <x:v>Manna Tree Fund III</x:v>
      </x:c>
      <x:c r="G30" s="48" t="str">
        <x:v>PRIMARY_IN_SCOPE</x:v>
      </x:c>
      <x:c r="H30" s="48" t="str">
        <x:v>INCLUDED_TIER_B_N29_RERUN</x:v>
      </x:c>
      <x:c r="I30" s="48" t="str">
        <x:v>$500m target / $750m cap</x:v>
      </x:c>
      <x:c r="J30" s="48" t="str">
        <x:v>LOWER_MID_LT_2B</x:v>
      </x:c>
      <x:c r="K30" s="48" t="str">
        <x:v>GROWTH_CONTROL_HYBRID</x:v>
      </x:c>
      <x:c r="L30" s="48" t="str">
        <x:v>NORTH_AMERICA</x:v>
      </x:c>
      <x:c r="M30" s="48" t="str">
        <x:v>2025</x:v>
      </x:c>
      <x:c r="N30" s="48" t="str">
        <x:v>2024_2026</x:v>
      </x:c>
      <x:c r="O30" s="48" t="str">
        <x:v>IC_FINAL_OR_DE_FACTO</x:v>
      </x:c>
      <x:c r="P30" s="48" t="str">
        <x:v>NO_OR_LIMITED</x:v>
      </x:c>
      <x:c r="Q30" s="48" t="str">
        <x:v>SPONSOR_SELF_DESCRIBED</x:v>
      </x:c>
      <x:c r="R30" s="48" t="str">
        <x:v>1</x:v>
      </x:c>
      <x:c r="S30" s="48" t="str">
        <x:v>Manna Tree Fund III DDQ - January 2025.pdf</x:v>
      </x:c>
      <x:c r="T30" s="48" t="str"/>
      <x:c r="U30" s="48" t="str">
        <x:v>LATEST_LOCATED_MANAGER_DDQ_IN_THIS_PASS</x:v>
      </x:c>
      <x:c r="V30" s="48" t="str">
        <x:v>FULL_TEXT_EXTRACTED</x:v>
      </x:c>
      <x:c r="W30" s="48" t="str">
        <x:v>HIGH</x:v>
      </x:c>
      <x:c r="X30" s="48" t="str">
        <x:v>CODED_IN_44_FEATURE_MATRIX_N29</x:v>
      </x:c>
      <x:c r="Y30" s="48" t="str">
        <x:v>A process-rich sub-$1bn growth/control manager was not included, weakening the lower-mid and no-dedicated-team denominators.</x:v>
      </x:c>
      <x:c r="Z30" s="48" t="str">
        <x:v>Lower-Mid 5→6; Growth/Control Hybrid 5→6; North America 10→11; 2024–26 11→12; IC-final 21→22; no/limited team 3→4.</x:v>
      </x:c>
      <x:c r="AA30" s="48" t="str">
        <x:v>Stabilizes both Lower-Mid and Growth/Control Hybrid above threshold.</x:v>
      </x:c>
      <x:c r="AB30" s="48" t="str">
        <x:v>COMPLETE</x:v>
      </x:c>
      <x:c r="AC30" s="48" t="str">
        <x:v>Found and process section read during this reconciliation pass.</x:v>
      </x:c>
    </x:row>
    <x:row r="31">
      <x:c r="A31" s="48" t="str">
        <x:v>DDQ Universe Reconciliation v1.1 / Tier B N=29</x:v>
      </x:c>
      <x:c r="B31" s="48" t="str">
        <x:v>2026-07-16</x:v>
      </x:c>
      <x:c r="C31" s="48" t="str">
        <x:v>LOWER_BOUND_NOT_RECURSIVE_COMPLETE</x:v>
      </x:c>
      <x:c r="D31" s="48" t="str">
        <x:v>BLUEEARTH_CGF_I</x:v>
      </x:c>
      <x:c r="E31" s="48" t="str">
        <x:v>Blue Earth Capital</x:v>
      </x:c>
      <x:c r="F31" s="48" t="str">
        <x:v>BlueEarth Climate Growth Fund I</x:v>
      </x:c>
      <x:c r="G31" s="48" t="str">
        <x:v>SCOPE_EXCLUDED_PRIMARY_GROWTH_COMPARATOR</x:v>
      </x:c>
      <x:c r="H31" s="48" t="str">
        <x:v>EXCLUDED_PRIMARY; RETAIN_ADJACENT_COMPARATOR</x:v>
      </x:c>
      <x:c r="I31" s="48" t="str">
        <x:v>$300m target</x:v>
      </x:c>
      <x:c r="J31" s="48" t="str">
        <x:v>LOWER_MID_LT_2B</x:v>
      </x:c>
      <x:c r="K31" s="48" t="str">
        <x:v>GROWTH_CONTROL_HYBRID</x:v>
      </x:c>
      <x:c r="L31" s="48" t="str">
        <x:v>GLOBAL_TRANSATLANTIC</x:v>
      </x:c>
      <x:c r="M31" s="48" t="str">
        <x:v>2022</x:v>
      </x:c>
      <x:c r="N31" s="48" t="str">
        <x:v>2021_2023</x:v>
      </x:c>
      <x:c r="O31" s="48" t="str">
        <x:v>IC_RECOMMENDS_SEPARATE_FINAL_AUTHORITY</x:v>
      </x:c>
      <x:c r="P31" s="48" t="str">
        <x:v>NO_OR_LIMITED</x:v>
      </x:c>
      <x:c r="Q31" s="48" t="str">
        <x:v>SPONSOR_SELF_DESCRIBED</x:v>
      </x:c>
      <x:c r="R31" s="48" t="str">
        <x:v>1</x:v>
      </x:c>
      <x:c r="S31" s="48" t="str">
        <x:v>3.a. BlueEarth Climate Growth Fund I - DDQ 2022.03.29 (Update).pdf</x:v>
      </x:c>
      <x:c r="T31" s="48" t="str"/>
      <x:c r="U31" s="48" t="str">
        <x:v>LOCATED_MANAGER_DDQ; LATEST_VERSION_NOT_PROVEN</x:v>
      </x:c>
      <x:c r="V31" s="48" t="str">
        <x:v>FULL_TEXT_EXTRACTED</x:v>
      </x:c>
      <x:c r="W31" s="48" t="str">
        <x:v>HIGH</x:v>
      </x:c>
      <x:c r="X31" s="48" t="str">
        <x:v>PROCESS_EXTRACT_COMPLETE; NOT MERGED INTO PRIMARY N=29 MATRIX</x:v>
      </x:c>
      <x:c r="Y31" s="48" t="str">
        <x:v>Predominantly growth/impact mandate positioned between venture and mature buyout; minority/majority governance is permitted, but control buyout is not the recurring core process object. Excluded under the same recurring-control rule used for the primary universe.</x:v>
      </x:c>
      <x:c r="Z31" s="48" t="str">
        <x:v>Lower-Mid 5→6; Growth/Control Hybrid 5→6; Global/Transatlantic 9→10; 2021–23 9→10; separate-final-authority 3→4; no/limited team 3→4.</x:v>
      </x:c>
      <x:c r="AA31" s="48" t="str">
        <x:v>No threshold crossed alone; combined with definite omissions it raises no/limited-team to 7 but governance only to 4.</x:v>
      </x:c>
      <x:c r="AB31" s="48" t="str">
        <x:v>NO_PRIMARY_MERGE</x:v>
      </x:c>
      <x:c r="AC31" s="48" t="str">
        <x:v>Found and process section read during this reconciliation pass.</x:v>
      </x:c>
    </x:row>
    <x:row r="32">
      <x:c r="A32" s="48" t="str">
        <x:v>DDQ Universe Reconciliation v1.1 / Tier B N=29</x:v>
      </x:c>
      <x:c r="B32" s="48" t="str">
        <x:v>2026-07-16</x:v>
      </x:c>
      <x:c r="C32" s="48" t="str">
        <x:v>LOWER_BOUND_NOT_RECURSIVE_COMPLETE</x:v>
      </x:c>
      <x:c r="D32" s="48" t="str">
        <x:v>FORBION</x:v>
      </x:c>
      <x:c r="E32" s="48" t="str">
        <x:v>Forbion</x:v>
      </x:c>
      <x:c r="F32" s="48" t="str">
        <x:v>Forbion Growth IV / Ventures VIII</x:v>
      </x:c>
      <x:c r="G32" s="48" t="str">
        <x:v>ADJACENT_STRATEGY</x:v>
      </x:c>
      <x:c r="H32" s="48" t="str">
        <x:v>EXCLUDED_ADJACENT_STRATEGY</x:v>
      </x:c>
      <x:c r="I32" s="48" t="str"/>
      <x:c r="J32" s="48" t="str"/>
      <x:c r="K32" s="48" t="str">
        <x:v>VENTURE_AND_GROWTH_LIFE_SCIENCES</x:v>
      </x:c>
      <x:c r="L32" s="48" t="str">
        <x:v>EUROPE</x:v>
      </x:c>
      <x:c r="M32" s="48" t="str">
        <x:v>2026</x:v>
      </x:c>
      <x:c r="N32" s="48" t="str">
        <x:v>2024_2026</x:v>
      </x:c>
      <x:c r="O32" s="48" t="str">
        <x:v>IC_RECOMMENDS_SEPARATE_FINAL_AUTHORITY</x:v>
      </x:c>
      <x:c r="P32" s="48" t="str">
        <x:v>NO_OR_LIMITED</x:v>
      </x:c>
      <x:c r="Q32" s="48" t="str">
        <x:v>SPONSOR_SELF_DESCRIBED</x:v>
      </x:c>
      <x:c r="R32" s="48" t="str">
        <x:v>2</x:v>
      </x:c>
      <x:c r="S32" s="48" t="str">
        <x:v>2.4 Growth IV DDQ - For Data Room.pdf.pdf; 2.3 Ventures VII DDQ - Data Room.pdf.pdf</x:v>
      </x:c>
      <x:c r="T32" s="48" t="str"/>
      <x:c r="U32" s="48" t="str">
        <x:v>LOCATED; VERSION_FAMILY_NOT_FULLY_RECONCILED</x:v>
      </x:c>
      <x:c r="V32" s="48" t="str">
        <x:v>FULL_TEXT_EXTRACTED</x:v>
      </x:c>
      <x:c r="W32" s="48" t="str">
        <x:v>HIGH</x:v>
      </x:c>
      <x:c r="X32" s="48" t="str">
        <x:v>NOT_CODED_IN_PRIMARY_MATRIX</x:v>
      </x:c>
      <x:c r="Y32" s="48" t="str">
        <x:v>One manager family; sibling strategy documents are not independent observations.</x:v>
      </x:c>
      <x:c r="Z32" s="48" t="str">
        <x:v>NOT_APPLICABLE_UNLESS_SCOPE_IS_CHANGED</x:v>
      </x:c>
      <x:c r="AA32" s="48" t="str">
        <x:v>NONE_UNDER_CURRENT_SCOPE</x:v>
      </x:c>
      <x:c r="AB32" s="48" t="str">
        <x:v>LOW_OR_SCOPE_DEPENDENT</x:v>
      </x:c>
      <x:c r="AC32" s="48" t="str">
        <x:v>One manager family; sibling strategy documents are not independent observations.</x:v>
      </x:c>
    </x:row>
    <x:row r="33">
      <x:c r="A33" s="48" t="str">
        <x:v>DDQ Universe Reconciliation v1.1 / Tier B N=29</x:v>
      </x:c>
      <x:c r="B33" s="48" t="str">
        <x:v>2026-07-16</x:v>
      </x:c>
      <x:c r="C33" s="48" t="str">
        <x:v>LOWER_BOUND_NOT_RECURSIVE_COMPLETE</x:v>
      </x:c>
      <x:c r="D33" s="48" t="str">
        <x:v>KENNEDY_LEWIS_IV</x:v>
      </x:c>
      <x:c r="E33" s="48" t="str">
        <x:v>Kennedy Lewis</x:v>
      </x:c>
      <x:c r="F33" s="48" t="str">
        <x:v>Kennedy Lewis Fund IV</x:v>
      </x:c>
      <x:c r="G33" s="48" t="str">
        <x:v>ADJACENT_STRATEGY</x:v>
      </x:c>
      <x:c r="H33" s="48" t="str">
        <x:v>EXCLUDED_ADJACENT_STRATEGY</x:v>
      </x:c>
      <x:c r="I33" s="48" t="str"/>
      <x:c r="J33" s="48" t="str"/>
      <x:c r="K33" s="48" t="str">
        <x:v>CREDIT</x:v>
      </x:c>
      <x:c r="L33" s="48" t="str">
        <x:v>NORTH_AMERICA</x:v>
      </x:c>
      <x:c r="M33" s="48" t="str">
        <x:v>2025</x:v>
      </x:c>
      <x:c r="N33" s="48" t="str">
        <x:v>2024_2026</x:v>
      </x:c>
      <x:c r="O33" s="48" t="str"/>
      <x:c r="P33" s="48" t="str"/>
      <x:c r="Q33" s="48" t="str">
        <x:v>SPONSOR_SELF_DESCRIBED</x:v>
      </x:c>
      <x:c r="R33" s="48" t="str">
        <x:v>1</x:v>
      </x:c>
      <x:c r="S33" s="48" t="str">
        <x:v>Kennedy Lewis Fund IV DDQ - October 2025.pdf</x:v>
      </x:c>
      <x:c r="T33" s="48" t="str"/>
      <x:c r="U33" s="48" t="str">
        <x:v>LOCATED; VERSION_FAMILY_NOT_FULLY_RECONCILED</x:v>
      </x:c>
      <x:c r="V33" s="48" t="str">
        <x:v>LOCATED_NOT_EXTRACTED_IN_THIS_PASS</x:v>
      </x:c>
      <x:c r="W33" s="48" t="str">
        <x:v>UNKNOWN</x:v>
      </x:c>
      <x:c r="X33" s="48" t="str">
        <x:v>NOT_CODED_IN_PRIMARY_MATRIX</x:v>
      </x:c>
      <x:c r="Y33" s="48" t="str">
        <x:v>Credit comparator, not control buyout.</x:v>
      </x:c>
      <x:c r="Z33" s="48" t="str">
        <x:v>NOT_APPLICABLE_UNLESS_SCOPE_IS_CHANGED</x:v>
      </x:c>
      <x:c r="AA33" s="48" t="str">
        <x:v>NONE_UNDER_CURRENT_SCOPE</x:v>
      </x:c>
      <x:c r="AB33" s="48" t="str">
        <x:v>LOW_OR_SCOPE_DEPENDENT</x:v>
      </x:c>
      <x:c r="AC33" s="48" t="str">
        <x:v>Credit comparator, not control buyout.</x:v>
      </x:c>
    </x:row>
    <x:row r="34">
      <x:c r="A34" s="48" t="str">
        <x:v>DDQ Universe Reconciliation v1.1 / Tier B N=29</x:v>
      </x:c>
      <x:c r="B34" s="48" t="str">
        <x:v>2026-07-16</x:v>
      </x:c>
      <x:c r="C34" s="48" t="str">
        <x:v>LOWER_BOUND_NOT_RECURSIVE_COMPLETE</x:v>
      </x:c>
      <x:c r="D34" s="48" t="str">
        <x:v>PLURAL_III</x:v>
      </x:c>
      <x:c r="E34" s="48" t="str">
        <x:v>Plural</x:v>
      </x:c>
      <x:c r="F34" s="48" t="str">
        <x:v>Plural III &amp; Opportunity I</x:v>
      </x:c>
      <x:c r="G34" s="48" t="str">
        <x:v>ADJACENT_STRATEGY</x:v>
      </x:c>
      <x:c r="H34" s="48" t="str">
        <x:v>EXCLUDED_ADJACENT_STRATEGY</x:v>
      </x:c>
      <x:c r="I34" s="48" t="str"/>
      <x:c r="J34" s="48" t="str"/>
      <x:c r="K34" s="48" t="str">
        <x:v>VENTURE</x:v>
      </x:c>
      <x:c r="L34" s="48" t="str">
        <x:v>EUROPE</x:v>
      </x:c>
      <x:c r="M34" s="48" t="str">
        <x:v>2025</x:v>
      </x:c>
      <x:c r="N34" s="48" t="str">
        <x:v>2024_2026</x:v>
      </x:c>
      <x:c r="O34" s="48" t="str">
        <x:v>IC_RECOMMENDS_SEPARATE_FINAL_AUTHORITY</x:v>
      </x:c>
      <x:c r="P34" s="48" t="str">
        <x:v>NO_OR_LIMITED</x:v>
      </x:c>
      <x:c r="Q34" s="48" t="str">
        <x:v>SPONSOR_SELF_DESCRIBED</x:v>
      </x:c>
      <x:c r="R34" s="48" t="str">
        <x:v>1</x:v>
      </x:c>
      <x:c r="S34" s="48" t="str">
        <x:v>CONFIDENTIAL - Plural III &amp; Opportunity I Due Diligence Questionnaire (final 5_9_25).pdf</x:v>
      </x:c>
      <x:c r="T34" s="48" t="str"/>
      <x:c r="U34" s="48" t="str">
        <x:v>LOCATED; VERSION_FAMILY_NOT_FULLY_RECONCILED</x:v>
      </x:c>
      <x:c r="V34" s="48" t="str">
        <x:v>LOCATED_NOT_EXTRACTED_IN_THIS_PASS</x:v>
      </x:c>
      <x:c r="W34" s="48" t="str">
        <x:v>UNKNOWN</x:v>
      </x:c>
      <x:c r="X34" s="48" t="str">
        <x:v>NOT_CODED_IN_PRIMARY_MATRIX</x:v>
      </x:c>
      <x:c r="Y34" s="48" t="str">
        <x:v>Venture comparator; useful for separate legal authority, not primary buyout denominator.</x:v>
      </x:c>
      <x:c r="Z34" s="48" t="str">
        <x:v>NOT_APPLICABLE_UNLESS_SCOPE_IS_CHANGED</x:v>
      </x:c>
      <x:c r="AA34" s="48" t="str">
        <x:v>NONE_UNDER_CURRENT_SCOPE</x:v>
      </x:c>
      <x:c r="AB34" s="48" t="str">
        <x:v>LOW_OR_SCOPE_DEPENDENT</x:v>
      </x:c>
      <x:c r="AC34" s="48" t="str">
        <x:v>Venture comparator; useful for separate legal authority, not primary buyout denominator.</x:v>
      </x:c>
    </x:row>
    <x:row r="35">
      <x:c r="A35" s="48" t="str">
        <x:v>DDQ Universe Reconciliation v1.1 / Tier B N=29</x:v>
      </x:c>
      <x:c r="B35" s="48" t="str">
        <x:v>2026-07-16</x:v>
      </x:c>
      <x:c r="C35" s="48" t="str">
        <x:v>LOWER_BOUND_NOT_RECURSIVE_COMPLETE</x:v>
      </x:c>
      <x:c r="D35" s="48" t="str">
        <x:v>QUANTUMLIGHT_II</x:v>
      </x:c>
      <x:c r="E35" s="48" t="str">
        <x:v>QuantumLight</x:v>
      </x:c>
      <x:c r="F35" s="48" t="str">
        <x:v>QuantumLight Fund II</x:v>
      </x:c>
      <x:c r="G35" s="48" t="str">
        <x:v>ADJACENT_STRATEGY</x:v>
      </x:c>
      <x:c r="H35" s="48" t="str">
        <x:v>EXCLUDED_ADJACENT_STRATEGY</x:v>
      </x:c>
      <x:c r="I35" s="48" t="str"/>
      <x:c r="J35" s="48" t="str"/>
      <x:c r="K35" s="48" t="str">
        <x:v>VENTURE_AI</x:v>
      </x:c>
      <x:c r="L35" s="48" t="str">
        <x:v>EUROPE</x:v>
      </x:c>
      <x:c r="M35" s="48" t="str">
        <x:v>2025</x:v>
      </x:c>
      <x:c r="N35" s="48" t="str">
        <x:v>2024_2026</x:v>
      </x:c>
      <x:c r="O35" s="48" t="str"/>
      <x:c r="P35" s="48" t="str"/>
      <x:c r="Q35" s="48" t="str">
        <x:v>SPONSOR_SELF_DESCRIBED</x:v>
      </x:c>
      <x:c r="R35" s="48" t="str">
        <x:v>1</x:v>
      </x:c>
      <x:c r="S35" s="48" t="str">
        <x:v>Fund II DDQ - Nov 2025 - DRAFT.pdf</x:v>
      </x:c>
      <x:c r="T35" s="48" t="str"/>
      <x:c r="U35" s="48" t="str">
        <x:v>LOCATED; VERSION_FAMILY_NOT_FULLY_RECONCILED</x:v>
      </x:c>
      <x:c r="V35" s="48" t="str">
        <x:v>LOCATED_NOT_EXTRACTED_IN_THIS_PASS</x:v>
      </x:c>
      <x:c r="W35" s="48" t="str">
        <x:v>UNKNOWN</x:v>
      </x:c>
      <x:c r="X35" s="48" t="str">
        <x:v>NOT_CODED_IN_PRIMARY_MATRIX</x:v>
      </x:c>
      <x:c r="Y35" s="48" t="str">
        <x:v>Venture comparator.</x:v>
      </x:c>
      <x:c r="Z35" s="48" t="str">
        <x:v>NOT_APPLICABLE_UNLESS_SCOPE_IS_CHANGED</x:v>
      </x:c>
      <x:c r="AA35" s="48" t="str">
        <x:v>NONE_UNDER_CURRENT_SCOPE</x:v>
      </x:c>
      <x:c r="AB35" s="48" t="str">
        <x:v>LOW_OR_SCOPE_DEPENDENT</x:v>
      </x:c>
      <x:c r="AC35" s="48" t="str">
        <x:v>Venture comparator.</x:v>
      </x:c>
    </x:row>
    <x:row r="36">
      <x:c r="A36" s="48" t="str">
        <x:v>DDQ Universe Reconciliation v1.1 / Tier B N=29</x:v>
      </x:c>
      <x:c r="B36" s="48" t="str">
        <x:v>2026-07-16</x:v>
      </x:c>
      <x:c r="C36" s="48" t="str">
        <x:v>LOWER_BOUND_NOT_RECURSIVE_COMPLETE</x:v>
      </x:c>
      <x:c r="D36" s="48" t="str">
        <x:v>GSE_PARTNERS_I</x:v>
      </x:c>
      <x:c r="E36" s="48" t="str">
        <x:v>Graham Sports &amp; Entertainment Partners</x:v>
      </x:c>
      <x:c r="F36" s="48" t="str">
        <x:v>GSE Partners Fund I</x:v>
      </x:c>
      <x:c r="G36" s="48" t="str">
        <x:v>SUPPLEMENTAL_NON_DDQ</x:v>
      </x:c>
      <x:c r="H36" s="48" t="str">
        <x:v>NOT_A_DDQ_DENOMINATOR</x:v>
      </x:c>
      <x:c r="I36" s="48" t="str"/>
      <x:c r="J36" s="48" t="str"/>
      <x:c r="K36" s="48" t="str">
        <x:v>CONTROL_OR_GROWTH</x:v>
      </x:c>
      <x:c r="L36" s="48" t="str">
        <x:v>NORTH_AMERICA</x:v>
      </x:c>
      <x:c r="M36" s="48" t="str">
        <x:v>2025</x:v>
      </x:c>
      <x:c r="N36" s="48" t="str">
        <x:v>2024_2026</x:v>
      </x:c>
      <x:c r="O36" s="48" t="str">
        <x:v>IC_FINAL_OR_DE_FACTO</x:v>
      </x:c>
      <x:c r="P36" s="48" t="str"/>
      <x:c r="Q36" s="48" t="str">
        <x:v>SUPPLEMENTAL_PROCESS_PACKET</x:v>
      </x:c>
      <x:c r="R36" s="48" t="str">
        <x:v>0</x:v>
      </x:c>
      <x:c r="S36" s="48" t="str">
        <x:v>GSE Gating Committees Charter_April 2026.pdf</x:v>
      </x:c>
      <x:c r="T36" s="48" t="str"/>
      <x:c r="U36" s="48" t="str">
        <x:v>LOCATED; VERSION_FAMILY_NOT_FULLY_RECONCILED</x:v>
      </x:c>
      <x:c r="V36" s="48" t="str">
        <x:v>FULL_TEXT_EXTRACTED</x:v>
      </x:c>
      <x:c r="W36" s="48" t="str">
        <x:v>HIGH_FOR_GOVERNANCE_ONLY</x:v>
      </x:c>
      <x:c r="X36" s="48" t="str">
        <x:v>NOT_CODED_IN_PRIMARY_MATRIX</x:v>
      </x:c>
      <x:c r="Y36" s="48" t="str">
        <x:v>Governance/process packet, not a manager DDQ; preserve as supplemental evidence.</x:v>
      </x:c>
      <x:c r="Z36" s="48" t="str">
        <x:v>NOT_APPLICABLE_UNLESS_SCOPE_IS_CHANGED</x:v>
      </x:c>
      <x:c r="AA36" s="48" t="str">
        <x:v>NONE_UNDER_CURRENT_SCOPE</x:v>
      </x:c>
      <x:c r="AB36" s="48" t="str">
        <x:v>LOW_OR_SCOPE_DEPENDENT</x:v>
      </x:c>
      <x:c r="AC36" s="48" t="str">
        <x:v>Governance/process packet, not a manager DDQ; preserve as supplemental evidence.</x:v>
      </x:c>
    </x:row>
    <x:row r="37">
      <x:c r="A37" s="48" t="str">
        <x:v>DDQ Universe Reconciliation v1.1 / Tier B N=29</x:v>
      </x:c>
      <x:c r="B37" s="48" t="str">
        <x:v>2026-07-16</x:v>
      </x:c>
      <x:c r="C37" s="48" t="str">
        <x:v>LOWER_BOUND_NOT_RECURSIVE_COMPLETE</x:v>
      </x:c>
      <x:c r="D37" s="48" t="str">
        <x:v>GCM_GROSVENOR_COINV_II</x:v>
      </x:c>
      <x:c r="E37" s="48" t="str">
        <x:v>GCM Grosvenor</x:v>
      </x:c>
      <x:c r="F37" s="48" t="str">
        <x:v>Co-Investment Opportunities Fund II</x:v>
      </x:c>
      <x:c r="G37" s="48" t="str">
        <x:v>ADJACENT_STRATEGY</x:v>
      </x:c>
      <x:c r="H37" s="48" t="str">
        <x:v>EXCLUDED_ADJACENT_STRATEGY</x:v>
      </x:c>
      <x:c r="I37" s="48" t="str"/>
      <x:c r="J37" s="48" t="str"/>
      <x:c r="K37" s="48" t="str">
        <x:v>COINVESTMENT_PROGRAM</x:v>
      </x:c>
      <x:c r="L37" s="48" t="str">
        <x:v>GLOBAL_TRANSATLANTIC</x:v>
      </x:c>
      <x:c r="M37" s="48" t="str">
        <x:v>2017</x:v>
      </x:c>
      <x:c r="N37" s="48" t="str">
        <x:v>2018_2020</x:v>
      </x:c>
      <x:c r="O37" s="48" t="str"/>
      <x:c r="P37" s="48" t="str"/>
      <x:c r="Q37" s="48" t="str">
        <x:v>SPONSOR_SELF_DESCRIBED</x:v>
      </x:c>
      <x:c r="R37" s="48" t="str">
        <x:v>1</x:v>
      </x:c>
      <x:c r="S37" s="48" t="str">
        <x:v>DDQ - GCM Grosvenor Co-Investment Opportunities Fund II, L.P. - Q4 2017.pdf</x:v>
      </x:c>
      <x:c r="T37" s="48" t="str"/>
      <x:c r="U37" s="48" t="str">
        <x:v>LOCATED; VERSION_FAMILY_NOT_FULLY_RECONCILED</x:v>
      </x:c>
      <x:c r="V37" s="48" t="str">
        <x:v>LOCATED_NOT_EXTRACTED_IN_THIS_PASS</x:v>
      </x:c>
      <x:c r="W37" s="48" t="str">
        <x:v>UNKNOWN</x:v>
      </x:c>
      <x:c r="X37" s="48" t="str">
        <x:v>NOT_CODED_IN_PRIMARY_MATRIX</x:v>
      </x:c>
      <x:c r="Y37" s="48" t="str">
        <x:v>Co-investment-program process, not lead-control buyout manager.</x:v>
      </x:c>
      <x:c r="Z37" s="48" t="str">
        <x:v>NOT_APPLICABLE_UNLESS_SCOPE_IS_CHANGED</x:v>
      </x:c>
      <x:c r="AA37" s="48" t="str">
        <x:v>NONE_UNDER_CURRENT_SCOPE</x:v>
      </x:c>
      <x:c r="AB37" s="48" t="str">
        <x:v>LOW_OR_SCOPE_DEPENDENT</x:v>
      </x:c>
      <x:c r="AC37" s="48" t="str">
        <x:v>Co-investment-program process, not lead-control buyout manager.</x:v>
      </x:c>
    </x:row>
    <x:row r="38">
      <x:c r="A38" s="48" t="str">
        <x:v>DDQ Universe Reconciliation v1.1 / Tier B N=29</x:v>
      </x:c>
      <x:c r="B38" s="48" t="str">
        <x:v>2026-07-16</x:v>
      </x:c>
      <x:c r="C38" s="48" t="str">
        <x:v>LOWER_BOUND_NOT_RECURSIVE_COMPLETE</x:v>
      </x:c>
      <x:c r="D38" s="48" t="str">
        <x:v>NORTHGATE_VP_X</x:v>
      </x:c>
      <x:c r="E38" s="48" t="str">
        <x:v>Northgate Venture Partners</x:v>
      </x:c>
      <x:c r="F38" s="48" t="str">
        <x:v>Northgate Venture Partners X</x:v>
      </x:c>
      <x:c r="G38" s="48" t="str">
        <x:v>ADJACENT_STRATEGY</x:v>
      </x:c>
      <x:c r="H38" s="48" t="str">
        <x:v>EXCLUDED_ADJACENT_STRATEGY</x:v>
      </x:c>
      <x:c r="I38" s="48" t="str"/>
      <x:c r="J38" s="48" t="str"/>
      <x:c r="K38" s="48" t="str">
        <x:v>VENTURE</x:v>
      </x:c>
      <x:c r="L38" s="48" t="str">
        <x:v>GLOBAL_TRANSATLANTIC</x:v>
      </x:c>
      <x:c r="M38" s="48" t="str">
        <x:v>2023</x:v>
      </x:c>
      <x:c r="N38" s="48" t="str">
        <x:v>2021_2023</x:v>
      </x:c>
      <x:c r="O38" s="48" t="str"/>
      <x:c r="P38" s="48" t="str"/>
      <x:c r="Q38" s="48" t="str">
        <x:v>SPONSOR_SELF_DESCRIBED</x:v>
      </x:c>
      <x:c r="R38" s="48" t="str">
        <x:v>1</x:v>
      </x:c>
      <x:c r="S38" s="48" t="str">
        <x:v>NVP X DDQ 100123.pdf</x:v>
      </x:c>
      <x:c r="T38" s="48" t="str"/>
      <x:c r="U38" s="48" t="str">
        <x:v>LOCATED; VERSION_FAMILY_NOT_FULLY_RECONCILED</x:v>
      </x:c>
      <x:c r="V38" s="48" t="str">
        <x:v>LOCATED_NOT_EXTRACTED_IN_THIS_PASS</x:v>
      </x:c>
      <x:c r="W38" s="48" t="str">
        <x:v>UNKNOWN</x:v>
      </x:c>
      <x:c r="X38" s="48" t="str">
        <x:v>NOT_CODED_IN_PRIMARY_MATRIX</x:v>
      </x:c>
      <x:c r="Y38" s="48" t="str">
        <x:v>Venture strategy.</x:v>
      </x:c>
      <x:c r="Z38" s="48" t="str">
        <x:v>NOT_APPLICABLE_UNLESS_SCOPE_IS_CHANGED</x:v>
      </x:c>
      <x:c r="AA38" s="48" t="str">
        <x:v>NONE_UNDER_CURRENT_SCOPE</x:v>
      </x:c>
      <x:c r="AB38" s="48" t="str">
        <x:v>LOW_OR_SCOPE_DEPENDENT</x:v>
      </x:c>
      <x:c r="AC38" s="48" t="str">
        <x:v>Venture strategy.</x:v>
      </x:c>
    </x:row>
    <x:row r="39">
      <x:c r="A39" s="48" t="str">
        <x:v>DDQ Universe Reconciliation v1.1 / Tier B N=29</x:v>
      </x:c>
      <x:c r="B39" s="48" t="str">
        <x:v>2026-07-16</x:v>
      </x:c>
      <x:c r="C39" s="48" t="str">
        <x:v>LOWER_BOUND_NOT_RECURSIVE_COMPLETE</x:v>
      </x:c>
      <x:c r="D39" s="48" t="str">
        <x:v>MUBADALA_EU_VENTURES</x:v>
      </x:c>
      <x:c r="E39" s="48" t="str">
        <x:v>Mubadala Capital</x:v>
      </x:c>
      <x:c r="F39" s="48" t="str">
        <x:v>European Ventures Fund I</x:v>
      </x:c>
      <x:c r="G39" s="48" t="str">
        <x:v>ADJACENT_STRATEGY</x:v>
      </x:c>
      <x:c r="H39" s="48" t="str">
        <x:v>EXCLUDED_ADJACENT_STRATEGY</x:v>
      </x:c>
      <x:c r="I39" s="48" t="str"/>
      <x:c r="J39" s="48" t="str"/>
      <x:c r="K39" s="48" t="str">
        <x:v>VENTURE</x:v>
      </x:c>
      <x:c r="L39" s="48" t="str">
        <x:v>EUROPE</x:v>
      </x:c>
      <x:c r="M39" s="48" t="str">
        <x:v>2020</x:v>
      </x:c>
      <x:c r="N39" s="48" t="str">
        <x:v>2018_2020</x:v>
      </x:c>
      <x:c r="O39" s="48" t="str"/>
      <x:c r="P39" s="48" t="str"/>
      <x:c r="Q39" s="48" t="str">
        <x:v>SPONSOR_SELF_DESCRIBED</x:v>
      </x:c>
      <x:c r="R39" s="48" t="str">
        <x:v>1</x:v>
      </x:c>
      <x:c r="S39" s="48" t="str">
        <x:v>MIC Capital Partners (Ventures) Europe Fund I DDQ - May 2020.pdf</x:v>
      </x:c>
      <x:c r="T39" s="48" t="str"/>
      <x:c r="U39" s="48" t="str">
        <x:v>LOCATED; VERSION_FAMILY_NOT_FULLY_RECONCILED</x:v>
      </x:c>
      <x:c r="V39" s="48" t="str">
        <x:v>LOCATED_NOT_EXTRACTED_IN_THIS_PASS</x:v>
      </x:c>
      <x:c r="W39" s="48" t="str">
        <x:v>UNKNOWN</x:v>
      </x:c>
      <x:c r="X39" s="48" t="str">
        <x:v>NOT_CODED_IN_PRIMARY_MATRIX</x:v>
      </x:c>
      <x:c r="Y39" s="48" t="str">
        <x:v>Venture strategy.</x:v>
      </x:c>
      <x:c r="Z39" s="48" t="str">
        <x:v>NOT_APPLICABLE_UNLESS_SCOPE_IS_CHANGED</x:v>
      </x:c>
      <x:c r="AA39" s="48" t="str">
        <x:v>NONE_UNDER_CURRENT_SCOPE</x:v>
      </x:c>
      <x:c r="AB39" s="48" t="str">
        <x:v>LOW_OR_SCOPE_DEPENDENT</x:v>
      </x:c>
      <x:c r="AC39" s="48" t="str">
        <x:v>Venture strategy.</x:v>
      </x:c>
    </x:row>
    <x:row r="40">
      <x:c r="A40" s="48" t="str">
        <x:v>DDQ Universe Reconciliation v1.1 / Tier B N=29</x:v>
      </x:c>
      <x:c r="B40" s="48" t="str">
        <x:v>2026-07-16</x:v>
      </x:c>
      <x:c r="C40" s="48" t="str">
        <x:v>LOWER_BOUND_NOT_RECURSIVE_COMPLETE</x:v>
      </x:c>
      <x:c r="D40" s="48" t="str">
        <x:v>KKR</x:v>
      </x:c>
      <x:c r="E40" s="48" t="str">
        <x:v>KKR</x:v>
      </x:c>
      <x:c r="F40" s="48" t="str"/>
      <x:c r="G40" s="48" t="str">
        <x:v>PROMINENT_MANAGER_CHECK</x:v>
      </x:c>
      <x:c r="H40" s="48" t="str">
        <x:v>NOT_LOCATED_BY_EXPLICIT_SEARCH</x:v>
      </x:c>
      <x:c r="I40" s="48" t="str"/>
      <x:c r="J40" s="48" t="str"/>
      <x:c r="K40" s="48" t="str">
        <x:v>CONTROL_BUYOUT_OR_MULTI_STRATEGY</x:v>
      </x:c>
      <x:c r="L40" s="48" t="str"/>
      <x:c r="M40" s="48" t="str"/>
      <x:c r="N40" s="48" t="str"/>
      <x:c r="O40" s="48" t="str"/>
      <x:c r="P40" s="48" t="str"/>
      <x:c r="Q40" s="48" t="str">
        <x:v>NONE_LOCATED</x:v>
      </x:c>
      <x:c r="R40" s="48" t="str">
        <x:v>0</x:v>
      </x:c>
      <x:c r="S40" s="48" t="str"/>
      <x:c r="T40" s="48" t="str"/>
      <x:c r="U40" s="48" t="str">
        <x:v>NOT_LOCATED_BY_THIS_SEARCH_NOT_PROOF_OF_ABSENCE</x:v>
      </x:c>
      <x:c r="V40" s="48" t="str">
        <x:v>NOT_LOCATED</x:v>
      </x:c>
      <x:c r="W40" s="48" t="str">
        <x:v>NOT_APPLICABLE</x:v>
      </x:c>
      <x:c r="X40" s="48" t="str">
        <x:v>0</x:v>
      </x:c>
      <x:c r="Y40" s="48" t="str">
        <x:v>No relevant manager-authored process DDQ returned.</x:v>
      </x:c>
      <x:c r="Z40" s="48" t="str">
        <x:v>UNKNOWN_UNTIL_DDQ_LOCATED</x:v>
      </x:c>
      <x:c r="AA40" s="48" t="str">
        <x:v>UNKNOWN</x:v>
      </x:c>
      <x:c r="AB40" s="48" t="str">
        <x:v>REVISIT_ONLY_IF_NEW_FILE_IDENTIFIER_EMERGES</x:v>
      </x:c>
      <x:c r="AC40" s="48" t="str">
        <x:v>Explicit query: KKR ILPA DDQ. No relevant manager-authored process DDQ returned.</x:v>
      </x:c>
    </x:row>
    <x:row r="41">
      <x:c r="A41" s="48" t="str">
        <x:v>DDQ Universe Reconciliation v1.1 / Tier B N=29</x:v>
      </x:c>
      <x:c r="B41" s="48" t="str">
        <x:v>2026-07-16</x:v>
      </x:c>
      <x:c r="C41" s="48" t="str">
        <x:v>LOWER_BOUND_NOT_RECURSIVE_COMPLETE</x:v>
      </x:c>
      <x:c r="D41" s="48" t="str">
        <x:v>APOLLO</x:v>
      </x:c>
      <x:c r="E41" s="48" t="str">
        <x:v>Apollo Global Management</x:v>
      </x:c>
      <x:c r="F41" s="48" t="str"/>
      <x:c r="G41" s="48" t="str">
        <x:v>PROMINENT_MANAGER_CHECK</x:v>
      </x:c>
      <x:c r="H41" s="48" t="str">
        <x:v>NOT_LOCATED_BY_EXPLICIT_SEARCH</x:v>
      </x:c>
      <x:c r="I41" s="48" t="str"/>
      <x:c r="J41" s="48" t="str"/>
      <x:c r="K41" s="48" t="str">
        <x:v>CONTROL_BUYOUT_OR_MULTI_STRATEGY</x:v>
      </x:c>
      <x:c r="L41" s="48" t="str"/>
      <x:c r="M41" s="48" t="str"/>
      <x:c r="N41" s="48" t="str"/>
      <x:c r="O41" s="48" t="str"/>
      <x:c r="P41" s="48" t="str"/>
      <x:c r="Q41" s="48" t="str">
        <x:v>NONE_LOCATED</x:v>
      </x:c>
      <x:c r="R41" s="48" t="str">
        <x:v>0</x:v>
      </x:c>
      <x:c r="S41" s="48" t="str"/>
      <x:c r="T41" s="48" t="str"/>
      <x:c r="U41" s="48" t="str">
        <x:v>NOT_LOCATED_BY_THIS_SEARCH_NOT_PROOF_OF_ABSENCE</x:v>
      </x:c>
      <x:c r="V41" s="48" t="str">
        <x:v>NOT_LOCATED</x:v>
      </x:c>
      <x:c r="W41" s="48" t="str">
        <x:v>NOT_APPLICABLE</x:v>
      </x:c>
      <x:c r="X41" s="48" t="str">
        <x:v>0</x:v>
      </x:c>
      <x:c r="Y41" s="48" t="str">
        <x:v>No relevant manager-authored process DDQ returned.</x:v>
      </x:c>
      <x:c r="Z41" s="48" t="str">
        <x:v>UNKNOWN_UNTIL_DDQ_LOCATED</x:v>
      </x:c>
      <x:c r="AA41" s="48" t="str">
        <x:v>UNKNOWN</x:v>
      </x:c>
      <x:c r="AB41" s="48" t="str">
        <x:v>REVISIT_ONLY_IF_NEW_FILE_IDENTIFIER_EMERGES</x:v>
      </x:c>
      <x:c r="AC41" s="48" t="str">
        <x:v>Explicit query: Apollo Due Diligence Questionnaire. No relevant manager-authored process DDQ returned.</x:v>
      </x:c>
    </x:row>
    <x:row r="42">
      <x:c r="A42" s="48" t="str">
        <x:v>DDQ Universe Reconciliation v1.1 / Tier B N=29</x:v>
      </x:c>
      <x:c r="B42" s="48" t="str">
        <x:v>2026-07-16</x:v>
      </x:c>
      <x:c r="C42" s="48" t="str">
        <x:v>LOWER_BOUND_NOT_RECURSIVE_COMPLETE</x:v>
      </x:c>
      <x:c r="D42" s="48" t="str">
        <x:v>EQT</x:v>
      </x:c>
      <x:c r="E42" s="48" t="str">
        <x:v>EQT</x:v>
      </x:c>
      <x:c r="F42" s="48" t="str"/>
      <x:c r="G42" s="48" t="str">
        <x:v>PROMINENT_MANAGER_CHECK</x:v>
      </x:c>
      <x:c r="H42" s="48" t="str">
        <x:v>NOT_LOCATED_BY_EXPLICIT_SEARCH</x:v>
      </x:c>
      <x:c r="I42" s="48" t="str"/>
      <x:c r="J42" s="48" t="str"/>
      <x:c r="K42" s="48" t="str">
        <x:v>CONTROL_BUYOUT_OR_MULTI_STRATEGY</x:v>
      </x:c>
      <x:c r="L42" s="48" t="str"/>
      <x:c r="M42" s="48" t="str"/>
      <x:c r="N42" s="48" t="str"/>
      <x:c r="O42" s="48" t="str"/>
      <x:c r="P42" s="48" t="str"/>
      <x:c r="Q42" s="48" t="str">
        <x:v>NONE_LOCATED</x:v>
      </x:c>
      <x:c r="R42" s="48" t="str">
        <x:v>0</x:v>
      </x:c>
      <x:c r="S42" s="48" t="str"/>
      <x:c r="T42" s="48" t="str"/>
      <x:c r="U42" s="48" t="str">
        <x:v>NOT_LOCATED_BY_THIS_SEARCH_NOT_PROOF_OF_ABSENCE</x:v>
      </x:c>
      <x:c r="V42" s="48" t="str">
        <x:v>NOT_LOCATED</x:v>
      </x:c>
      <x:c r="W42" s="48" t="str">
        <x:v>NOT_APPLICABLE</x:v>
      </x:c>
      <x:c r="X42" s="48" t="str">
        <x:v>0</x:v>
      </x:c>
      <x:c r="Y42" s="48" t="str">
        <x:v>No relevant manager-authored process DDQ returned.</x:v>
      </x:c>
      <x:c r="Z42" s="48" t="str">
        <x:v>UNKNOWN_UNTIL_DDQ_LOCATED</x:v>
      </x:c>
      <x:c r="AA42" s="48" t="str">
        <x:v>UNKNOWN</x:v>
      </x:c>
      <x:c r="AB42" s="48" t="str">
        <x:v>REVISIT_ONLY_IF_NEW_FILE_IDENTIFIER_EMERGES</x:v>
      </x:c>
      <x:c r="AC42" s="48" t="str">
        <x:v>Explicit query: EQT Due Diligence Questionnaire fund. No relevant manager-authored process DDQ returned.</x:v>
      </x:c>
    </x:row>
    <x:row r="43">
      <x:c r="A43" s="48" t="str">
        <x:v>DDQ Universe Reconciliation v1.1 / Tier B N=29</x:v>
      </x:c>
      <x:c r="B43" s="48" t="str">
        <x:v>2026-07-16</x:v>
      </x:c>
      <x:c r="C43" s="48" t="str">
        <x:v>LOWER_BOUND_NOT_RECURSIVE_COMPLETE</x:v>
      </x:c>
      <x:c r="D43" s="48" t="str">
        <x:v>BAIN</x:v>
      </x:c>
      <x:c r="E43" s="48" t="str">
        <x:v>Bain Capital</x:v>
      </x:c>
      <x:c r="F43" s="48" t="str"/>
      <x:c r="G43" s="48" t="str">
        <x:v>PROMINENT_MANAGER_CHECK</x:v>
      </x:c>
      <x:c r="H43" s="48" t="str">
        <x:v>REPORTING_OR_MARKETING_ONLY</x:v>
      </x:c>
      <x:c r="I43" s="48" t="str"/>
      <x:c r="J43" s="48" t="str"/>
      <x:c r="K43" s="48" t="str">
        <x:v>CONTROL_BUYOUT_OR_MULTI_STRATEGY</x:v>
      </x:c>
      <x:c r="L43" s="48" t="str"/>
      <x:c r="M43" s="48" t="str"/>
      <x:c r="N43" s="48" t="str"/>
      <x:c r="O43" s="48" t="str"/>
      <x:c r="P43" s="48" t="str"/>
      <x:c r="Q43" s="48" t="str">
        <x:v>NONE_LOCATED</x:v>
      </x:c>
      <x:c r="R43" s="48" t="str">
        <x:v>0</x:v>
      </x:c>
      <x:c r="S43" s="48" t="str"/>
      <x:c r="T43" s="48" t="str"/>
      <x:c r="U43" s="48" t="str">
        <x:v>NOT_LOCATED_BY_THIS_SEARCH_NOT_PROOF_OF_ABSENCE</x:v>
      </x:c>
      <x:c r="V43" s="48" t="str">
        <x:v>NOT_LOCATED</x:v>
      </x:c>
      <x:c r="W43" s="48" t="str">
        <x:v>NOT_APPLICABLE</x:v>
      </x:c>
      <x:c r="X43" s="48" t="str">
        <x:v>0</x:v>
      </x:c>
      <x:c r="Y43" s="48" t="str">
        <x:v>Annual-meeting/reporting materials located; no stable process DDQ located.</x:v>
      </x:c>
      <x:c r="Z43" s="48" t="str">
        <x:v>UNKNOWN_UNTIL_DDQ_LOCATED</x:v>
      </x:c>
      <x:c r="AA43" s="48" t="str">
        <x:v>UNKNOWN</x:v>
      </x:c>
      <x:c r="AB43" s="48" t="str">
        <x:v>REVISIT_ONLY_IF_NEW_FILE_IDENTIFIER_EMERGES</x:v>
      </x:c>
      <x:c r="AC43" s="48" t="str">
        <x:v>Explicit query: Bain Capital Due Diligence Questionnaire. Annual-meeting/reporting materials located; no stable process DDQ located.</x:v>
      </x:c>
    </x:row>
    <x:row r="44">
      <x:c r="A44" s="48" t="str">
        <x:v>DDQ Universe Reconciliation v1.1 / Tier B N=29</x:v>
      </x:c>
      <x:c r="B44" s="48" t="str">
        <x:v>2026-07-16</x:v>
      </x:c>
      <x:c r="C44" s="48" t="str">
        <x:v>LOWER_BOUND_NOT_RECURSIVE_COMPLETE</x:v>
      </x:c>
      <x:c r="D44" s="48" t="str">
        <x:v>CARLYLE</x:v>
      </x:c>
      <x:c r="E44" s="48" t="str">
        <x:v>The Carlyle Group</x:v>
      </x:c>
      <x:c r="F44" s="48" t="str"/>
      <x:c r="G44" s="48" t="str">
        <x:v>PROMINENT_MANAGER_CHECK</x:v>
      </x:c>
      <x:c r="H44" s="48" t="str">
        <x:v>LEGAL_OR_ADV_ONLY</x:v>
      </x:c>
      <x:c r="I44" s="48" t="str"/>
      <x:c r="J44" s="48" t="str"/>
      <x:c r="K44" s="48" t="str">
        <x:v>CONTROL_BUYOUT_OR_MULTI_STRATEGY</x:v>
      </x:c>
      <x:c r="L44" s="48" t="str"/>
      <x:c r="M44" s="48" t="str"/>
      <x:c r="N44" s="48" t="str"/>
      <x:c r="O44" s="48" t="str"/>
      <x:c r="P44" s="48" t="str"/>
      <x:c r="Q44" s="48" t="str">
        <x:v>NONE_LOCATED</x:v>
      </x:c>
      <x:c r="R44" s="48" t="str">
        <x:v>0</x:v>
      </x:c>
      <x:c r="S44" s="48" t="str"/>
      <x:c r="T44" s="48" t="str"/>
      <x:c r="U44" s="48" t="str">
        <x:v>NOT_LOCATED_BY_THIS_SEARCH_NOT_PROOF_OF_ABSENCE</x:v>
      </x:c>
      <x:c r="V44" s="48" t="str">
        <x:v>NOT_LOCATED</x:v>
      </x:c>
      <x:c r="W44" s="48" t="str">
        <x:v>NOT_APPLICABLE</x:v>
      </x:c>
      <x:c r="X44" s="48" t="str">
        <x:v>0</x:v>
      </x:c>
      <x:c r="Y44" s="48" t="str">
        <x:v>Legal documents and Form ADV copies located; no stable fund process DDQ located.</x:v>
      </x:c>
      <x:c r="Z44" s="48" t="str">
        <x:v>UNKNOWN_UNTIL_DDQ_LOCATED</x:v>
      </x:c>
      <x:c r="AA44" s="48" t="str">
        <x:v>UNKNOWN</x:v>
      </x:c>
      <x:c r="AB44" s="48" t="str">
        <x:v>REVISIT_ONLY_IF_NEW_FILE_IDENTIFIER_EMERGES</x:v>
      </x:c>
      <x:c r="AC44" s="48" t="str">
        <x:v>Explicit query: Carlyle Due Diligence Questionnaire private equity fund. Legal documents and Form ADV copies located; no stable fund process DDQ located.</x:v>
      </x:c>
    </x:row>
    <x:row r="45">
      <x:c r="A45" s="48" t="str">
        <x:v>DDQ Universe Reconciliation v1.1 / Tier B N=29</x:v>
      </x:c>
      <x:c r="B45" s="48" t="str">
        <x:v>2026-07-16</x:v>
      </x:c>
      <x:c r="C45" s="48" t="str">
        <x:v>LOWER_BOUND_NOT_RECURSIVE_COMPLETE</x:v>
      </x:c>
      <x:c r="D45" s="48" t="str">
        <x:v>ADVENT</x:v>
      </x:c>
      <x:c r="E45" s="48" t="str">
        <x:v>Advent International</x:v>
      </x:c>
      <x:c r="F45" s="48" t="str"/>
      <x:c r="G45" s="48" t="str">
        <x:v>PROMINENT_MANAGER_CHECK</x:v>
      </x:c>
      <x:c r="H45" s="48" t="str">
        <x:v>NOT_LOCATED_BY_EXPLICIT_SEARCH</x:v>
      </x:c>
      <x:c r="I45" s="48" t="str"/>
      <x:c r="J45" s="48" t="str"/>
      <x:c r="K45" s="48" t="str">
        <x:v>CONTROL_BUYOUT_OR_MULTI_STRATEGY</x:v>
      </x:c>
      <x:c r="L45" s="48" t="str"/>
      <x:c r="M45" s="48" t="str"/>
      <x:c r="N45" s="48" t="str"/>
      <x:c r="O45" s="48" t="str"/>
      <x:c r="P45" s="48" t="str"/>
      <x:c r="Q45" s="48" t="str">
        <x:v>NONE_LOCATED</x:v>
      </x:c>
      <x:c r="R45" s="48" t="str">
        <x:v>0</x:v>
      </x:c>
      <x:c r="S45" s="48" t="str"/>
      <x:c r="T45" s="48" t="str"/>
      <x:c r="U45" s="48" t="str">
        <x:v>NOT_LOCATED_BY_THIS_SEARCH_NOT_PROOF_OF_ABSENCE</x:v>
      </x:c>
      <x:c r="V45" s="48" t="str">
        <x:v>NOT_LOCATED</x:v>
      </x:c>
      <x:c r="W45" s="48" t="str">
        <x:v>NOT_APPLICABLE</x:v>
      </x:c>
      <x:c r="X45" s="48" t="str">
        <x:v>0</x:v>
      </x:c>
      <x:c r="Y45" s="48" t="str">
        <x:v>No relevant manager-authored process DDQ returned; an unrelated vendor SOC report was returned.</x:v>
      </x:c>
      <x:c r="Z45" s="48" t="str">
        <x:v>UNKNOWN_UNTIL_DDQ_LOCATED</x:v>
      </x:c>
      <x:c r="AA45" s="48" t="str">
        <x:v>UNKNOWN</x:v>
      </x:c>
      <x:c r="AB45" s="48" t="str">
        <x:v>REVISIT_ONLY_IF_NEW_FILE_IDENTIFIER_EMERGES</x:v>
      </x:c>
      <x:c r="AC45" s="48" t="str">
        <x:v>Explicit query: Advent International DDQ. No relevant manager-authored process DDQ returned; an unrelated vendor SOC report was returned.</x:v>
      </x:c>
    </x:row>
    <x:row r="46">
      <x:c r="A46" s="48" t="str">
        <x:v>DDQ Universe Reconciliation v1.1 / Tier B N=29</x:v>
      </x:c>
      <x:c r="B46" s="48" t="str">
        <x:v>2026-07-16</x:v>
      </x:c>
      <x:c r="C46" s="48" t="str">
        <x:v>LOWER_BOUND_NOT_RECURSIVE_COMPLETE</x:v>
      </x:c>
      <x:c r="D46" s="48" t="str">
        <x:v>VISTA</x:v>
      </x:c>
      <x:c r="E46" s="48" t="str">
        <x:v>Vista Equity Partners</x:v>
      </x:c>
      <x:c r="F46" s="48" t="str"/>
      <x:c r="G46" s="48" t="str">
        <x:v>PROMINENT_MANAGER_CHECK</x:v>
      </x:c>
      <x:c r="H46" s="48" t="str">
        <x:v>NOT_LOCATED_BY_EXPLICIT_SEARCH</x:v>
      </x:c>
      <x:c r="I46" s="48" t="str"/>
      <x:c r="J46" s="48" t="str"/>
      <x:c r="K46" s="48" t="str">
        <x:v>CONTROL_BUYOUT_OR_MULTI_STRATEGY</x:v>
      </x:c>
      <x:c r="L46" s="48" t="str"/>
      <x:c r="M46" s="48" t="str"/>
      <x:c r="N46" s="48" t="str"/>
      <x:c r="O46" s="48" t="str"/>
      <x:c r="P46" s="48" t="str"/>
      <x:c r="Q46" s="48" t="str">
        <x:v>NONE_LOCATED</x:v>
      </x:c>
      <x:c r="R46" s="48" t="str">
        <x:v>0</x:v>
      </x:c>
      <x:c r="S46" s="48" t="str"/>
      <x:c r="T46" s="48" t="str"/>
      <x:c r="U46" s="48" t="str">
        <x:v>NOT_LOCATED_BY_THIS_SEARCH_NOT_PROOF_OF_ABSENCE</x:v>
      </x:c>
      <x:c r="V46" s="48" t="str">
        <x:v>NOT_LOCATED</x:v>
      </x:c>
      <x:c r="W46" s="48" t="str">
        <x:v>NOT_APPLICABLE</x:v>
      </x:c>
      <x:c r="X46" s="48" t="str">
        <x:v>0</x:v>
      </x:c>
      <x:c r="Y46" s="48" t="str">
        <x:v>No relevant manager-authored process DDQ returned.</x:v>
      </x:c>
      <x:c r="Z46" s="48" t="str">
        <x:v>UNKNOWN_UNTIL_DDQ_LOCATED</x:v>
      </x:c>
      <x:c r="AA46" s="48" t="str">
        <x:v>UNKNOWN</x:v>
      </x:c>
      <x:c r="AB46" s="48" t="str">
        <x:v>REVISIT_ONLY_IF_NEW_FILE_IDENTIFIER_EMERGES</x:v>
      </x:c>
      <x:c r="AC46" s="48" t="str">
        <x:v>Explicit query: Vista Equity Partners DDQ. No relevant manager-authored process DDQ returned.</x:v>
      </x:c>
    </x:row>
    <x:row r="47">
      <x:c r="A47" s="48" t="str">
        <x:v>DDQ Universe Reconciliation v1.1 / Tier B N=29</x:v>
      </x:c>
      <x:c r="B47" s="48" t="str">
        <x:v>2026-07-16</x:v>
      </x:c>
      <x:c r="C47" s="48" t="str">
        <x:v>LOWER_BOUND_NOT_RECURSIVE_COMPLETE</x:v>
      </x:c>
      <x:c r="D47" s="48" t="str">
        <x:v>THOMA_BRAVO</x:v>
      </x:c>
      <x:c r="E47" s="48" t="str">
        <x:v>Thoma Bravo</x:v>
      </x:c>
      <x:c r="F47" s="48" t="str"/>
      <x:c r="G47" s="48" t="str">
        <x:v>PROMINENT_MANAGER_CHECK</x:v>
      </x:c>
      <x:c r="H47" s="48" t="str">
        <x:v>NOT_LOCATED_BY_EXPLICIT_SEARCH</x:v>
      </x:c>
      <x:c r="I47" s="48" t="str"/>
      <x:c r="J47" s="48" t="str"/>
      <x:c r="K47" s="48" t="str">
        <x:v>CONTROL_BUYOUT_OR_MULTI_STRATEGY</x:v>
      </x:c>
      <x:c r="L47" s="48" t="str"/>
      <x:c r="M47" s="48" t="str"/>
      <x:c r="N47" s="48" t="str"/>
      <x:c r="O47" s="48" t="str"/>
      <x:c r="P47" s="48" t="str"/>
      <x:c r="Q47" s="48" t="str">
        <x:v>NONE_LOCATED</x:v>
      </x:c>
      <x:c r="R47" s="48" t="str">
        <x:v>0</x:v>
      </x:c>
      <x:c r="S47" s="48" t="str"/>
      <x:c r="T47" s="48" t="str"/>
      <x:c r="U47" s="48" t="str">
        <x:v>NOT_LOCATED_BY_THIS_SEARCH_NOT_PROOF_OF_ABSENCE</x:v>
      </x:c>
      <x:c r="V47" s="48" t="str">
        <x:v>NOT_LOCATED</x:v>
      </x:c>
      <x:c r="W47" s="48" t="str">
        <x:v>NOT_APPLICABLE</x:v>
      </x:c>
      <x:c r="X47" s="48" t="str">
        <x:v>0</x:v>
      </x:c>
      <x:c r="Y47" s="48" t="str">
        <x:v>No relevant manager-authored process DDQ returned.</x:v>
      </x:c>
      <x:c r="Z47" s="48" t="str">
        <x:v>UNKNOWN_UNTIL_DDQ_LOCATED</x:v>
      </x:c>
      <x:c r="AA47" s="48" t="str">
        <x:v>UNKNOWN</x:v>
      </x:c>
      <x:c r="AB47" s="48" t="str">
        <x:v>REVISIT_ONLY_IF_NEW_FILE_IDENTIFIER_EMERGES</x:v>
      </x:c>
      <x:c r="AC47" s="48" t="str">
        <x:v>Explicit query: Thoma Bravo DDQ. No relevant manager-authored process DDQ returned.</x:v>
      </x:c>
    </x:row>
    <x:row r="48">
      <x:c r="A48" s="48" t="str">
        <x:v>DDQ Universe Reconciliation v1.1 / Tier B N=29</x:v>
      </x:c>
      <x:c r="B48" s="48" t="str">
        <x:v>2026-07-16</x:v>
      </x:c>
      <x:c r="C48" s="48" t="str">
        <x:v>LOWER_BOUND_NOT_RECURSIVE_COMPLETE</x:v>
      </x:c>
      <x:c r="D48" s="48" t="str">
        <x:v>HELLMAN_FRIEDMAN</x:v>
      </x:c>
      <x:c r="E48" s="48" t="str">
        <x:v>Hellman &amp; Friedman</x:v>
      </x:c>
      <x:c r="F48" s="48" t="str"/>
      <x:c r="G48" s="48" t="str">
        <x:v>PROMINENT_MANAGER_CHECK</x:v>
      </x:c>
      <x:c r="H48" s="48" t="str">
        <x:v>NOT_LOCATED_BY_EXPLICIT_SEARCH</x:v>
      </x:c>
      <x:c r="I48" s="48" t="str"/>
      <x:c r="J48" s="48" t="str"/>
      <x:c r="K48" s="48" t="str">
        <x:v>CONTROL_BUYOUT_OR_MULTI_STRATEGY</x:v>
      </x:c>
      <x:c r="L48" s="48" t="str"/>
      <x:c r="M48" s="48" t="str"/>
      <x:c r="N48" s="48" t="str"/>
      <x:c r="O48" s="48" t="str"/>
      <x:c r="P48" s="48" t="str"/>
      <x:c r="Q48" s="48" t="str">
        <x:v>NONE_LOCATED</x:v>
      </x:c>
      <x:c r="R48" s="48" t="str">
        <x:v>0</x:v>
      </x:c>
      <x:c r="S48" s="48" t="str"/>
      <x:c r="T48" s="48" t="str"/>
      <x:c r="U48" s="48" t="str">
        <x:v>NOT_LOCATED_BY_THIS_SEARCH_NOT_PROOF_OF_ABSENCE</x:v>
      </x:c>
      <x:c r="V48" s="48" t="str">
        <x:v>NOT_LOCATED</x:v>
      </x:c>
      <x:c r="W48" s="48" t="str">
        <x:v>NOT_APPLICABLE</x:v>
      </x:c>
      <x:c r="X48" s="48" t="str">
        <x:v>0</x:v>
      </x:c>
      <x:c r="Y48" s="48" t="str">
        <x:v>No relevant manager-authored process DDQ returned.</x:v>
      </x:c>
      <x:c r="Z48" s="48" t="str">
        <x:v>UNKNOWN_UNTIL_DDQ_LOCATED</x:v>
      </x:c>
      <x:c r="AA48" s="48" t="str">
        <x:v>UNKNOWN</x:v>
      </x:c>
      <x:c r="AB48" s="48" t="str">
        <x:v>REVISIT_ONLY_IF_NEW_FILE_IDENTIFIER_EMERGES</x:v>
      </x:c>
      <x:c r="AC48" s="48" t="str">
        <x:v>Explicit query: Hellman Friedman DDQ. No relevant manager-authored process DDQ returned.</x:v>
      </x:c>
    </x:row>
    <x:row r="49">
      <x:c r="A49" s="48" t="str">
        <x:v>DDQ Universe Reconciliation v1.1 / Tier B N=29</x:v>
      </x:c>
      <x:c r="B49" s="48" t="str">
        <x:v>2026-07-16</x:v>
      </x:c>
      <x:c r="C49" s="48" t="str">
        <x:v>LOWER_BOUND_NOT_RECURSIVE_COMPLETE</x:v>
      </x:c>
      <x:c r="D49" s="48" t="str">
        <x:v>CDR</x:v>
      </x:c>
      <x:c r="E49" s="48" t="str">
        <x:v>Clayton Dubilier &amp; Rice</x:v>
      </x:c>
      <x:c r="F49" s="48" t="str"/>
      <x:c r="G49" s="48" t="str">
        <x:v>PROMINENT_MANAGER_CHECK</x:v>
      </x:c>
      <x:c r="H49" s="48" t="str">
        <x:v>NOT_LOCATED_BY_EXPLICIT_SEARCH</x:v>
      </x:c>
      <x:c r="I49" s="48" t="str"/>
      <x:c r="J49" s="48" t="str"/>
      <x:c r="K49" s="48" t="str">
        <x:v>CONTROL_BUYOUT_OR_MULTI_STRATEGY</x:v>
      </x:c>
      <x:c r="L49" s="48" t="str"/>
      <x:c r="M49" s="48" t="str"/>
      <x:c r="N49" s="48" t="str"/>
      <x:c r="O49" s="48" t="str"/>
      <x:c r="P49" s="48" t="str"/>
      <x:c r="Q49" s="48" t="str">
        <x:v>NONE_LOCATED</x:v>
      </x:c>
      <x:c r="R49" s="48" t="str">
        <x:v>0</x:v>
      </x:c>
      <x:c r="S49" s="48" t="str"/>
      <x:c r="T49" s="48" t="str"/>
      <x:c r="U49" s="48" t="str">
        <x:v>NOT_LOCATED_BY_THIS_SEARCH_NOT_PROOF_OF_ABSENCE</x:v>
      </x:c>
      <x:c r="V49" s="48" t="str">
        <x:v>NOT_LOCATED</x:v>
      </x:c>
      <x:c r="W49" s="48" t="str">
        <x:v>NOT_APPLICABLE</x:v>
      </x:c>
      <x:c r="X49" s="48" t="str">
        <x:v>0</x:v>
      </x:c>
      <x:c r="Y49" s="48" t="str">
        <x:v>No relevant manager-authored process DDQ returned.</x:v>
      </x:c>
      <x:c r="Z49" s="48" t="str">
        <x:v>UNKNOWN_UNTIL_DDQ_LOCATED</x:v>
      </x:c>
      <x:c r="AA49" s="48" t="str">
        <x:v>UNKNOWN</x:v>
      </x:c>
      <x:c r="AB49" s="48" t="str">
        <x:v>REVISIT_ONLY_IF_NEW_FILE_IDENTIFIER_EMERGES</x:v>
      </x:c>
      <x:c r="AC49" s="48" t="str">
        <x:v>Explicit query: Clayton Dubilier Rice DDQ. No relevant manager-authored process DDQ returned.</x:v>
      </x:c>
    </x:row>
    <x:row r="50">
      <x:c r="A50" s="48" t="str">
        <x:v>DDQ Universe Reconciliation v1.1 / Tier B N=29</x:v>
      </x:c>
      <x:c r="B50" s="48" t="str">
        <x:v>2026-07-16</x:v>
      </x:c>
      <x:c r="C50" s="48" t="str">
        <x:v>LOWER_BOUND_NOT_RECURSIVE_COMPLETE</x:v>
      </x:c>
      <x:c r="D50" s="48" t="str">
        <x:v>NORDIC_CAPITAL</x:v>
      </x:c>
      <x:c r="E50" s="48" t="str">
        <x:v>Nordic Capital</x:v>
      </x:c>
      <x:c r="F50" s="48" t="str"/>
      <x:c r="G50" s="48" t="str">
        <x:v>PROMINENT_MANAGER_CHECK</x:v>
      </x:c>
      <x:c r="H50" s="48" t="str">
        <x:v>REPORTING_ONLY</x:v>
      </x:c>
      <x:c r="I50" s="48" t="str"/>
      <x:c r="J50" s="48" t="str"/>
      <x:c r="K50" s="48" t="str">
        <x:v>CONTROL_BUYOUT_OR_MULTI_STRATEGY</x:v>
      </x:c>
      <x:c r="L50" s="48" t="str"/>
      <x:c r="M50" s="48" t="str"/>
      <x:c r="N50" s="48" t="str"/>
      <x:c r="O50" s="48" t="str"/>
      <x:c r="P50" s="48" t="str"/>
      <x:c r="Q50" s="48" t="str">
        <x:v>NONE_LOCATED</x:v>
      </x:c>
      <x:c r="R50" s="48" t="str">
        <x:v>0</x:v>
      </x:c>
      <x:c r="S50" s="48" t="str"/>
      <x:c r="T50" s="48" t="str"/>
      <x:c r="U50" s="48" t="str">
        <x:v>NOT_LOCATED_BY_THIS_SEARCH_NOT_PROOF_OF_ABSENCE</x:v>
      </x:c>
      <x:c r="V50" s="48" t="str">
        <x:v>NOT_LOCATED</x:v>
      </x:c>
      <x:c r="W50" s="48" t="str">
        <x:v>NOT_APPLICABLE</x:v>
      </x:c>
      <x:c r="X50" s="48" t="str">
        <x:v>0</x:v>
      </x:c>
      <x:c r="Y50" s="48" t="str">
        <x:v>Quarterly/webinar reporting located; no process DDQ located.</x:v>
      </x:c>
      <x:c r="Z50" s="48" t="str">
        <x:v>UNKNOWN_UNTIL_DDQ_LOCATED</x:v>
      </x:c>
      <x:c r="AA50" s="48" t="str">
        <x:v>UNKNOWN</x:v>
      </x:c>
      <x:c r="AB50" s="48" t="str">
        <x:v>REVISIT_ONLY_IF_NEW_FILE_IDENTIFIER_EMERGES</x:v>
      </x:c>
      <x:c r="AC50" s="48" t="str">
        <x:v>Explicit query: Nordic Capital DDQ. Quarterly/webinar reporting located; no process DDQ located.</x:v>
      </x:c>
    </x:row>
    <x:row r="51">
      <x:c r="A51" s="48" t="str">
        <x:v>DDQ Universe Reconciliation v1.1 / Tier B N=29</x:v>
      </x:c>
      <x:c r="B51" s="48" t="str">
        <x:v>2026-07-16</x:v>
      </x:c>
      <x:c r="C51" s="48" t="str">
        <x:v>LOWER_BOUND_NOT_RECURSIVE_COMPLETE</x:v>
      </x:c>
      <x:c r="D51" s="48" t="str">
        <x:v>GENSTAR</x:v>
      </x:c>
      <x:c r="E51" s="48" t="str">
        <x:v>Genstar Capital</x:v>
      </x:c>
      <x:c r="F51" s="48" t="str"/>
      <x:c r="G51" s="48" t="str">
        <x:v>PROMINENT_MANAGER_CHECK</x:v>
      </x:c>
      <x:c r="H51" s="48" t="str">
        <x:v>NOT_LOCATED_BY_EXPLICIT_SEARCH</x:v>
      </x:c>
      <x:c r="I51" s="48" t="str"/>
      <x:c r="J51" s="48" t="str"/>
      <x:c r="K51" s="48" t="str">
        <x:v>CONTROL_BUYOUT_OR_MULTI_STRATEGY</x:v>
      </x:c>
      <x:c r="L51" s="48" t="str"/>
      <x:c r="M51" s="48" t="str"/>
      <x:c r="N51" s="48" t="str"/>
      <x:c r="O51" s="48" t="str"/>
      <x:c r="P51" s="48" t="str"/>
      <x:c r="Q51" s="48" t="str">
        <x:v>NONE_LOCATED</x:v>
      </x:c>
      <x:c r="R51" s="48" t="str">
        <x:v>0</x:v>
      </x:c>
      <x:c r="S51" s="48" t="str"/>
      <x:c r="T51" s="48" t="str"/>
      <x:c r="U51" s="48" t="str">
        <x:v>NOT_LOCATED_BY_THIS_SEARCH_NOT_PROOF_OF_ABSENCE</x:v>
      </x:c>
      <x:c r="V51" s="48" t="str">
        <x:v>NOT_LOCATED</x:v>
      </x:c>
      <x:c r="W51" s="48" t="str">
        <x:v>NOT_APPLICABLE</x:v>
      </x:c>
      <x:c r="X51" s="48" t="str">
        <x:v>0</x:v>
      </x:c>
      <x:c r="Y51" s="48" t="str">
        <x:v>No relevant manager-authored process DDQ returned.</x:v>
      </x:c>
      <x:c r="Z51" s="48" t="str">
        <x:v>UNKNOWN_UNTIL_DDQ_LOCATED</x:v>
      </x:c>
      <x:c r="AA51" s="48" t="str">
        <x:v>UNKNOWN</x:v>
      </x:c>
      <x:c r="AB51" s="48" t="str">
        <x:v>REVISIT_ONLY_IF_NEW_FILE_IDENTIFIER_EMERGES</x:v>
      </x:c>
      <x:c r="AC51" s="48" t="str">
        <x:v>Explicit query: Genstar Capital DDQ. No relevant manager-authored process DDQ returned.</x:v>
      </x:c>
    </x:row>
  </x:sheetData>
  <x:pageMargins left="0.7" right="0.7" top="0.75" bottom="0.75" header="0.3" footer="0.3"/>
  <x:tableParts count="1">
    <x:tablePart xmlns:r="http://schemas.openxmlformats.org/officeDocument/2006/relationships" r:id="Rb34ce175a8f54695"/>
  </x:tableParts>
</x:worksheet>
</file>

<file path=xl/worksheets/sheet12.xml><?xml version="1.0" encoding="utf-8"?>
<x:worksheet xmlns:x="http://schemas.openxmlformats.org/spreadsheetml/2006/main">
  <x:sheetFormatPr defaultRowHeight="15"/>
  <x:cols>
    <x:col min="1" max="1" width="14" hidden="0" customWidth="1"/>
    <x:col min="2" max="2" width="18"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x:c r="A1" s="42" t="str">
        <x:v>inventory_version</x:v>
      </x:c>
      <x:c r="B1" s="42" t="str">
        <x:v>as_of_date</x:v>
      </x:c>
      <x:c r="C1" s="42" t="str">
        <x:v>query_id</x:v>
      </x:c>
      <x:c r="D1" s="42" t="str">
        <x:v>query</x:v>
      </x:c>
      <x:c r="E1" s="42" t="str">
        <x:v>scope</x:v>
      </x:c>
      <x:c r="F1" s="42" t="str">
        <x:v>result_status</x:v>
      </x:c>
      <x:c r="G1" s="42" t="str">
        <x:v>notes</x:v>
      </x:c>
      <x:c r="H1" s="42" t="str">
        <x:v>method_limitation</x:v>
      </x:c>
    </x:row>
    <x:row r="2">
      <x:c r="A2" s="48" t="str">
        <x:v>DDQ Universe Reconciliation v1.0</x:v>
      </x:c>
      <x:c r="B2" s="48" t="str">
        <x:v>2026-07-16</x:v>
      </x:c>
      <x:c r="C2" s="48" t="str">
        <x:v>Q001</x:v>
      </x:c>
      <x:c r="D2" s="48" t="str">
        <x:v>DDQ</x:v>
      </x:c>
      <x:c r="E2" s="48" t="str">
        <x:v>SITE_WIDE</x:v>
      </x:c>
      <x:c r="F2" s="48" t="str">
        <x:v>RELEVANT_RESULTS_FOUND</x:v>
      </x:c>
      <x:c r="G2" s="48" t="str">
        <x:v>Broad noisy search; used as one recall leg.</x:v>
      </x:c>
      <x:c r="H2" s="48" t="str">
        <x:v>Microsoft Graph relevance search is not a recursive folder listing; results are a lower bound and negative searches do not prove absence.</x:v>
      </x:c>
    </x:row>
    <x:row r="3">
      <x:c r="A3" s="48" t="str">
        <x:v>DDQ Universe Reconciliation v1.0</x:v>
      </x:c>
      <x:c r="B3" s="48" t="str">
        <x:v>2026-07-16</x:v>
      </x:c>
      <x:c r="C3" s="48" t="str">
        <x:v>Q002</x:v>
      </x:c>
      <x:c r="D3" s="48" t="str">
        <x:v>"Due Diligence Questionnaire"</x:v>
      </x:c>
      <x:c r="E3" s="48" t="str">
        <x:v>SITE_WIDE</x:v>
      </x:c>
      <x:c r="F3" s="48" t="str">
        <x:v>RELEVANT_RESULTS_FOUND</x:v>
      </x:c>
      <x:c r="G3" s="48" t="str">
        <x:v>Phrase search found manager questionnaires and duplicates.</x:v>
      </x:c>
      <x:c r="H3" s="48" t="str">
        <x:v>Microsoft Graph relevance search is not a recursive folder listing; results are a lower bound and negative searches do not prove absence.</x:v>
      </x:c>
    </x:row>
    <x:row r="4">
      <x:c r="A4" s="48" t="str">
        <x:v>DDQ Universe Reconciliation v1.0</x:v>
      </x:c>
      <x:c r="B4" s="48" t="str">
        <x:v>2026-07-16</x:v>
      </x:c>
      <x:c r="C4" s="48" t="str">
        <x:v>Q003</x:v>
      </x:c>
      <x:c r="D4" s="48" t="str">
        <x:v>ILPA DDQ</x:v>
      </x:c>
      <x:c r="E4" s="48" t="str">
        <x:v>SITE_WIDE</x:v>
      </x:c>
      <x:c r="F4" s="48" t="str">
        <x:v>RELEVANT_RESULTS_FOUND</x:v>
      </x:c>
      <x:c r="G4" s="48" t="str">
        <x:v>Found formal ILPA-format DDQs.</x:v>
      </x:c>
      <x:c r="H4" s="48" t="str">
        <x:v>Microsoft Graph relevance search is not a recursive folder listing; results are a lower bound and negative searches do not prove absence.</x:v>
      </x:c>
    </x:row>
    <x:row r="5">
      <x:c r="A5" s="48" t="str">
        <x:v>DDQ Universe Reconciliation v1.0</x:v>
      </x:c>
      <x:c r="B5" s="48" t="str">
        <x:v>2026-07-16</x:v>
      </x:c>
      <x:c r="C5" s="48" t="str">
        <x:v>Q004</x:v>
      </x:c>
      <x:c r="D5" s="48" t="str">
        <x:v>DDQ</x:v>
      </x:c>
      <x:c r="E5" s="48" t="str">
        <x:v>FOLDER_FILTER_PIPELINE_FUNDS</x:v>
      </x:c>
      <x:c r="F5" s="48" t="str">
        <x:v>ZERO_RESULTS_FOLDER_FILTER_FAILED</x:v>
      </x:c>
      <x:c r="G5" s="48" t="str">
        <x:v>Folder filter did not resolve despite known files; not treated as absence.</x:v>
      </x:c>
      <x:c r="H5" s="48" t="str">
        <x:v>Microsoft Graph relevance search is not a recursive folder listing; results are a lower bound and negative searches do not prove absence.</x:v>
      </x:c>
    </x:row>
    <x:row r="6">
      <x:c r="A6" s="48" t="str">
        <x:v>DDQ Universe Reconciliation v1.0</x:v>
      </x:c>
      <x:c r="B6" s="48" t="str">
        <x:v>2026-07-16</x:v>
      </x:c>
      <x:c r="C6" s="48" t="str">
        <x:v>Q005</x:v>
      </x:c>
      <x:c r="D6" s="48" t="str">
        <x:v>Silver Lake ILPA DDQ</x:v>
      </x:c>
      <x:c r="E6" s="48" t="str">
        <x:v>TARGETED_MANAGER</x:v>
      </x:c>
      <x:c r="F6" s="48" t="str">
        <x:v>RELEVANT_FOUND</x:v>
      </x:c>
      <x:c r="G6" s="48" t="str">
        <x:v>SLP VII DDQ located and fully extracted.</x:v>
      </x:c>
      <x:c r="H6" s="48" t="str">
        <x:v>Microsoft Graph relevance search is not a recursive folder listing; results are a lower bound and negative searches do not prove absence.</x:v>
      </x:c>
    </x:row>
    <x:row r="7">
      <x:c r="A7" s="48" t="str">
        <x:v>DDQ Universe Reconciliation v1.0</x:v>
      </x:c>
      <x:c r="B7" s="48" t="str">
        <x:v>2026-07-16</x:v>
      </x:c>
      <x:c r="C7" s="48" t="str">
        <x:v>Q006</x:v>
      </x:c>
      <x:c r="D7" s="48" t="str">
        <x:v>OHCP V DDQ October 2018</x:v>
      </x:c>
      <x:c r="E7" s="48" t="str">
        <x:v>TARGETED_MANAGER</x:v>
      </x:c>
      <x:c r="F7" s="48" t="str">
        <x:v>RELEVANT_FOUND</x:v>
      </x:c>
      <x:c r="G7" s="48" t="str">
        <x:v>Oak Hill DDQ located and fully extracted.</x:v>
      </x:c>
      <x:c r="H7" s="48" t="str">
        <x:v>Microsoft Graph relevance search is not a recursive folder listing; results are a lower bound and negative searches do not prove absence.</x:v>
      </x:c>
    </x:row>
    <x:row r="8">
      <x:c r="A8" s="48" t="str">
        <x:v>DDQ Universe Reconciliation v1.0</x:v>
      </x:c>
      <x:c r="B8" s="48" t="str">
        <x:v>2026-07-16</x:v>
      </x:c>
      <x:c r="C8" s="48" t="str">
        <x:v>Q007</x:v>
      </x:c>
      <x:c r="D8" s="48" t="str">
        <x:v>LEP Fund III Due Diligence Questionnaire 4Q18</x:v>
      </x:c>
      <x:c r="E8" s="48" t="str">
        <x:v>TARGETED_MANAGER</x:v>
      </x:c>
      <x:c r="F8" s="48" t="str">
        <x:v>RELEVANT_FOUND</x:v>
      </x:c>
      <x:c r="G8" s="48" t="str">
        <x:v>Lee Equity DDQ located and fully extracted.</x:v>
      </x:c>
      <x:c r="H8" s="48" t="str">
        <x:v>Microsoft Graph relevance search is not a recursive folder listing; results are a lower bound and negative searches do not prove absence.</x:v>
      </x:c>
    </x:row>
    <x:row r="9">
      <x:c r="A9" s="48" t="str">
        <x:v>DDQ Universe Reconciliation v1.0</x:v>
      </x:c>
      <x:c r="B9" s="48" t="str">
        <x:v>2026-07-16</x:v>
      </x:c>
      <x:c r="C9" s="48" t="str">
        <x:v>Q008</x:v>
      </x:c>
      <x:c r="D9" s="48" t="str">
        <x:v>NIO III Due Diligence Questionnaire May 2023 Naxicap</x:v>
      </x:c>
      <x:c r="E9" s="48" t="str">
        <x:v>TARGETED_MANAGER</x:v>
      </x:c>
      <x:c r="F9" s="48" t="str">
        <x:v>RELEVANT_FOUND</x:v>
      </x:c>
      <x:c r="G9" s="48" t="str">
        <x:v>Latest located Naxicap DDQ and reporting family located.</x:v>
      </x:c>
      <x:c r="H9" s="48" t="str">
        <x:v>Microsoft Graph relevance search is not a recursive folder listing; results are a lower bound and negative searches do not prove absence.</x:v>
      </x:c>
    </x:row>
    <x:row r="10">
      <x:c r="A10" s="48" t="str">
        <x:v>DDQ Universe Reconciliation v1.0</x:v>
      </x:c>
      <x:c r="B10" s="48" t="str">
        <x:v>2026-07-16</x:v>
      </x:c>
      <x:c r="C10" s="48" t="str">
        <x:v>Q009</x:v>
      </x:c>
      <x:c r="D10" s="48" t="str">
        <x:v>Manna Tree Fund III DDQ investment process</x:v>
      </x:c>
      <x:c r="E10" s="48" t="str">
        <x:v>TARGETED_MANAGER</x:v>
      </x:c>
      <x:c r="F10" s="48" t="str">
        <x:v>RELEVANT_FOUND</x:v>
      </x:c>
      <x:c r="G10" s="48" t="str">
        <x:v>Manna Tree DDQ located and fully extracted.</x:v>
      </x:c>
      <x:c r="H10" s="48" t="str">
        <x:v>Microsoft Graph relevance search is not a recursive folder listing; results are a lower bound and negative searches do not prove absence.</x:v>
      </x:c>
    </x:row>
    <x:row r="11">
      <x:c r="A11" s="48" t="str">
        <x:v>DDQ Universe Reconciliation v1.0</x:v>
      </x:c>
      <x:c r="B11" s="48" t="str">
        <x:v>2026-07-16</x:v>
      </x:c>
      <x:c r="C11" s="48" t="str">
        <x:v>Q010</x:v>
      </x:c>
      <x:c r="D11" s="48" t="str">
        <x:v>BlueEarth Climate Growth Fund I DDQ investment process</x:v>
      </x:c>
      <x:c r="E11" s="48" t="str">
        <x:v>TARGETED_MANAGER</x:v>
      </x:c>
      <x:c r="F11" s="48" t="str">
        <x:v>RELEVANT_FOUND</x:v>
      </x:c>
      <x:c r="G11" s="48" t="str">
        <x:v>BlueEarth DDQ located and fully extracted; scope decision required.</x:v>
      </x:c>
      <x:c r="H11" s="48" t="str">
        <x:v>Microsoft Graph relevance search is not a recursive folder listing; results are a lower bound and negative searches do not prove absence.</x:v>
      </x:c>
    </x:row>
    <x:row r="12">
      <x:c r="A12" s="48" t="str">
        <x:v>DDQ Universe Reconciliation v1.0</x:v>
      </x:c>
      <x:c r="B12" s="48" t="str">
        <x:v>2026-07-16</x:v>
      </x:c>
      <x:c r="C12" s="48" t="str">
        <x:v>Q011</x:v>
      </x:c>
      <x:c r="D12" s="48" t="str">
        <x:v>GSE Partners Fund I</x:v>
      </x:c>
      <x:c r="E12" s="48" t="str">
        <x:v>TARGETED_MANAGER</x:v>
      </x:c>
      <x:c r="F12" s="48" t="str">
        <x:v>SUPPLEMENTAL_PROCESS_PACKET_FOUND</x:v>
      </x:c>
      <x:c r="G12" s="48" t="str">
        <x:v>Gating charter and process packet found; not a DDQ.</x:v>
      </x:c>
      <x:c r="H12" s="48" t="str">
        <x:v>Microsoft Graph relevance search is not a recursive folder listing; results are a lower bound and negative searches do not prove absence.</x:v>
      </x:c>
    </x:row>
    <x:row r="13">
      <x:c r="A13" s="48" t="str">
        <x:v>DDQ Universe Reconciliation v1.0</x:v>
      </x:c>
      <x:c r="B13" s="48" t="str">
        <x:v>2026-07-16</x:v>
      </x:c>
      <x:c r="C13" s="48" t="str">
        <x:v>Q012</x:v>
      </x:c>
      <x:c r="D13" s="48" t="str">
        <x:v>Plural Fund II DDQ</x:v>
      </x:c>
      <x:c r="E13" s="48" t="str">
        <x:v>TARGETED_MANAGER</x:v>
      </x:c>
      <x:c r="F13" s="48" t="str">
        <x:v>RELEVANT_ADJACENT_FOUND</x:v>
      </x:c>
      <x:c r="G13" s="48" t="str">
        <x:v>Plural III DDQ found; venture comparator.</x:v>
      </x:c>
      <x:c r="H13" s="48" t="str">
        <x:v>Microsoft Graph relevance search is not a recursive folder listing; results are a lower bound and negative searches do not prove absence.</x:v>
      </x:c>
    </x:row>
    <x:row r="14">
      <x:c r="A14" s="48" t="str">
        <x:v>DDQ Universe Reconciliation v1.0</x:v>
      </x:c>
      <x:c r="B14" s="48" t="str">
        <x:v>2026-07-16</x:v>
      </x:c>
      <x:c r="C14" s="48" t="str">
        <x:v>Q013</x:v>
      </x:c>
      <x:c r="D14" s="48" t="str">
        <x:v>QuantumLight Fund II DDQ</x:v>
      </x:c>
      <x:c r="E14" s="48" t="str">
        <x:v>TARGETED_MANAGER</x:v>
      </x:c>
      <x:c r="F14" s="48" t="str">
        <x:v>RELEVANT_ADJACENT_FOUND</x:v>
      </x:c>
      <x:c r="G14" s="48" t="str">
        <x:v>QuantumLight DDQ found; venture comparator.</x:v>
      </x:c>
      <x:c r="H14" s="48" t="str">
        <x:v>Microsoft Graph relevance search is not a recursive folder listing; results are a lower bound and negative searches do not prove absence.</x:v>
      </x:c>
    </x:row>
    <x:row r="15">
      <x:c r="A15" s="48" t="str">
        <x:v>DDQ Universe Reconciliation v1.0</x:v>
      </x:c>
      <x:c r="B15" s="48" t="str">
        <x:v>2026-07-16</x:v>
      </x:c>
      <x:c r="C15" s="48" t="str">
        <x:v>Q014</x:v>
      </x:c>
      <x:c r="D15" s="48" t="str">
        <x:v>Bain Capital Due Diligence Questionnaire</x:v>
      </x:c>
      <x:c r="E15" s="48" t="str">
        <x:v>PROMINENT_MANAGER_NEGATIVE_CHECK</x:v>
      </x:c>
      <x:c r="F15" s="48" t="str">
        <x:v>NO_PROCESS_DDQ_LOCATED</x:v>
      </x:c>
      <x:c r="G15" s="48" t="str">
        <x:v>Reporting/annual-meeting materials only.</x:v>
      </x:c>
      <x:c r="H15" s="48" t="str">
        <x:v>Microsoft Graph relevance search is not a recursive folder listing; results are a lower bound and negative searches do not prove absence.</x:v>
      </x:c>
    </x:row>
    <x:row r="16">
      <x:c r="A16" s="48" t="str">
        <x:v>DDQ Universe Reconciliation v1.0</x:v>
      </x:c>
      <x:c r="B16" s="48" t="str">
        <x:v>2026-07-16</x:v>
      </x:c>
      <x:c r="C16" s="48" t="str">
        <x:v>Q015</x:v>
      </x:c>
      <x:c r="D16" s="48" t="str">
        <x:v>KKR ILPA DDQ</x:v>
      </x:c>
      <x:c r="E16" s="48" t="str">
        <x:v>PROMINENT_MANAGER_NEGATIVE_CHECK</x:v>
      </x:c>
      <x:c r="F16" s="48" t="str">
        <x:v>NO_PROCESS_DDQ_LOCATED</x:v>
      </x:c>
      <x:c r="G16" s="48" t="str">
        <x:v>No relevant manager DDQ returned.</x:v>
      </x:c>
      <x:c r="H16" s="48" t="str">
        <x:v>Microsoft Graph relevance search is not a recursive folder listing; results are a lower bound and negative searches do not prove absence.</x:v>
      </x:c>
    </x:row>
    <x:row r="17">
      <x:c r="A17" s="48" t="str">
        <x:v>DDQ Universe Reconciliation v1.0</x:v>
      </x:c>
      <x:c r="B17" s="48" t="str">
        <x:v>2026-07-16</x:v>
      </x:c>
      <x:c r="C17" s="48" t="str">
        <x:v>Q016</x:v>
      </x:c>
      <x:c r="D17" s="48" t="str">
        <x:v>Apollo Due Diligence Questionnaire</x:v>
      </x:c>
      <x:c r="E17" s="48" t="str">
        <x:v>PROMINENT_MANAGER_NEGATIVE_CHECK</x:v>
      </x:c>
      <x:c r="F17" s="48" t="str">
        <x:v>NO_PROCESS_DDQ_LOCATED</x:v>
      </x:c>
      <x:c r="G17" s="48" t="str">
        <x:v>No relevant manager DDQ returned.</x:v>
      </x:c>
      <x:c r="H17" s="48" t="str">
        <x:v>Microsoft Graph relevance search is not a recursive folder listing; results are a lower bound and negative searches do not prove absence.</x:v>
      </x:c>
    </x:row>
    <x:row r="18">
      <x:c r="A18" s="48" t="str">
        <x:v>DDQ Universe Reconciliation v1.0</x:v>
      </x:c>
      <x:c r="B18" s="48" t="str">
        <x:v>2026-07-16</x:v>
      </x:c>
      <x:c r="C18" s="48" t="str">
        <x:v>Q017</x:v>
      </x:c>
      <x:c r="D18" s="48" t="str">
        <x:v>Carlyle Due Diligence Questionnaire private equity fund</x:v>
      </x:c>
      <x:c r="E18" s="48" t="str">
        <x:v>PROMINENT_MANAGER_NEGATIVE_CHECK</x:v>
      </x:c>
      <x:c r="F18" s="48" t="str">
        <x:v>LEGAL_OR_ADV_ONLY</x:v>
      </x:c>
      <x:c r="G18" s="48" t="str">
        <x:v>No stable fund process DDQ located.</x:v>
      </x:c>
      <x:c r="H18" s="48" t="str">
        <x:v>Microsoft Graph relevance search is not a recursive folder listing; results are a lower bound and negative searches do not prove absence.</x:v>
      </x:c>
    </x:row>
    <x:row r="19">
      <x:c r="A19" s="48" t="str">
        <x:v>DDQ Universe Reconciliation v1.0</x:v>
      </x:c>
      <x:c r="B19" s="48" t="str">
        <x:v>2026-07-16</x:v>
      </x:c>
      <x:c r="C19" s="48" t="str">
        <x:v>Q018</x:v>
      </x:c>
      <x:c r="D19" s="48" t="str">
        <x:v>EQT Due Diligence Questionnaire fund</x:v>
      </x:c>
      <x:c r="E19" s="48" t="str">
        <x:v>PROMINENT_MANAGER_NEGATIVE_CHECK</x:v>
      </x:c>
      <x:c r="F19" s="48" t="str">
        <x:v>NO_PROCESS_DDQ_LOCATED</x:v>
      </x:c>
      <x:c r="G19" s="48" t="str">
        <x:v>No relevant manager DDQ returned.</x:v>
      </x:c>
      <x:c r="H19" s="48" t="str">
        <x:v>Microsoft Graph relevance search is not a recursive folder listing; results are a lower bound and negative searches do not prove absence.</x:v>
      </x:c>
    </x:row>
    <x:row r="20">
      <x:c r="A20" s="48" t="str">
        <x:v>DDQ Universe Reconciliation v1.0</x:v>
      </x:c>
      <x:c r="B20" s="48" t="str">
        <x:v>2026-07-16</x:v>
      </x:c>
      <x:c r="C20" s="48" t="str">
        <x:v>Q019</x:v>
      </x:c>
      <x:c r="D20" s="48" t="str">
        <x:v>Advent International DDQ</x:v>
      </x:c>
      <x:c r="E20" s="48" t="str">
        <x:v>PROMINENT_MANAGER_NEGATIVE_CHECK</x:v>
      </x:c>
      <x:c r="F20" s="48" t="str">
        <x:v>NO_PROCESS_DDQ_LOCATED</x:v>
      </x:c>
      <x:c r="G20" s="48" t="str">
        <x:v>No relevant manager DDQ returned.</x:v>
      </x:c>
      <x:c r="H20" s="48" t="str">
        <x:v>Microsoft Graph relevance search is not a recursive folder listing; results are a lower bound and negative searches do not prove absence.</x:v>
      </x:c>
    </x:row>
    <x:row r="21">
      <x:c r="A21" s="48" t="str">
        <x:v>DDQ Universe Reconciliation v1.0</x:v>
      </x:c>
      <x:c r="B21" s="48" t="str">
        <x:v>2026-07-16</x:v>
      </x:c>
      <x:c r="C21" s="48" t="str">
        <x:v>Q020</x:v>
      </x:c>
      <x:c r="D21" s="48" t="str">
        <x:v>Vista Equity Partners DDQ</x:v>
      </x:c>
      <x:c r="E21" s="48" t="str">
        <x:v>PROMINENT_MANAGER_NEGATIVE_CHECK</x:v>
      </x:c>
      <x:c r="F21" s="48" t="str">
        <x:v>NO_PROCESS_DDQ_LOCATED</x:v>
      </x:c>
      <x:c r="G21" s="48" t="str">
        <x:v>No relevant manager DDQ returned.</x:v>
      </x:c>
      <x:c r="H21" s="48" t="str">
        <x:v>Microsoft Graph relevance search is not a recursive folder listing; results are a lower bound and negative searches do not prove absence.</x:v>
      </x:c>
    </x:row>
    <x:row r="22">
      <x:c r="A22" s="48" t="str">
        <x:v>DDQ Universe Reconciliation v1.0</x:v>
      </x:c>
      <x:c r="B22" s="48" t="str">
        <x:v>2026-07-16</x:v>
      </x:c>
      <x:c r="C22" s="48" t="str">
        <x:v>Q021</x:v>
      </x:c>
      <x:c r="D22" s="48" t="str">
        <x:v>Thoma Bravo DDQ</x:v>
      </x:c>
      <x:c r="E22" s="48" t="str">
        <x:v>PROMINENT_MANAGER_NEGATIVE_CHECK</x:v>
      </x:c>
      <x:c r="F22" s="48" t="str">
        <x:v>NO_PROCESS_DDQ_LOCATED</x:v>
      </x:c>
      <x:c r="G22" s="48" t="str">
        <x:v>No relevant manager DDQ returned.</x:v>
      </x:c>
      <x:c r="H22" s="48" t="str">
        <x:v>Microsoft Graph relevance search is not a recursive folder listing; results are a lower bound and negative searches do not prove absence.</x:v>
      </x:c>
    </x:row>
    <x:row r="23">
      <x:c r="A23" s="48" t="str">
        <x:v>DDQ Universe Reconciliation v1.0</x:v>
      </x:c>
      <x:c r="B23" s="48" t="str">
        <x:v>2026-07-16</x:v>
      </x:c>
      <x:c r="C23" s="48" t="str">
        <x:v>Q022</x:v>
      </x:c>
      <x:c r="D23" s="48" t="str">
        <x:v>Hellman Friedman DDQ</x:v>
      </x:c>
      <x:c r="E23" s="48" t="str">
        <x:v>PROMINENT_MANAGER_NEGATIVE_CHECK</x:v>
      </x:c>
      <x:c r="F23" s="48" t="str">
        <x:v>NO_PROCESS_DDQ_LOCATED</x:v>
      </x:c>
      <x:c r="G23" s="48" t="str">
        <x:v>No relevant manager DDQ returned.</x:v>
      </x:c>
      <x:c r="H23" s="48" t="str">
        <x:v>Microsoft Graph relevance search is not a recursive folder listing; results are a lower bound and negative searches do not prove absence.</x:v>
      </x:c>
    </x:row>
    <x:row r="24">
      <x:c r="A24" s="48" t="str">
        <x:v>DDQ Universe Reconciliation v1.0</x:v>
      </x:c>
      <x:c r="B24" s="48" t="str">
        <x:v>2026-07-16</x:v>
      </x:c>
      <x:c r="C24" s="48" t="str">
        <x:v>Q023</x:v>
      </x:c>
      <x:c r="D24" s="48" t="str">
        <x:v>Clayton Dubilier Rice DDQ</x:v>
      </x:c>
      <x:c r="E24" s="48" t="str">
        <x:v>PROMINENT_MANAGER_NEGATIVE_CHECK</x:v>
      </x:c>
      <x:c r="F24" s="48" t="str">
        <x:v>NO_PROCESS_DDQ_LOCATED</x:v>
      </x:c>
      <x:c r="G24" s="48" t="str">
        <x:v>No relevant manager DDQ returned.</x:v>
      </x:c>
      <x:c r="H24" s="48" t="str">
        <x:v>Microsoft Graph relevance search is not a recursive folder listing; results are a lower bound and negative searches do not prove absence.</x:v>
      </x:c>
    </x:row>
    <x:row r="25">
      <x:c r="A25" s="48" t="str">
        <x:v>DDQ Universe Reconciliation v1.0</x:v>
      </x:c>
      <x:c r="B25" s="48" t="str">
        <x:v>2026-07-16</x:v>
      </x:c>
      <x:c r="C25" s="48" t="str">
        <x:v>Q024</x:v>
      </x:c>
      <x:c r="D25" s="48" t="str">
        <x:v>Nordic Capital DDQ</x:v>
      </x:c>
      <x:c r="E25" s="48" t="str">
        <x:v>PROMINENT_MANAGER_NEGATIVE_CHECK</x:v>
      </x:c>
      <x:c r="F25" s="48" t="str">
        <x:v>REPORTING_ONLY</x:v>
      </x:c>
      <x:c r="G25" s="48" t="str">
        <x:v>Quarterly/webinar reporting found; no process DDQ.</x:v>
      </x:c>
      <x:c r="H25" s="48" t="str">
        <x:v>Microsoft Graph relevance search is not a recursive folder listing; results are a lower bound and negative searches do not prove absence.</x:v>
      </x:c>
    </x:row>
    <x:row r="26">
      <x:c r="A26" s="48" t="str">
        <x:v>DDQ Universe Reconciliation v1.0</x:v>
      </x:c>
      <x:c r="B26" s="48" t="str">
        <x:v>2026-07-16</x:v>
      </x:c>
      <x:c r="C26" s="48" t="str">
        <x:v>Q025</x:v>
      </x:c>
      <x:c r="D26" s="48" t="str">
        <x:v>Genstar Capital DDQ</x:v>
      </x:c>
      <x:c r="E26" s="48" t="str">
        <x:v>PROMINENT_MANAGER_NEGATIVE_CHECK</x:v>
      </x:c>
      <x:c r="F26" s="48" t="str">
        <x:v>NO_PROCESS_DDQ_LOCATED</x:v>
      </x:c>
      <x:c r="G26" s="48" t="str">
        <x:v>No relevant manager DDQ returned.</x:v>
      </x:c>
      <x:c r="H26" s="48" t="str">
        <x:v>Microsoft Graph relevance search is not a recursive folder listing; results are a lower bound and negative searches do not prove absence.</x:v>
      </x:c>
    </x:row>
    <x:row r="27">
      <x:c r="A27" s="48" t="str">
        <x:v>DDQ Universe Reconciliation v1.0</x:v>
      </x:c>
      <x:c r="B27" s="48" t="str">
        <x:v>2026-07-16</x:v>
      </x:c>
      <x:c r="C27" s="48" t="str">
        <x:v>Q026</x:v>
      </x:c>
      <x:c r="D27" s="48" t="str">
        <x:v>LOCAL FILE RECONCILIATION: filenames containing DDQ or Due Diligence Questionnaire</x:v>
      </x:c>
      <x:c r="E27" s="48" t="str">
        <x:v>LOCAL_MOUNT</x:v>
      </x:c>
      <x:c r="F27" s="48" t="str">
        <x:v>RELEVANT_OMISSIONS_FOUND</x:v>
      </x:c>
      <x:c r="G27" s="48" t="str">
        <x:v>Found Silver Lake, Oak Hill, Lee Equity, Naxicap, Manna Tree and BlueEarth files omitted from Tier B.</x:v>
      </x:c>
      <x:c r="H27" s="48" t="str">
        <x:v>Microsoft Graph relevance search is not a recursive folder listing; results are a lower bound and negative searches do not prove absence.</x:v>
      </x:c>
    </x:row>
  </x:sheetData>
  <x:pageMargins left="0.7" right="0.7" top="0.75" bottom="0.75" header="0.3" footer="0.3"/>
  <x:tableParts count="1">
    <x:tablePart xmlns:r="http://schemas.openxmlformats.org/officeDocument/2006/relationships" r:id="R81b7778908a34eb7"/>
  </x:tableParts>
</x:worksheet>
</file>

<file path=xl/worksheets/sheet13.xml><?xml version="1.0" encoding="utf-8"?>
<x:worksheet xmlns:x="http://schemas.openxmlformats.org/spreadsheetml/2006/main">
  <x:sheetFormatPr defaultRowHeight="15"/>
  <x:cols>
    <x:col min="1" max="1" width="17" hidden="0" customWidth="1"/>
    <x:col min="2" max="2" width="17" hidden="0" customWidth="1"/>
    <x:col min="3" max="3" width="17" hidden="0" customWidth="1"/>
    <x:col min="4" max="4" width="24" hidden="0" customWidth="1"/>
    <x:col min="5" max="5" width="24" hidden="0" customWidth="1"/>
    <x:col min="6" max="6" width="24"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20" hidden="0" customWidth="1"/>
    <x:col min="23" max="23" width="20" hidden="0" customWidth="1"/>
    <x:col min="24" max="24" width="20" hidden="0" customWidth="1"/>
    <x:col min="25" max="25" width="20" hidden="0" customWidth="1"/>
    <x:col min="26" max="26" width="20" hidden="0" customWidth="1"/>
    <x:col min="27" max="27" width="20" hidden="0" customWidth="1"/>
    <x:col min="28" max="28" width="20" hidden="0" customWidth="1"/>
    <x:col min="29" max="29" width="20" hidden="0" customWidth="1"/>
    <x:col min="30" max="30" width="20" hidden="0" customWidth="1"/>
    <x:col min="31" max="31" width="20" hidden="0" customWidth="1"/>
    <x:col min="32" max="32" width="20" hidden="0" customWidth="1"/>
    <x:col min="33" max="33" width="20" hidden="0" customWidth="1"/>
    <x:col min="34" max="34" width="17" hidden="0" customWidth="1"/>
    <x:col min="35" max="35" width="17" hidden="0" customWidth="1"/>
    <x:col min="36" max="36" width="17" hidden="0" customWidth="1"/>
    <x:col min="37" max="37" width="17" hidden="0" customWidth="1"/>
    <x:col min="38" max="38" width="17" hidden="0" customWidth="1"/>
  </x:cols>
  <x:sheetData>
    <x:row r="1">
      <x:c r="A1" s="42" t="str">
        <x:v>version</x:v>
      </x:c>
      <x:c r="B1" s="42" t="str">
        <x:v>as_of_date</x:v>
      </x:c>
      <x:c r="C1" s="42" t="str">
        <x:v>edge_id</x:v>
      </x:c>
      <x:c r="D1" s="42" t="str">
        <x:v>source_node</x:v>
      </x:c>
      <x:c r="E1" s="42" t="str">
        <x:v>target_node</x:v>
      </x:c>
      <x:c r="F1" s="42" t="str">
        <x:v>edge_label</x:v>
      </x:c>
      <x:c r="G1" s="42" t="str">
        <x:v>relation_type</x:v>
      </x:c>
      <x:c r="H1" s="42" t="str">
        <x:v>kernel_treatment</x:v>
      </x:c>
      <x:c r="I1" s="42" t="str">
        <x:v>runtime_behavior</x:v>
      </x:c>
      <x:c r="J1" s="42" t="str">
        <x:v>archetype_condition</x:v>
      </x:c>
      <x:c r="K1" s="42" t="str">
        <x:v>function_or_artifact</x:v>
      </x:c>
      <x:c r="L1" s="42" t="str">
        <x:v>final_classification</x:v>
      </x:c>
      <x:c r="M1" s="42" t="str">
        <x:v>claim_basis</x:v>
      </x:c>
      <x:c r="N1" s="42" t="str">
        <x:v>perspective</x:v>
      </x:c>
      <x:c r="O1" s="42" t="str">
        <x:v>primary_evidence_class</x:v>
      </x:c>
      <x:c r="P1" s="42" t="str">
        <x:v>vault_evidence_class</x:v>
      </x:c>
      <x:c r="Q1" s="42" t="str">
        <x:v>all_evidence_classes</x:v>
      </x:c>
      <x:c r="R1" s="42" t="str">
        <x:v>evidence_count</x:v>
      </x:c>
      <x:c r="S1" s="42" t="str">
        <x:v>evidence_unit</x:v>
      </x:c>
      <x:c r="T1" s="42" t="str">
        <x:v>evidence_denominator</x:v>
      </x:c>
      <x:c r="U1" s="42" t="str">
        <x:v>behavioral_count</x:v>
      </x:c>
      <x:c r="V1" s="42" t="str">
        <x:v>sponsor_behavioral_count</x:v>
      </x:c>
      <x:c r="W1" s="42" t="str">
        <x:v>coinvestor_behavioral_count</x:v>
      </x:c>
      <x:c r="X1" s="42" t="str">
        <x:v>sponsor_self_described_count</x:v>
      </x:c>
      <x:c r="Y1" s="42" t="str">
        <x:v>sponsor_derivative_count</x:v>
      </x:c>
      <x:c r="Z1" s="42" t="str">
        <x:v>manager_family_observable_n</x:v>
      </x:c>
      <x:c r="AA1" s="42" t="str">
        <x:v>behavioral_deal_observable_n</x:v>
      </x:c>
      <x:c r="AB1" s="42" t="str">
        <x:v>counterexample_count</x:v>
      </x:c>
      <x:c r="AC1" s="42" t="str">
        <x:v>counterexample_status</x:v>
      </x:c>
      <x:c r="AD1" s="42" t="str">
        <x:v>confidence</x:v>
      </x:c>
      <x:c r="AE1" s="42" t="str">
        <x:v>confidence_reason</x:v>
      </x:c>
      <x:c r="AF1" s="42" t="str">
        <x:v>implementation_reason</x:v>
      </x:c>
      <x:c r="AG1" s="42" t="str">
        <x:v>causal_mechanism</x:v>
      </x:c>
      <x:c r="AH1" s="42" t="str">
        <x:v>what_would_falsify</x:v>
      </x:c>
      <x:c r="AI1" s="42" t="str">
        <x:v>source_feature_ids</x:v>
      </x:c>
      <x:c r="AJ1" s="42" t="str">
        <x:v>visual_source_id</x:v>
      </x:c>
      <x:c r="AK1" s="42" t="str">
        <x:v>visual_target_id</x:v>
      </x:c>
      <x:c r="AL1" s="42" t="str">
        <x:v>tier_c_version_scope</x:v>
      </x:c>
    </x:row>
    <x:row r="2">
      <x:c r="A2" s="48" t="str">
        <x:v>Engineering handoff v1.0</x:v>
      </x:c>
      <x:c r="B2" s="48" t="str">
        <x:v>2026-07-16</x:v>
      </x:c>
      <x:c r="C2" s="48" t="str">
        <x:v>AX-01</x:v>
      </x:c>
      <x:c r="D2" s="48" t="str">
        <x:v>Opportunity_Assessment</x:v>
      </x:c>
      <x:c r="E2" s="48" t="str">
        <x:v>Material_Resource_Commitment</x:v>
      </x:c>
      <x:c r="F2" s="48" t="str">
        <x:v>Opportunity merits work before material resources are committed</x:v>
      </x:c>
      <x:c r="G2" s="48" t="str">
        <x:v>GATE</x:v>
      </x:c>
      <x:c r="H2" s="48" t="str">
        <x:v>AXIOM</x:v>
      </x:c>
      <x:c r="I2" s="48" t="str">
        <x:v>Schema/state-machine invariant; non-configurable and not presented as an empirical finding.</x:v>
      </x:c>
      <x:c r="J2" s="48" t="str">
        <x:v>UNIVERSAL</x:v>
      </x:c>
      <x:c r="K2" s="48" t="str">
        <x:v>FUNCTION</x:v>
      </x:c>
      <x:c r="L2" s="48" t="str">
        <x:v>ANALYTIC_AXIOM</x:v>
      </x:c>
      <x:c r="M2" s="48" t="str">
        <x:v>ANALYTIC</x:v>
      </x:c>
      <x:c r="N2" s="48" t="str">
        <x:v>LEAD_SPONSOR</x:v>
      </x:c>
      <x:c r="O2" s="48" t="str">
        <x:v>SPONSOR_SELF_DESCRIBED</x:v>
      </x:c>
      <x:c r="P2" s="48" t="str">
        <x:v>asserted</x:v>
      </x:c>
      <x:c r="Q2" s="48" t="str">
        <x:v>SPONSOR_SELF_DESCRIBED;CO_INVESTOR_BEHAVIOURAL</x:v>
      </x:c>
      <x:c r="R2" s="48" t="str">
        <x:v>0</x:v>
      </x:c>
      <x:c r="S2" s="48" t="str">
        <x:v>NOT_APPLICABLE</x:v>
      </x:c>
      <x:c r="T2" s="48" t="str">
        <x:v>Analytic axiom; empirical corroboration is separate</x:v>
      </x:c>
      <x:c r="U2" s="48" t="str">
        <x:v>24</x:v>
      </x:c>
      <x:c r="V2" s="48" t="str">
        <x:v>0</x:v>
      </x:c>
      <x:c r="W2" s="48" t="str">
        <x:v>24</x:v>
      </x:c>
      <x:c r="X2" s="48" t="str">
        <x:v>24</x:v>
      </x:c>
      <x:c r="Y2" s="48" t="str">
        <x:v>0</x:v>
      </x:c>
      <x:c r="Z2" s="48" t="str">
        <x:v>24</x:v>
      </x:c>
      <x:c r="AA2" s="48" t="str">
        <x:v>48</x:v>
      </x:c>
      <x:c r="AB2" s="48" t="str">
        <x:v>0</x:v>
      </x:c>
      <x:c r="AC2" s="48" t="str"/>
      <x:c r="AD2" s="48" t="str">
        <x:v>HIGH</x:v>
      </x:c>
      <x:c r="AE2" s="48" t="str">
        <x:v>The negation is incoherent: committing material resources is itself an authorized decision, even when informal.</x:v>
      </x:c>
      <x:c r="AF2" s="48" t="str">
        <x:v>Analytic invariant; evidence_count remains zero because it is not a corpus finding.</x:v>
      </x:c>
      <x:c r="AG2" s="48" t="str">
        <x:v>A responsible actor must decide that expected information value justifies cost and exposure.</x:v>
      </x:c>
      <x:c r="AH2" s="48" t="str">
        <x:v>Not empirically falsifiable as formulated; operational implementations can vary.</x:v>
      </x:c>
      <x:c r="AI2" s="48" t="str">
        <x:v>G01,G02,D02</x:v>
      </x:c>
      <x:c r="AJ2" s="48" t="str">
        <x:v>Opportunity_Assessment</x:v>
      </x:c>
      <x:c r="AK2" s="48" t="str">
        <x:v>Material_Resource_Commitment</x:v>
      </x:c>
      <x:c r="AL2" s="48" t="str">
        <x:v>Tier C v1 evidence counts retained; not recalculated in the N=29 DDQ rerun.</x:v>
      </x:c>
    </x:row>
    <x:row r="3">
      <x:c r="A3" s="48" t="str">
        <x:v>Engineering handoff v1.0</x:v>
      </x:c>
      <x:c r="B3" s="48" t="str">
        <x:v>2026-07-16</x:v>
      </x:c>
      <x:c r="C3" s="48" t="str">
        <x:v>AX-02</x:v>
      </x:c>
      <x:c r="D3" s="48" t="str">
        <x:v>Preliminary_Economic_View</x:v>
      </x:c>
      <x:c r="E3" s="48" t="str">
        <x:v>Indicative_or_Binding_Price</x:v>
      </x:c>
      <x:c r="F3" s="48" t="str">
        <x:v>A price or offer requires a preliminary economic view</x:v>
      </x:c>
      <x:c r="G3" s="48" t="str">
        <x:v>INPUT</x:v>
      </x:c>
      <x:c r="H3" s="48" t="str">
        <x:v>AXIOM</x:v>
      </x:c>
      <x:c r="I3" s="48" t="str">
        <x:v>Schema/state-machine invariant; non-configurable and not presented as an empirical finding.</x:v>
      </x:c>
      <x:c r="J3" s="48" t="str">
        <x:v>WHEN_PRICE_OR_OFFER_IS_ISSUED</x:v>
      </x:c>
      <x:c r="K3" s="48" t="str">
        <x:v>FUNCTION</x:v>
      </x:c>
      <x:c r="L3" s="48" t="str">
        <x:v>ANALYTIC_AXIOM</x:v>
      </x:c>
      <x:c r="M3" s="48" t="str">
        <x:v>ANALYTIC</x:v>
      </x:c>
      <x:c r="N3" s="48" t="str">
        <x:v>LEAD_SPONSOR</x:v>
      </x:c>
      <x:c r="O3" s="48" t="str">
        <x:v>SPONSOR_SELF_DESCRIBED</x:v>
      </x:c>
      <x:c r="P3" s="48" t="str">
        <x:v>asserted</x:v>
      </x:c>
      <x:c r="Q3" s="48" t="str">
        <x:v>SPONSOR_SELF_DESCRIBED</x:v>
      </x:c>
      <x:c r="R3" s="48" t="str">
        <x:v>0</x:v>
      </x:c>
      <x:c r="S3" s="48" t="str">
        <x:v>NOT_APPLICABLE</x:v>
      </x:c>
      <x:c r="T3" s="48" t="str">
        <x:v>Analytic axiom; empirical corroboration is separate</x:v>
      </x:c>
      <x:c r="U3" s="48" t="str">
        <x:v>0</x:v>
      </x:c>
      <x:c r="V3" s="48" t="str">
        <x:v>0</x:v>
      </x:c>
      <x:c r="W3" s="48" t="str">
        <x:v>0</x:v>
      </x:c>
      <x:c r="X3" s="48" t="str">
        <x:v>24</x:v>
      </x:c>
      <x:c r="Y3" s="48" t="str">
        <x:v>0</x:v>
      </x:c>
      <x:c r="Z3" s="48" t="str">
        <x:v>24</x:v>
      </x:c>
      <x:c r="AA3" s="48" t="str">
        <x:v>0</x:v>
      </x:c>
      <x:c r="AB3" s="48" t="str">
        <x:v>0</x:v>
      </x:c>
      <x:c r="AC3" s="48" t="str"/>
      <x:c r="AD3" s="48" t="str">
        <x:v>HIGH</x:v>
      </x:c>
      <x:c r="AE3" s="48" t="str">
        <x:v>Issuing a price without any view of price, earnings or capital structure is definitionally incoherent.</x:v>
      </x:c>
      <x:c r="AF3" s="48" t="str">
        <x:v>Analytic invariant; evidence_count remains zero because it is not a corpus finding.</x:v>
      </x:c>
      <x:c r="AG3" s="48" t="str">
        <x:v>The offer encodes an economic judgment, however provisional.</x:v>
      </x:c>
      <x:c r="AH3" s="48" t="str">
        <x:v>Not empirically falsifiable as formulated.</x:v>
      </x:c>
      <x:c r="AI3" s="48" t="str">
        <x:v>U01,G03,G04</x:v>
      </x:c>
      <x:c r="AJ3" s="48" t="str">
        <x:v>Preliminary_Economic_View</x:v>
      </x:c>
      <x:c r="AK3" s="48" t="str">
        <x:v>Indicative_or_Binding_Price</x:v>
      </x:c>
      <x:c r="AL3" s="48" t="str">
        <x:v>Tier C v1 evidence counts retained; not recalculated in the N=29 DDQ rerun.</x:v>
      </x:c>
    </x:row>
    <x:row r="4">
      <x:c r="A4" s="48" t="str">
        <x:v>Engineering handoff v1.0</x:v>
      </x:c>
      <x:c r="B4" s="48" t="str">
        <x:v>2026-07-16</x:v>
      </x:c>
      <x:c r="C4" s="48" t="str">
        <x:v>AX-03</x:v>
      </x:c>
      <x:c r="D4" s="48" t="str">
        <x:v>Valid_Final_Authority</x:v>
      </x:c>
      <x:c r="E4" s="48" t="str">
        <x:v>Binding_Commitment</x:v>
      </x:c>
      <x:c r="F4" s="48" t="str">
        <x:v>Valid investment authority precedes an unconditional binding commitment</x:v>
      </x:c>
      <x:c r="G4" s="48" t="str">
        <x:v>GATE</x:v>
      </x:c>
      <x:c r="H4" s="48" t="str">
        <x:v>AXIOM</x:v>
      </x:c>
      <x:c r="I4" s="48" t="str">
        <x:v>Schema/state-machine invariant; non-configurable and not presented as an empirical finding.</x:v>
      </x:c>
      <x:c r="J4" s="48" t="str">
        <x:v>UNIVERSAL</x:v>
      </x:c>
      <x:c r="K4" s="48" t="str">
        <x:v>FUNCTION</x:v>
      </x:c>
      <x:c r="L4" s="48" t="str">
        <x:v>ANALYTIC_AXIOM</x:v>
      </x:c>
      <x:c r="M4" s="48" t="str">
        <x:v>ANALYTIC</x:v>
      </x:c>
      <x:c r="N4" s="48" t="str">
        <x:v>BOTH</x:v>
      </x:c>
      <x:c r="O4" s="48" t="str">
        <x:v>CO_INVESTOR_BEHAVIOURAL</x:v>
      </x:c>
      <x:c r="P4" s="48" t="str">
        <x:v>observed</x:v>
      </x:c>
      <x:c r="Q4" s="48" t="str">
        <x:v>CO_INVESTOR_BEHAVIOURAL;SPONSOR_SELF_DESCRIBED</x:v>
      </x:c>
      <x:c r="R4" s="48" t="str">
        <x:v>0</x:v>
      </x:c>
      <x:c r="S4" s="48" t="str">
        <x:v>NOT_APPLICABLE</x:v>
      </x:c>
      <x:c r="T4" s="48" t="str">
        <x:v>Analytic/legal axiom; empirical corroboration is separate</x:v>
      </x:c>
      <x:c r="U4" s="48" t="str">
        <x:v>23</x:v>
      </x:c>
      <x:c r="V4" s="48" t="str">
        <x:v>0</x:v>
      </x:c>
      <x:c r="W4" s="48" t="str">
        <x:v>23</x:v>
      </x:c>
      <x:c r="X4" s="48" t="str">
        <x:v>24</x:v>
      </x:c>
      <x:c r="Y4" s="48" t="str">
        <x:v>0</x:v>
      </x:c>
      <x:c r="Z4" s="48" t="str">
        <x:v>24</x:v>
      </x:c>
      <x:c r="AA4" s="48" t="str">
        <x:v>48</x:v>
      </x:c>
      <x:c r="AB4" s="48" t="str">
        <x:v>0</x:v>
      </x:c>
      <x:c r="AC4" s="48" t="str"/>
      <x:c r="AD4" s="48" t="str">
        <x:v>HIGH</x:v>
      </x:c>
      <x:c r="AE4" s="48" t="str">
        <x:v>A commitment made without authority is not a valid authorized fund decision.</x:v>
      </x:c>
      <x:c r="AF4" s="48" t="str">
        <x:v>Analytic invariant; evidence_count remains zero because it is not a corpus finding.</x:v>
      </x:c>
      <x:c r="AG4" s="48" t="str">
        <x:v>Governance authority converts analysis into a binding act.</x:v>
      </x:c>
      <x:c r="AH4" s="48" t="str">
        <x:v>A validly binding commitment demonstrably made before any authorized decision under governing documents.</x:v>
      </x:c>
      <x:c r="AI4" s="48" t="str">
        <x:v>G07,G08</x:v>
      </x:c>
      <x:c r="AJ4" s="48" t="str">
        <x:v>Valid_Final_Authority</x:v>
      </x:c>
      <x:c r="AK4" s="48" t="str">
        <x:v>Binding_Commitment</x:v>
      </x:c>
      <x:c r="AL4" s="48" t="str">
        <x:v>Tier C v1 evidence counts retained; not recalculated in the N=29 DDQ rerun.</x:v>
      </x:c>
    </x:row>
    <x:row r="5">
      <x:c r="A5" s="48" t="str">
        <x:v>Engineering handoff v1.0</x:v>
      </x:c>
      <x:c r="B5" s="48" t="str">
        <x:v>2026-07-16</x:v>
      </x:c>
      <x:c r="C5" s="48" t="str">
        <x:v>AX-04</x:v>
      </x:c>
      <x:c r="D5" s="48" t="str">
        <x:v>Closing_Readiness</x:v>
      </x:c>
      <x:c r="E5" s="48" t="str">
        <x:v>Funding_and_Closing</x:v>
      </x:c>
      <x:c r="F5" s="48" t="str">
        <x:v>Closing conditions and release controls precede funding and closing</x:v>
      </x:c>
      <x:c r="G5" s="48" t="str">
        <x:v>GATE</x:v>
      </x:c>
      <x:c r="H5" s="48" t="str">
        <x:v>AXIOM</x:v>
      </x:c>
      <x:c r="I5" s="48" t="str">
        <x:v>Schema/state-machine invariant; non-configurable and not presented as an empirical finding.</x:v>
      </x:c>
      <x:c r="J5" s="48" t="str">
        <x:v>UNIVERSAL</x:v>
      </x:c>
      <x:c r="K5" s="48" t="str">
        <x:v>FUNCTION</x:v>
      </x:c>
      <x:c r="L5" s="48" t="str">
        <x:v>ANALYTIC_AXIOM</x:v>
      </x:c>
      <x:c r="M5" s="48" t="str">
        <x:v>ANALYTIC</x:v>
      </x:c>
      <x:c r="N5" s="48" t="str">
        <x:v>BOTH</x:v>
      </x:c>
      <x:c r="O5" s="48" t="str">
        <x:v>CO_INVESTOR_BEHAVIOURAL</x:v>
      </x:c>
      <x:c r="P5" s="48" t="str">
        <x:v>observed</x:v>
      </x:c>
      <x:c r="Q5" s="48" t="str">
        <x:v>CO_INVESTOR_BEHAVIOURAL;SPONSOR_SELF_DESCRIBED</x:v>
      </x:c>
      <x:c r="R5" s="48" t="str">
        <x:v>0</x:v>
      </x:c>
      <x:c r="S5" s="48" t="str">
        <x:v>NOT_APPLICABLE</x:v>
      </x:c>
      <x:c r="T5" s="48" t="str">
        <x:v>Analytic/legal axiom; empirical corroboration is separate</x:v>
      </x:c>
      <x:c r="U5" s="48" t="str">
        <x:v>11</x:v>
      </x:c>
      <x:c r="V5" s="48" t="str">
        <x:v>0</x:v>
      </x:c>
      <x:c r="W5" s="48" t="str">
        <x:v>11</x:v>
      </x:c>
      <x:c r="X5" s="48" t="str">
        <x:v>16</x:v>
      </x:c>
      <x:c r="Y5" s="48" t="str">
        <x:v>0</x:v>
      </x:c>
      <x:c r="Z5" s="48" t="str">
        <x:v>16</x:v>
      </x:c>
      <x:c r="AA5" s="48" t="str">
        <x:v>48</x:v>
      </x:c>
      <x:c r="AB5" s="48" t="str">
        <x:v>0</x:v>
      </x:c>
      <x:c r="AC5" s="48" t="str"/>
      <x:c r="AD5" s="48" t="str">
        <x:v>HIGH</x:v>
      </x:c>
      <x:c r="AE5" s="48" t="str">
        <x:v>Closing readiness is defined by satisfaction or valid waiver of the requirements for closing.</x:v>
      </x:c>
      <x:c r="AF5" s="48" t="str">
        <x:v>Analytic invariant; evidence_count remains zero because it is not a corpus finding.</x:v>
      </x:c>
      <x:c r="AG5" s="48" t="str">
        <x:v>Legal, financing, compliance and funds-flow controls permit release of capital.</x:v>
      </x:c>
      <x:c r="AH5" s="48" t="str">
        <x:v>A completed funding with unsatisfied and unwaived binding conditions.</x:v>
      </x:c>
      <x:c r="AI5" s="48" t="str">
        <x:v>G09</x:v>
      </x:c>
      <x:c r="AJ5" s="48" t="str">
        <x:v>Closing_Readiness</x:v>
      </x:c>
      <x:c r="AK5" s="48" t="str">
        <x:v>Funding_and_Closing</x:v>
      </x:c>
      <x:c r="AL5" s="48" t="str">
        <x:v>Tier C v1 evidence counts retained; not recalculated in the N=29 DDQ rerun.</x:v>
      </x:c>
    </x:row>
    <x:row r="6">
      <x:c r="A6" s="48" t="str">
        <x:v>Engineering handoff v1.0</x:v>
      </x:c>
      <x:c r="B6" s="48" t="str">
        <x:v>2026-07-16</x:v>
      </x:c>
      <x:c r="C6" s="48" t="str">
        <x:v>AX-05</x:v>
      </x:c>
      <x:c r="D6" s="48" t="str">
        <x:v>CoInvestor_Approval</x:v>
      </x:c>
      <x:c r="E6" s="48" t="str">
        <x:v>CoInvestor_Commitment_and_Funding</x:v>
      </x:c>
      <x:c r="F6" s="48" t="str">
        <x:v>CO_INVESTOR approval precedes CO_INVESTOR commitment and funding</x:v>
      </x:c>
      <x:c r="G6" s="48" t="str">
        <x:v>GATE</x:v>
      </x:c>
      <x:c r="H6" s="48" t="str">
        <x:v>AXIOM</x:v>
      </x:c>
      <x:c r="I6" s="48" t="str">
        <x:v>Schema/state-machine invariant; non-configurable and not presented as an empirical finding.</x:v>
      </x:c>
      <x:c r="J6" s="48" t="str">
        <x:v>SPONSOR_LED_COINVESTMENT</x:v>
      </x:c>
      <x:c r="K6" s="48" t="str">
        <x:v>FUNCTION</x:v>
      </x:c>
      <x:c r="L6" s="48" t="str">
        <x:v>ANALYTIC_AXIOM</x:v>
      </x:c>
      <x:c r="M6" s="48" t="str">
        <x:v>ANALYTIC</x:v>
      </x:c>
      <x:c r="N6" s="48" t="str">
        <x:v>CO_INVESTOR</x:v>
      </x:c>
      <x:c r="O6" s="48" t="str">
        <x:v>CO_INVESTOR_BEHAVIOURAL</x:v>
      </x:c>
      <x:c r="P6" s="48" t="str">
        <x:v>observed</x:v>
      </x:c>
      <x:c r="Q6" s="48" t="str">
        <x:v>CO_INVESTOR_BEHAVIOURAL</x:v>
      </x:c>
      <x:c r="R6" s="48" t="str">
        <x:v>0</x:v>
      </x:c>
      <x:c r="S6" s="48" t="str">
        <x:v>NOT_APPLICABLE</x:v>
      </x:c>
      <x:c r="T6" s="48" t="str">
        <x:v>Analytic governance axiom; empirical corroboration is separate</x:v>
      </x:c>
      <x:c r="U6" s="48" t="str">
        <x:v>23</x:v>
      </x:c>
      <x:c r="V6" s="48" t="str">
        <x:v>0</x:v>
      </x:c>
      <x:c r="W6" s="48" t="str">
        <x:v>23</x:v>
      </x:c>
      <x:c r="X6" s="48" t="str">
        <x:v>0</x:v>
      </x:c>
      <x:c r="Y6" s="48" t="str">
        <x:v>0</x:v>
      </x:c>
      <x:c r="Z6" s="48" t="str">
        <x:v>0</x:v>
      </x:c>
      <x:c r="AA6" s="48" t="str">
        <x:v>48</x:v>
      </x:c>
      <x:c r="AB6" s="48" t="str">
        <x:v>0</x:v>
      </x:c>
      <x:c r="AC6" s="48" t="str"/>
      <x:c r="AD6" s="48" t="str">
        <x:v>HIGH</x:v>
      </x:c>
      <x:c r="AE6" s="48" t="str">
        <x:v>CO_INVESTOR cannot validly commit its capital without its own authorized decision.</x:v>
      </x:c>
      <x:c r="AF6" s="48" t="str">
        <x:v>Analytic invariant; evidence_count remains zero because it is not a corpus finding.</x:v>
      </x:c>
      <x:c r="AG6" s="48" t="str">
        <x:v>CO_INVESTOR governance is distinct from sponsor approval.</x:v>
      </x:c>
      <x:c r="AH6" s="48" t="str">
        <x:v>A valid CO_INVESTOR commitment demonstrably predating CO_INVESTOR authority.</x:v>
      </x:c>
      <x:c r="AI6" s="48" t="str"/>
      <x:c r="AJ6" s="48" t="str">
        <x:v>CoInvestor_Approval</x:v>
      </x:c>
      <x:c r="AK6" s="48" t="str">
        <x:v>CoInvestor_Commitment_and_Funding</x:v>
      </x:c>
      <x:c r="AL6" s="48" t="str">
        <x:v>Tier C v1 evidence counts retained; not recalculated in the N=29 DDQ rerun.</x:v>
      </x:c>
    </x:row>
    <x:row r="7">
      <x:c r="A7" s="48" t="str">
        <x:v>Engineering handoff v1.0</x:v>
      </x:c>
      <x:c r="B7" s="48" t="str">
        <x:v>2026-07-16</x:v>
      </x:c>
      <x:c r="C7" s="48" t="str">
        <x:v>EMP-01</x:v>
      </x:c>
      <x:c r="D7" s="48" t="str">
        <x:v>Opportunity_Specific_Information</x:v>
      </x:c>
      <x:c r="E7" s="48" t="str">
        <x:v>Model_and_Investment_Thesis</x:v>
      </x:c>
      <x:c r="F7" s="48" t="str">
        <x:v>Company, seller and management information feeds the model and thesis</x:v>
      </x:c>
      <x:c r="G7" s="48" t="str">
        <x:v>INPUT</x:v>
      </x:c>
      <x:c r="H7" s="48" t="str">
        <x:v>ENFORCE</x:v>
      </x:c>
      <x:c r="I7" s="48" t="str">
        <x:v>Block state advancement until the required function or evidence disposition is satisfied.</x:v>
      </x:c>
      <x:c r="J7" s="48" t="str">
        <x:v>UNIVERSAL_AT_FUNCTION_LEVEL</x:v>
      </x:c>
      <x:c r="K7" s="48" t="str">
        <x:v>FUNCTION</x:v>
      </x:c>
      <x:c r="L7" s="48" t="str">
        <x:v>EMPIRICAL_STRUCTURAL</x:v>
      </x:c>
      <x:c r="M7" s="48" t="str">
        <x:v>EMPIRICAL</x:v>
      </x:c>
      <x:c r="N7" s="48" t="str">
        <x:v>BOTH</x:v>
      </x:c>
      <x:c r="O7" s="48" t="str">
        <x:v>SPONSOR_SELF_DESCRIBED</x:v>
      </x:c>
      <x:c r="P7" s="48" t="str">
        <x:v>asserted</x:v>
      </x:c>
      <x:c r="Q7" s="48" t="str">
        <x:v>SPONSOR_SELF_DESCRIBED;SPONSOR_BEHAVIOURAL;SPONSOR_DERIVATIVE;CO_INVESTOR_BEHAVIOURAL</x:v>
      </x:c>
      <x:c r="R7" s="48" t="str">
        <x:v>24</x:v>
      </x:c>
      <x:c r="S7" s="48" t="str">
        <x:v>MANAGER_FAMILIES</x:v>
      </x:c>
      <x:c r="T7" s="48" t="str">
        <x:v>24 manager families; 11 deeply validated deals</x:v>
      </x:c>
      <x:c r="U7" s="48" t="str">
        <x:v>13</x:v>
      </x:c>
      <x:c r="V7" s="48" t="str">
        <x:v>4</x:v>
      </x:c>
      <x:c r="W7" s="48" t="str">
        <x:v>9</x:v>
      </x:c>
      <x:c r="X7" s="48" t="str">
        <x:v>24</x:v>
      </x:c>
      <x:c r="Y7" s="48" t="str">
        <x:v>4</x:v>
      </x:c>
      <x:c r="Z7" s="48" t="str">
        <x:v>24</x:v>
      </x:c>
      <x:c r="AA7" s="48" t="str">
        <x:v>11</x:v>
      </x:c>
      <x:c r="AB7" s="48" t="str">
        <x:v>0</x:v>
      </x:c>
      <x:c r="AC7" s="48" t="str"/>
      <x:c r="AD7" s="48" t="str">
        <x:v>HIGH</x:v>
      </x:c>
      <x:c r="AE7" s="48" t="str">
        <x:v>All manager families describe opportunity-specific underwriting; multiple deal files show management/sponsor/CO_INVESTOR case lineage.</x:v>
      </x:c>
      <x:c r="AF7" s="48" t="str">
        <x:v>High-confidence empirical function with 13 direct behavioural observations across the available deal corpus and no material functional counterexample.</x:v>
      </x:c>
      <x:c r="AG7" s="48" t="str">
        <x:v>The model requires facts about the target rather than only generic sector knowledge.</x:v>
      </x:c>
      <x:c r="AH7" s="48" t="str">
        <x:v>A final target-specific underwrite containing no target-specific information.</x:v>
      </x:c>
      <x:c r="AI7" s="48" t="str">
        <x:v>U01,D07</x:v>
      </x:c>
      <x:c r="AJ7" s="48" t="str">
        <x:v>Opportunity_Specific_Information</x:v>
      </x:c>
      <x:c r="AK7" s="48" t="str">
        <x:v>Model_and_Investment_Thesis</x:v>
      </x:c>
      <x:c r="AL7" s="48" t="str">
        <x:v>Tier C v1 evidence counts retained; not recalculated in the N=29 DDQ rerun.</x:v>
      </x:c>
    </x:row>
    <x:row r="8">
      <x:c r="A8" s="48" t="str">
        <x:v>Engineering handoff v1.0</x:v>
      </x:c>
      <x:c r="B8" s="48" t="str">
        <x:v>2026-07-16</x:v>
      </x:c>
      <x:c r="C8" s="48" t="str">
        <x:v>EMP-02</x:v>
      </x:c>
      <x:c r="D8" s="48" t="str">
        <x:v>Sponsor_or_Company_Information</x:v>
      </x:c>
      <x:c r="E8" s="48" t="str">
        <x:v>CoInvestor_Final_Decision</x:v>
      </x:c>
      <x:c r="F8" s="48" t="str">
        <x:v>Sponsor/company information is an input to the co-investor decision</x:v>
      </x:c>
      <x:c r="G8" s="48" t="str">
        <x:v>INPUT</x:v>
      </x:c>
      <x:c r="H8" s="48" t="str">
        <x:v>ENFORCE</x:v>
      </x:c>
      <x:c r="I8" s="48" t="str">
        <x:v>Block state advancement until the required function or evidence disposition is satisfied.</x:v>
      </x:c>
      <x:c r="J8" s="48" t="str">
        <x:v>SPONSOR_LED_COINVESTMENT</x:v>
      </x:c>
      <x:c r="K8" s="48" t="str">
        <x:v>FUNCTION</x:v>
      </x:c>
      <x:c r="L8" s="48" t="str">
        <x:v>EMPIRICAL_STRUCTURAL</x:v>
      </x:c>
      <x:c r="M8" s="48" t="str">
        <x:v>EMPIRICAL</x:v>
      </x:c>
      <x:c r="N8" s="48" t="str">
        <x:v>CO_INVESTOR</x:v>
      </x:c>
      <x:c r="O8" s="48" t="str">
        <x:v>CO_INVESTOR_BEHAVIOURAL</x:v>
      </x:c>
      <x:c r="P8" s="48" t="str">
        <x:v>observed</x:v>
      </x:c>
      <x:c r="Q8" s="48" t="str">
        <x:v>CO_INVESTOR_BEHAVIOURAL;SPONSOR_DERIVATIVE</x:v>
      </x:c>
      <x:c r="R8" s="48" t="str">
        <x:v>23</x:v>
      </x:c>
      <x:c r="S8" s="48" t="str">
        <x:v>CO_INVESTOR_OPPORTUNITIES_REACHING_IC</x:v>
      </x:c>
      <x:c r="T8" s="48" t="str">
        <x:v>23 of 48 recent CO_INVESTOR opportunities reached IC; 10 detailed reports/transfer cases</x:v>
      </x:c>
      <x:c r="U8" s="48" t="str">
        <x:v>23</x:v>
      </x:c>
      <x:c r="V8" s="48" t="str">
        <x:v>0</x:v>
      </x:c>
      <x:c r="W8" s="48" t="str">
        <x:v>23</x:v>
      </x:c>
      <x:c r="X8" s="48" t="str">
        <x:v>0</x:v>
      </x:c>
      <x:c r="Y8" s="48" t="str">
        <x:v>7</x:v>
      </x:c>
      <x:c r="Z8" s="48" t="str">
        <x:v>0</x:v>
      </x:c>
      <x:c r="AA8" s="48" t="str">
        <x:v>48</x:v>
      </x:c>
      <x:c r="AB8" s="48" t="str">
        <x:v>0</x:v>
      </x:c>
      <x:c r="AC8" s="48" t="str"/>
      <x:c r="AD8" s="48" t="str">
        <x:v>HIGH</x:v>
      </x:c>
      <x:c r="AE8" s="48" t="str">
        <x:v>Actual CO_INVESTOR stage paths and detailed reports show CO_INVESTOR receives sponsor/company information before its own decision.</x:v>
      </x:c>
      <x:c r="AF8" s="48" t="str">
        <x:v>High-confidence empirical function with 23 direct behavioural observations across the available deal corpus and no material functional counterexample.</x:v>
      </x:c>
      <x:c r="AG8" s="48" t="str">
        <x:v>The co-investor is not the primary diligence principal and needs transmitted target and sponsor analysis.</x:v>
      </x:c>
      <x:c r="AH8" s="48" t="str">
        <x:v>CO_INVESTOR final approval made with no sponsor, company or authorized intermediary information.</x:v>
      </x:c>
      <x:c r="AI8" s="48" t="str"/>
      <x:c r="AJ8" s="48" t="str">
        <x:v>Sponsor_or_Company_Information</x:v>
      </x:c>
      <x:c r="AK8" s="48" t="str">
        <x:v>CoInvestor_Final_Decision</x:v>
      </x:c>
      <x:c r="AL8" s="48" t="str">
        <x:v>Tier C v1 evidence counts retained; not recalculated in the N=29 DDQ rerun.</x:v>
      </x:c>
    </x:row>
    <x:row r="9">
      <x:c r="A9" s="48" t="str">
        <x:v>Engineering handoff v1.0</x:v>
      </x:c>
      <x:c r="B9" s="48" t="str">
        <x:v>2026-07-16</x:v>
      </x:c>
      <x:c r="C9" s="48" t="str">
        <x:v>EMP-03</x:v>
      </x:c>
      <x:c r="D9" s="48" t="str">
        <x:v>Diligence_Findings</x:v>
      </x:c>
      <x:c r="E9" s="48" t="str">
        <x:v>Model_Price_Risk_and_Terms</x:v>
      </x:c>
      <x:c r="F9" s="48" t="str">
        <x:v>Diligence findings revise the model, price, risk register and transaction terms</x:v>
      </x:c>
      <x:c r="G9" s="48" t="str">
        <x:v>FEEDBACK</x:v>
      </x:c>
      <x:c r="H9" s="48" t="str">
        <x:v>CONFIGURE</x:v>
      </x:c>
      <x:c r="I9" s="48" t="str">
        <x:v>Provide a default and archetype condition; permit authorized client override with recorded rationale.</x:v>
      </x:c>
      <x:c r="J9" s="48" t="str">
        <x:v>UNIVERSAL_DYNAMIC</x:v>
      </x:c>
      <x:c r="K9" s="48" t="str">
        <x:v>FUNCTION</x:v>
      </x:c>
      <x:c r="L9" s="48" t="str">
        <x:v>EMPIRICAL_STRUCTURAL</x:v>
      </x:c>
      <x:c r="M9" s="48" t="str">
        <x:v>EMPIRICAL</x:v>
      </x:c>
      <x:c r="N9" s="48" t="str">
        <x:v>LEAD_SPONSOR</x:v>
      </x:c>
      <x:c r="O9" s="48" t="str">
        <x:v>SPONSOR_SELF_DESCRIBED</x:v>
      </x:c>
      <x:c r="P9" s="48" t="str">
        <x:v>asserted</x:v>
      </x:c>
      <x:c r="Q9" s="48" t="str">
        <x:v>SPONSOR_SELF_DESCRIBED;SPONSOR_BEHAVIOURAL;SPONSOR_DERIVATIVE;CO_INVESTOR_BEHAVIOURAL</x:v>
      </x:c>
      <x:c r="R9" s="48" t="str">
        <x:v>24</x:v>
      </x:c>
      <x:c r="S9" s="48" t="str">
        <x:v>MANAGER_FAMILIES</x:v>
      </x:c>
      <x:c r="T9" s="48" t="str">
        <x:v>24 manager families; 11 deeply validated deals</x:v>
      </x:c>
      <x:c r="U9" s="48" t="str">
        <x:v>8</x:v>
      </x:c>
      <x:c r="V9" s="48" t="str">
        <x:v>3</x:v>
      </x:c>
      <x:c r="W9" s="48" t="str">
        <x:v>5</x:v>
      </x:c>
      <x:c r="X9" s="48" t="str">
        <x:v>24</x:v>
      </x:c>
      <x:c r="Y9" s="48" t="str">
        <x:v>2</x:v>
      </x:c>
      <x:c r="Z9" s="48" t="str">
        <x:v>24</x:v>
      </x:c>
      <x:c r="AA9" s="48" t="str">
        <x:v>11</x:v>
      </x:c>
      <x:c r="AB9" s="48" t="str">
        <x:v>0</x:v>
      </x:c>
      <x:c r="AC9" s="48" t="str"/>
      <x:c r="AD9" s="48" t="str">
        <x:v>HIGH</x:v>
      </x:c>
      <x:c r="AE9" s="48" t="str">
        <x:v>All manager families describe iteration; an anonymized deal observation, an anonymized deal observation, an anonymized deal observation, an anonymized deal observation and an anonymized deal observation preserve revisions or feedback.</x:v>
      </x:c>
      <x:c r="AF9" s="48" t="str">
        <x:v>The function is conditional, organization-dependent or explicitly variable across managers; preserve the default and condition but allow authorized override.</x:v>
      </x:c>
      <x:c r="AG9" s="48" t="str">
        <x:v>Evidence changes assumptions and economics; sensitivities in turn redirect diligence.</x:v>
      </x:c>
      <x:c r="AH9" s="48" t="str">
        <x:v>A repeatably fixed final underwrite unaffected by material contrary diligence across observable deals.</x:v>
      </x:c>
      <x:c r="AI9" s="48" t="str">
        <x:v>U04,U02</x:v>
      </x:c>
      <x:c r="AJ9" s="48" t="str">
        <x:v>Diligence_Findings</x:v>
      </x:c>
      <x:c r="AK9" s="48" t="str">
        <x:v>Model_Price_Risk_and_Terms</x:v>
      </x:c>
      <x:c r="AL9" s="48" t="str">
        <x:v>Tier C v1 evidence counts retained; not recalculated in the N=29 DDQ rerun.</x:v>
      </x:c>
    </x:row>
    <x:row r="10">
      <x:c r="A10" s="48" t="str">
        <x:v>Engineering handoff v1.0</x:v>
      </x:c>
      <x:c r="B10" s="48" t="str">
        <x:v>2026-07-16</x:v>
      </x:c>
      <x:c r="C10" s="48" t="str">
        <x:v>EMP-04</x:v>
      </x:c>
      <x:c r="D10" s="48" t="str">
        <x:v>Final_Evidence_Synthesis</x:v>
      </x:c>
      <x:c r="E10" s="48" t="str">
        <x:v>Final_Investment_Authority</x:v>
      </x:c>
      <x:c r="F10" s="48" t="str">
        <x:v>A synthesized and sufficiently bounded case precedes final investment authority</x:v>
      </x:c>
      <x:c r="G10" s="48" t="str">
        <x:v>FINALIZATION</x:v>
      </x:c>
      <x:c r="H10" s="48" t="str">
        <x:v>ENFORCE</x:v>
      </x:c>
      <x:c r="I10" s="48" t="str">
        <x:v>Block state advancement until the required function or evidence disposition is satisfied.</x:v>
      </x:c>
      <x:c r="J10" s="48" t="str">
        <x:v>UNIVERSAL_AT_FUNCTION_LEVEL</x:v>
      </x:c>
      <x:c r="K10" s="48" t="str">
        <x:v>FUNCTION</x:v>
      </x:c>
      <x:c r="L10" s="48" t="str">
        <x:v>EMPIRICAL_STRUCTURAL</x:v>
      </x:c>
      <x:c r="M10" s="48" t="str">
        <x:v>EMPIRICAL</x:v>
      </x:c>
      <x:c r="N10" s="48" t="str">
        <x:v>BOTH</x:v>
      </x:c>
      <x:c r="O10" s="48" t="str">
        <x:v>SPONSOR_SELF_DESCRIBED</x:v>
      </x:c>
      <x:c r="P10" s="48" t="str">
        <x:v>asserted</x:v>
      </x:c>
      <x:c r="Q10" s="48" t="str">
        <x:v>SPONSOR_SELF_DESCRIBED;CO_INVESTOR_BEHAVIOURAL;SPONSOR_BEHAVIOURAL</x:v>
      </x:c>
      <x:c r="R10" s="48" t="str">
        <x:v>24</x:v>
      </x:c>
      <x:c r="S10" s="48" t="str">
        <x:v>MANAGER_FAMILIES</x:v>
      </x:c>
      <x:c r="T10" s="48" t="str">
        <x:v>24 manager families; 23 recent CO_INVESTOR IC-stage opportunities</x:v>
      </x:c>
      <x:c r="U10" s="48" t="str">
        <x:v>27</x:v>
      </x:c>
      <x:c r="V10" s="48" t="str">
        <x:v>4</x:v>
      </x:c>
      <x:c r="W10" s="48" t="str">
        <x:v>23</x:v>
      </x:c>
      <x:c r="X10" s="48" t="str">
        <x:v>24</x:v>
      </x:c>
      <x:c r="Y10" s="48" t="str">
        <x:v>0</x:v>
      </x:c>
      <x:c r="Z10" s="48" t="str">
        <x:v>24</x:v>
      </x:c>
      <x:c r="AA10" s="48" t="str">
        <x:v>48</x:v>
      </x:c>
      <x:c r="AB10" s="48" t="str">
        <x:v>0</x:v>
      </x:c>
      <x:c r="AC10" s="48" t="str"/>
      <x:c r="AD10" s="48" t="str">
        <x:v>HIGH</x:v>
      </x:c>
      <x:c r="AE10" s="48" t="str">
        <x:v>Progressive materials and actual CO_INVESTOR IC paths converge on a final synthesis gate.</x:v>
      </x:c>
      <x:c r="AF10" s="48" t="str">
        <x:v>High-confidence empirical function with 27 direct behavioural observations across the available deal corpus and no material functional counterexample.</x:v>
      </x:c>
      <x:c r="AG10" s="48" t="str">
        <x:v>Decision-makers need economics, risks, terms and open-item disposition sufficiently bounded to exercise authority.</x:v>
      </x:c>
      <x:c r="AH10" s="48" t="str">
        <x:v>Final authority systematically issued before any synthesis of material evidence.</x:v>
      </x:c>
      <x:c r="AI10" s="48" t="str">
        <x:v>G05,U05,U07</x:v>
      </x:c>
      <x:c r="AJ10" s="48" t="str">
        <x:v>Final_Evidence_Synthesis</x:v>
      </x:c>
      <x:c r="AK10" s="48" t="str">
        <x:v>Final_Investment_Authority</x:v>
      </x:c>
      <x:c r="AL10" s="48" t="str">
        <x:v>Tier C v1 evidence counts retained; not recalculated in the N=29 DDQ rerun.</x:v>
      </x:c>
    </x:row>
    <x:row r="11">
      <x:c r="A11" s="48" t="str">
        <x:v>Engineering handoff v1.0</x:v>
      </x:c>
      <x:c r="B11" s="48" t="str">
        <x:v>2026-07-16</x:v>
      </x:c>
      <x:c r="C11" s="48" t="str">
        <x:v>EMP-05</x:v>
      </x:c>
      <x:c r="D11" s="48" t="str">
        <x:v>Underwrite_and_VCP</x:v>
      </x:c>
      <x:c r="E11" s="48" t="str">
        <x:v>Ownership_KPIs_and_Monitoring</x:v>
      </x:c>
      <x:c r="F11" s="48" t="str">
        <x:v>The acquisition underwrite is converted into ownership accountability and monitoring</x:v>
      </x:c>
      <x:c r="G11" s="48" t="str">
        <x:v>INPUT</x:v>
      </x:c>
      <x:c r="H11" s="48" t="str">
        <x:v>CONFIGURE</x:v>
      </x:c>
      <x:c r="I11" s="48" t="str">
        <x:v>Provide a default and archetype condition; permit authorized client override with recorded rationale.</x:v>
      </x:c>
      <x:c r="J11" s="48" t="str">
        <x:v>LEAD_CONTROL_INVESTOR</x:v>
      </x:c>
      <x:c r="K11" s="48" t="str">
        <x:v>FUNCTION</x:v>
      </x:c>
      <x:c r="L11" s="48" t="str">
        <x:v>EMPIRICAL_STRUCTURAL</x:v>
      </x:c>
      <x:c r="M11" s="48" t="str">
        <x:v>EMPIRICAL</x:v>
      </x:c>
      <x:c r="N11" s="48" t="str">
        <x:v>LEAD_SPONSOR</x:v>
      </x:c>
      <x:c r="O11" s="48" t="str">
        <x:v>SPONSOR_SELF_DESCRIBED</x:v>
      </x:c>
      <x:c r="P11" s="48" t="str">
        <x:v>asserted</x:v>
      </x:c>
      <x:c r="Q11" s="48" t="str">
        <x:v>SPONSOR_SELF_DESCRIBED;SPONSOR_DERIVATIVE;CO_INVESTOR_BEHAVIOURAL</x:v>
      </x:c>
      <x:c r="R11" s="48" t="str">
        <x:v>24</x:v>
      </x:c>
      <x:c r="S11" s="48" t="str">
        <x:v>MANAGER_FAMILIES</x:v>
      </x:c>
      <x:c r="T11" s="48" t="str">
        <x:v>24 manager families; behavioural ownership lineage limited</x:v>
      </x:c>
      <x:c r="U11" s="48" t="str">
        <x:v>3</x:v>
      </x:c>
      <x:c r="V11" s="48" t="str">
        <x:v>1</x:v>
      </x:c>
      <x:c r="W11" s="48" t="str">
        <x:v>2</x:v>
      </x:c>
      <x:c r="X11" s="48" t="str">
        <x:v>24</x:v>
      </x:c>
      <x:c r="Y11" s="48" t="str">
        <x:v>1</x:v>
      </x:c>
      <x:c r="Z11" s="48" t="str">
        <x:v>24</x:v>
      </x:c>
      <x:c r="AA11" s="48" t="str">
        <x:v>11</x:v>
      </x:c>
      <x:c r="AB11" s="48" t="str">
        <x:v>0</x:v>
      </x:c>
      <x:c r="AC11" s="48" t="str"/>
      <x:c r="AD11" s="48" t="str">
        <x:v>MEDIUM</x:v>
      </x:c>
      <x:c r="AE11" s="48" t="str">
        <x:v>Manager convergence is complete, but sponsor-authored ownership-transition evidence is sparse in the co-investor archive.</x:v>
      </x:c>
      <x:c r="AF11" s="48" t="str">
        <x:v>The function is conditional, organization-dependent or explicitly variable across managers; preserve the default and condition but allow authorized override.</x:v>
      </x:c>
      <x:c r="AG11" s="48" t="str">
        <x:v>Value creation requires translating assumptions into owners, budgets, milestones and KPIs.</x:v>
      </x:c>
      <x:c r="AH11" s="48" t="str">
        <x:v>Control investments consistently managed without reference to any underwriting objectives or monitoring system.</x:v>
      </x:c>
      <x:c r="AI11" s="48" t="str">
        <x:v>O02,U09</x:v>
      </x:c>
      <x:c r="AJ11" s="48" t="str">
        <x:v>Underwrite_and_VCP</x:v>
      </x:c>
      <x:c r="AK11" s="48" t="str">
        <x:v>Ownership_KPIs_and_Monitoring</x:v>
      </x:c>
      <x:c r="AL11" s="48" t="str">
        <x:v>Tier C v1 evidence counts retained; not recalculated in the N=29 DDQ rerun.</x:v>
      </x:c>
    </x:row>
    <x:row r="12">
      <x:c r="A12" s="48" t="str">
        <x:v>Engineering handoff v1.0</x:v>
      </x:c>
      <x:c r="B12" s="48" t="str">
        <x:v>2026-07-16</x:v>
      </x:c>
      <x:c r="C12" s="48" t="str">
        <x:v>EMP-06</x:v>
      </x:c>
      <x:c r="D12" s="48" t="str">
        <x:v>Exit_Assessment_and_Authority</x:v>
      </x:c>
      <x:c r="E12" s="48" t="str">
        <x:v>Realization</x:v>
      </x:c>
      <x:c r="F12" s="48" t="str">
        <x:v>Exit assessment and valid disposition authority precede realization</x:v>
      </x:c>
      <x:c r="G12" s="48" t="str">
        <x:v>GATE</x:v>
      </x:c>
      <x:c r="H12" s="48" t="str">
        <x:v>CONFIGURE</x:v>
      </x:c>
      <x:c r="I12" s="48" t="str">
        <x:v>Provide a default and archetype condition; permit authorized client override with recorded rationale.</x:v>
      </x:c>
      <x:c r="J12" s="48" t="str">
        <x:v>INVESTMENT_REALIZATION</x:v>
      </x:c>
      <x:c r="K12" s="48" t="str">
        <x:v>FUNCTION</x:v>
      </x:c>
      <x:c r="L12" s="48" t="str">
        <x:v>EMPIRICAL_STRUCTURAL</x:v>
      </x:c>
      <x:c r="M12" s="48" t="str">
        <x:v>EMPIRICAL</x:v>
      </x:c>
      <x:c r="N12" s="48" t="str">
        <x:v>LEAD_SPONSOR</x:v>
      </x:c>
      <x:c r="O12" s="48" t="str">
        <x:v>SPONSOR_SELF_DESCRIBED</x:v>
      </x:c>
      <x:c r="P12" s="48" t="str">
        <x:v>asserted</x:v>
      </x:c>
      <x:c r="Q12" s="48" t="str">
        <x:v>SPONSOR_SELF_DESCRIBED;CO_INVESTOR_BEHAVIOURAL</x:v>
      </x:c>
      <x:c r="R12" s="48" t="str">
        <x:v>18</x:v>
      </x:c>
      <x:c r="S12" s="48" t="str">
        <x:v>MANAGER_FAMILIES</x:v>
      </x:c>
      <x:c r="T12" s="48" t="str">
        <x:v>18 observable manager families; CO_INVESTOR portfolio records include proceeds/exit events</x:v>
      </x:c>
      <x:c r="U12" s="48" t="str">
        <x:v>2</x:v>
      </x:c>
      <x:c r="V12" s="48" t="str">
        <x:v>0</x:v>
      </x:c>
      <x:c r="W12" s="48" t="str">
        <x:v>2</x:v>
      </x:c>
      <x:c r="X12" s="48" t="str">
        <x:v>18</x:v>
      </x:c>
      <x:c r="Y12" s="48" t="str">
        <x:v>0</x:v>
      </x:c>
      <x:c r="Z12" s="48" t="str">
        <x:v>18</x:v>
      </x:c>
      <x:c r="AA12" s="48" t="str">
        <x:v>48</x:v>
      </x:c>
      <x:c r="AB12" s="48" t="str">
        <x:v>0</x:v>
      </x:c>
      <x:c r="AC12" s="48" t="str"/>
      <x:c r="AD12" s="48" t="str">
        <x:v>MEDIUM</x:v>
      </x:c>
      <x:c r="AE12" s="48" t="str">
        <x:v>Formal exit approval is described by most observable managers; the archive has less granular exit authority evidence than entry evidence.</x:v>
      </x:c>
      <x:c r="AF12" s="48" t="str">
        <x:v>The function is conditional, organization-dependent or explicitly variable across managers; preserve the default and condition but allow authorized override.</x:v>
      </x:c>
      <x:c r="AG12" s="48" t="str">
        <x:v>A realization changes ownership and requires a disposition decision.</x:v>
      </x:c>
      <x:c r="AH12" s="48" t="str">
        <x:v>Repeated realizations executed without any authorized disposition decision.</x:v>
      </x:c>
      <x:c r="AI12" s="48" t="str">
        <x:v>G10,O04</x:v>
      </x:c>
      <x:c r="AJ12" s="48" t="str">
        <x:v>Exit_Assessment_and_Authority</x:v>
      </x:c>
      <x:c r="AK12" s="48" t="str">
        <x:v>Realization</x:v>
      </x:c>
      <x:c r="AL12" s="48" t="str">
        <x:v>Tier C v1 evidence counts retained; not recalculated in the N=29 DDQ rerun.</x:v>
      </x:c>
    </x:row>
    <x:row r="13">
      <x:c r="A13" s="48" t="str">
        <x:v>Engineering handoff v1.0</x:v>
      </x:c>
      <x:c r="B13" s="48" t="str">
        <x:v>2026-07-16</x:v>
      </x:c>
      <x:c r="C13" s="48" t="str">
        <x:v>FS-01</x:v>
      </x:c>
      <x:c r="D13" s="48" t="str">
        <x:v>Credible_Financial_Verification</x:v>
      </x:c>
      <x:c r="E13" s="48" t="str">
        <x:v>Normalized_Earnings_Cash_and_Valuation</x:v>
      </x:c>
      <x:c r="F13" s="48" t="str">
        <x:v>Financial verification feeds normalized earnings, cash flow and valuation</x:v>
      </x:c>
      <x:c r="G13" s="48" t="str">
        <x:v>INPUT</x:v>
      </x:c>
      <x:c r="H13" s="48" t="str">
        <x:v>ENFORCE</x:v>
      </x:c>
      <x:c r="I13" s="48" t="str">
        <x:v>Block state advancement until the required function or evidence disposition is satisfied.</x:v>
      </x:c>
      <x:c r="J13" s="48" t="str">
        <x:v>UNIVERSAL_AT_FUNCTION_LEVEL</x:v>
      </x:c>
      <x:c r="K13" s="48" t="str">
        <x:v>FUNCTION</x:v>
      </x:c>
      <x:c r="L13" s="48" t="str">
        <x:v>FUNCTIONALLY_STRUCTURAL_ARTIFACT_SUBSTITUTABLE</x:v>
      </x:c>
      <x:c r="M13" s="48" t="str">
        <x:v>EMPIRICAL</x:v>
      </x:c>
      <x:c r="N13" s="48" t="str">
        <x:v>BOTH</x:v>
      </x:c>
      <x:c r="O13" s="48" t="str">
        <x:v>SPONSOR_SELF_DESCRIBED</x:v>
      </x:c>
      <x:c r="P13" s="48" t="str">
        <x:v>asserted</x:v>
      </x:c>
      <x:c r="Q13" s="48" t="str">
        <x:v>SPONSOR_SELF_DESCRIBED;SPONSOR_BEHAVIOURAL;CO_INVESTOR_BEHAVIOURAL</x:v>
      </x:c>
      <x:c r="R13" s="48" t="str">
        <x:v>22</x:v>
      </x:c>
      <x:c r="S13" s="48" t="str">
        <x:v>MANAGER_FAMILIES</x:v>
      </x:c>
      <x:c r="T13" s="48" t="str">
        <x:v>22 observable manager families; 8 deeply validated deals</x:v>
      </x:c>
      <x:c r="U13" s="48" t="str">
        <x:v>10</x:v>
      </x:c>
      <x:c r="V13" s="48" t="str">
        <x:v>4</x:v>
      </x:c>
      <x:c r="W13" s="48" t="str">
        <x:v>6</x:v>
      </x:c>
      <x:c r="X13" s="48" t="str">
        <x:v>22</x:v>
      </x:c>
      <x:c r="Y13" s="48" t="str">
        <x:v>0</x:v>
      </x:c>
      <x:c r="Z13" s="48" t="str">
        <x:v>22</x:v>
      </x:c>
      <x:c r="AA13" s="48" t="str">
        <x:v>11</x:v>
      </x:c>
      <x:c r="AB13" s="48" t="str">
        <x:v>1</x:v>
      </x:c>
      <x:c r="AC13" s="48" t="str">
        <x:v>an anonymized deal observation disproves mandatory formal QoE, not financial verification.</x:v>
      </x:c>
      <x:c r="AD13" s="48" t="str">
        <x:v>HIGH</x:v>
      </x:c>
      <x:c r="AE13" s="48" t="str">
        <x:v>Manager convergence and behavioural artifacts support the function; an anonymized deal observation demonstrates artifact substitution.</x:v>
      </x:c>
      <x:c r="AF13" s="48" t="str">
        <x:v>High-confidence empirical function with 10 direct behavioural observations across the available deal corpus and no material functional counterexample.</x:v>
      </x:c>
      <x:c r="AG13" s="48" t="str">
        <x:v>Price, leverage and returns depend on a credible earnings, working-capital, capex and cash base.</x:v>
      </x:c>
      <x:c r="AH13" s="48" t="str">
        <x:v>A final leveraged underwrite with no verification of any financial information.</x:v>
      </x:c>
      <x:c r="AI13" s="48" t="str">
        <x:v>D08</x:v>
      </x:c>
      <x:c r="AJ13" s="48" t="str">
        <x:v>Credible_Financial_Verification</x:v>
      </x:c>
      <x:c r="AK13" s="48" t="str">
        <x:v>Normalized_Earnings_Cash_and_Valuation</x:v>
      </x:c>
      <x:c r="AL13" s="48" t="str">
        <x:v>Tier C v1 evidence counts retained; not recalculated in the N=29 DDQ rerun.</x:v>
      </x:c>
    </x:row>
    <x:row r="14">
      <x:c r="A14" s="48" t="str">
        <x:v>Engineering handoff v1.0</x:v>
      </x:c>
      <x:c r="B14" s="48" t="str">
        <x:v>2026-07-16</x:v>
      </x:c>
      <x:c r="C14" s="48" t="str">
        <x:v>FS-02</x:v>
      </x:c>
      <x:c r="D14" s="48" t="str">
        <x:v>Commercial_Validation</x:v>
      </x:c>
      <x:c r="E14" s="48" t="str">
        <x:v>Revenue_and_Market_Assumptions</x:v>
      </x:c>
      <x:c r="F14" s="48" t="str">
        <x:v>Commercial validation feeds material demand, pricing, retention and competition assumptions</x:v>
      </x:c>
      <x:c r="G14" s="48" t="str">
        <x:v>INPUT</x:v>
      </x:c>
      <x:c r="H14" s="48" t="str">
        <x:v>CONFIGURE</x:v>
      </x:c>
      <x:c r="I14" s="48" t="str">
        <x:v>Provide a default and archetype condition; permit authorized client override with recorded rationale.</x:v>
      </x:c>
      <x:c r="J14" s="48" t="str">
        <x:v>WHEN_COMMERCIAL_ASSUMPTIONS_ARE_MATERIAL</x:v>
      </x:c>
      <x:c r="K14" s="48" t="str">
        <x:v>FUNCTION</x:v>
      </x:c>
      <x:c r="L14" s="48" t="str">
        <x:v>FUNCTIONALLY_STRUCTURAL_ARTIFACT_SUBSTITUTABLE</x:v>
      </x:c>
      <x:c r="M14" s="48" t="str">
        <x:v>EMPIRICAL</x:v>
      </x:c>
      <x:c r="N14" s="48" t="str">
        <x:v>BOTH</x:v>
      </x:c>
      <x:c r="O14" s="48" t="str">
        <x:v>SPONSOR_SELF_DESCRIBED</x:v>
      </x:c>
      <x:c r="P14" s="48" t="str">
        <x:v>asserted</x:v>
      </x:c>
      <x:c r="Q14" s="48" t="str">
        <x:v>SPONSOR_SELF_DESCRIBED;SPONSOR_BEHAVIOURAL;CO_INVESTOR_BEHAVIOURAL</x:v>
      </x:c>
      <x:c r="R14" s="48" t="str">
        <x:v>24</x:v>
      </x:c>
      <x:c r="S14" s="48" t="str">
        <x:v>MANAGER_FAMILIES</x:v>
      </x:c>
      <x:c r="T14" s="48" t="str">
        <x:v>24 manager families; 10 CO_INVESTOR rejections cite commercial/market issues</x:v>
      </x:c>
      <x:c r="U14" s="48" t="str">
        <x:v>14</x:v>
      </x:c>
      <x:c r="V14" s="48" t="str">
        <x:v>4</x:v>
      </x:c>
      <x:c r="W14" s="48" t="str">
        <x:v>10</x:v>
      </x:c>
      <x:c r="X14" s="48" t="str">
        <x:v>24</x:v>
      </x:c>
      <x:c r="Y14" s="48" t="str">
        <x:v>0</x:v>
      </x:c>
      <x:c r="Z14" s="48" t="str">
        <x:v>24</x:v>
      </x:c>
      <x:c r="AA14" s="48" t="str">
        <x:v>48</x:v>
      </x:c>
      <x:c r="AB14" s="48" t="str">
        <x:v>0</x:v>
      </x:c>
      <x:c r="AC14" s="48" t="str"/>
      <x:c r="AD14" s="48" t="str">
        <x:v>HIGH</x:v>
      </x:c>
      <x:c r="AE14" s="48" t="str">
        <x:v>All manager families describe customer/expert/reference work; commercial issues are the largest observed CO_INVESTOR rejection category.</x:v>
      </x:c>
      <x:c r="AF14" s="48" t="str">
        <x:v>The function is conditional, organization-dependent or explicitly variable across managers; preserve the default and condition but allow authorized override.</x:v>
      </x:c>
      <x:c r="AG14" s="48" t="str">
        <x:v>Revenue and market assumptions are decision-sensitive and require evidence when material.</x:v>
      </x:c>
      <x:c r="AH14" s="48" t="str">
        <x:v>Material market/revenue assumptions accepted without any internal or external validation.</x:v>
      </x:c>
      <x:c r="AI14" s="48" t="str">
        <x:v>D07,S01</x:v>
      </x:c>
      <x:c r="AJ14" s="48" t="str">
        <x:v>Commercial_Validation</x:v>
      </x:c>
      <x:c r="AK14" s="48" t="str">
        <x:v>Revenue_and_Market_Assumptions</x:v>
      </x:c>
      <x:c r="AL14" s="48" t="str">
        <x:v>Tier C v1 evidence counts retained; not recalculated in the N=29 DDQ rerun.</x:v>
      </x:c>
    </x:row>
    <x:row r="15">
      <x:c r="A15" s="48" t="str">
        <x:v>Engineering handoff v1.0</x:v>
      </x:c>
      <x:c r="B15" s="48" t="str">
        <x:v>2026-07-16</x:v>
      </x:c>
      <x:c r="C15" s="48" t="str">
        <x:v>FS-03</x:v>
      </x:c>
      <x:c r="D15" s="48" t="str">
        <x:v>Legal_Regulatory_and_Tax_Assessment</x:v>
      </x:c>
      <x:c r="E15" s="48" t="str">
        <x:v>Perimeter_Protections_and_Closing_Requirements</x:v>
      </x:c>
      <x:c r="F15" s="48" t="str">
        <x:v>Legal, regulatory and tax assessment feeds perimeter, protections and closing requirements</x:v>
      </x:c>
      <x:c r="G15" s="48" t="str">
        <x:v>INPUT</x:v>
      </x:c>
      <x:c r="H15" s="48" t="str">
        <x:v>CONFIGURE</x:v>
      </x:c>
      <x:c r="I15" s="48" t="str">
        <x:v>Provide a default and archetype condition; permit authorized client override with recorded rationale.</x:v>
      </x:c>
      <x:c r="J15" s="48" t="str">
        <x:v>WHEN_MATERIAL_TO_TRANSACTION</x:v>
      </x:c>
      <x:c r="K15" s="48" t="str">
        <x:v>FUNCTION</x:v>
      </x:c>
      <x:c r="L15" s="48" t="str">
        <x:v>FUNCTIONALLY_STRUCTURAL_ARTIFACT_SUBSTITUTABLE</x:v>
      </x:c>
      <x:c r="M15" s="48" t="str">
        <x:v>EMPIRICAL</x:v>
      </x:c>
      <x:c r="N15" s="48" t="str">
        <x:v>BOTH</x:v>
      </x:c>
      <x:c r="O15" s="48" t="str">
        <x:v>SPONSOR_SELF_DESCRIBED</x:v>
      </x:c>
      <x:c r="P15" s="48" t="str">
        <x:v>asserted</x:v>
      </x:c>
      <x:c r="Q15" s="48" t="str">
        <x:v>SPONSOR_SELF_DESCRIBED;SPONSOR_BEHAVIOURAL;CO_INVESTOR_BEHAVIOURAL</x:v>
      </x:c>
      <x:c r="R15" s="48" t="str">
        <x:v>24</x:v>
      </x:c>
      <x:c r="S15" s="48" t="str">
        <x:v>MANAGER_FAMILIES</x:v>
      </x:c>
      <x:c r="T15" s="48" t="str">
        <x:v>24 manager families; 5 structure/tax and 1 regulatory CO_INVESTOR rejection categories</x:v>
      </x:c>
      <x:c r="U15" s="48" t="str">
        <x:v>10</x:v>
      </x:c>
      <x:c r="V15" s="48" t="str">
        <x:v>4</x:v>
      </x:c>
      <x:c r="W15" s="48" t="str">
        <x:v>6</x:v>
      </x:c>
      <x:c r="X15" s="48" t="str">
        <x:v>24</x:v>
      </x:c>
      <x:c r="Y15" s="48" t="str">
        <x:v>0</x:v>
      </x:c>
      <x:c r="Z15" s="48" t="str">
        <x:v>24</x:v>
      </x:c>
      <x:c r="AA15" s="48" t="str">
        <x:v>48</x:v>
      </x:c>
      <x:c r="AB15" s="48" t="str">
        <x:v>0</x:v>
      </x:c>
      <x:c r="AC15" s="48" t="str"/>
      <x:c r="AD15" s="48" t="str">
        <x:v>HIGH</x:v>
      </x:c>
      <x:c r="AE15" s="48" t="str">
        <x:v>Universal manager self-description and actual transaction/rejection evidence support the function.</x:v>
      </x:c>
      <x:c r="AF15" s="48" t="str">
        <x:v>The function is conditional, organization-dependent or explicitly variable across managers; preserve the default and condition but allow authorized override.</x:v>
      </x:c>
      <x:c r="AG15" s="48" t="str">
        <x:v>The sponsor must establish what is acquired, liabilities assumed, required consents and acceptable protections.</x:v>
      </x:c>
      <x:c r="AH15" s="48" t="str">
        <x:v>A final acquisition decision made without any legal/regulatory assessment despite material legal or regulatory exposure.</x:v>
      </x:c>
      <x:c r="AI15" s="48" t="str">
        <x:v>D10</x:v>
      </x:c>
      <x:c r="AJ15" s="48" t="str">
        <x:v>Legal_Regulatory_and_Tax_Assessment</x:v>
      </x:c>
      <x:c r="AK15" s="48" t="str">
        <x:v>Perimeter_Protections_and_Closing_Requirements</x:v>
      </x:c>
      <x:c r="AL15" s="48" t="str">
        <x:v>Tier C v1 evidence counts retained; not recalculated in the N=29 DDQ rerun.</x:v>
      </x:c>
    </x:row>
    <x:row r="16">
      <x:c r="A16" s="48" t="str">
        <x:v>Engineering handoff v1.0</x:v>
      </x:c>
      <x:c r="B16" s="48" t="str">
        <x:v>2026-07-16</x:v>
      </x:c>
      <x:c r="C16" s="48" t="str">
        <x:v>CS-01</x:v>
      </x:c>
      <x:c r="D16" s="48" t="str">
        <x:v>Model</x:v>
      </x:c>
      <x:c r="E16" s="48" t="str">
        <x:v>Quantified_Value_Creation_Plan</x:v>
      </x:c>
      <x:c r="F16" s="48" t="str">
        <x:v>The model and quantified VCP revise one another when value creation drives the underwrite</x:v>
      </x:c>
      <x:c r="G16" s="48" t="str">
        <x:v>FEEDBACK</x:v>
      </x:c>
      <x:c r="H16" s="48" t="str">
        <x:v>CONFIGURE</x:v>
      </x:c>
      <x:c r="I16" s="48" t="str">
        <x:v>Provide a default and archetype condition; permit authorized client override with recorded rationale.</x:v>
      </x:c>
      <x:c r="J16" s="48" t="str">
        <x:v>VCP_MATERIAL_TO_RETURNS</x:v>
      </x:c>
      <x:c r="K16" s="48" t="str">
        <x:v>FUNCTION</x:v>
      </x:c>
      <x:c r="L16" s="48" t="str">
        <x:v>CONDITIONAL_STRUCTURAL</x:v>
      </x:c>
      <x:c r="M16" s="48" t="str">
        <x:v>EMPIRICAL</x:v>
      </x:c>
      <x:c r="N16" s="48" t="str">
        <x:v>LEAD_SPONSOR</x:v>
      </x:c>
      <x:c r="O16" s="48" t="str">
        <x:v>SPONSOR_SELF_DESCRIBED</x:v>
      </x:c>
      <x:c r="P16" s="48" t="str">
        <x:v>asserted</x:v>
      </x:c>
      <x:c r="Q16" s="48" t="str">
        <x:v>SPONSOR_SELF_DESCRIBED;SPONSOR_BEHAVIOURAL;SPONSOR_DERIVATIVE;CO_INVESTOR_BEHAVIOURAL</x:v>
      </x:c>
      <x:c r="R16" s="48" t="str">
        <x:v>23</x:v>
      </x:c>
      <x:c r="S16" s="48" t="str">
        <x:v>MANAGER_FAMILIES</x:v>
      </x:c>
      <x:c r="T16" s="48" t="str">
        <x:v>23 observable manager families; 6 deeply validated deals</x:v>
      </x:c>
      <x:c r="U16" s="48" t="str">
        <x:v>7</x:v>
      </x:c>
      <x:c r="V16" s="48" t="str">
        <x:v>3</x:v>
      </x:c>
      <x:c r="W16" s="48" t="str">
        <x:v>4</x:v>
      </x:c>
      <x:c r="X16" s="48" t="str">
        <x:v>23</x:v>
      </x:c>
      <x:c r="Y16" s="48" t="str">
        <x:v>2</x:v>
      </x:c>
      <x:c r="Z16" s="48" t="str">
        <x:v>23</x:v>
      </x:c>
      <x:c r="AA16" s="48" t="str">
        <x:v>11</x:v>
      </x:c>
      <x:c r="AB16" s="48" t="str">
        <x:v>0</x:v>
      </x:c>
      <x:c r="AC16" s="48" t="str"/>
      <x:c r="AD16" s="48" t="str">
        <x:v>HIGH</x:v>
      </x:c>
      <x:c r="AE16" s="48" t="str">
        <x:v>The linkage is widely explicit and behaviorally visible where returns depend on operating initiatives.</x:v>
      </x:c>
      <x:c r="AF16" s="48" t="str">
        <x:v>The function is conditional, organization-dependent or explicitly variable across managers; preserve the default and condition but allow authorized override.</x:v>
      </x:c>
      <x:c r="AG16" s="48" t="str">
        <x:v>VCP timing, cost and impact alter cash flows and returns; model sensitivities determine which levers need evidence.</x:v>
      </x:c>
      <x:c r="AH16" s="48" t="str">
        <x:v>A materially VCP-dependent underwrite whose quantified economics never change with VCP evidence.</x:v>
      </x:c>
      <x:c r="AI16" s="48" t="str">
        <x:v>U07,U08</x:v>
      </x:c>
      <x:c r="AJ16" s="48" t="str">
        <x:v>Model</x:v>
      </x:c>
      <x:c r="AK16" s="48" t="str">
        <x:v>Quantified_Value_Creation_Plan</x:v>
      </x:c>
      <x:c r="AL16" s="48" t="str">
        <x:v>Tier C v1 evidence counts retained; not recalculated in the N=29 DDQ rerun.</x:v>
      </x:c>
    </x:row>
    <x:row r="17">
      <x:c r="A17" s="48" t="str">
        <x:v>Engineering handoff v1.0</x:v>
      </x:c>
      <x:c r="B17" s="48" t="str">
        <x:v>2026-07-16</x:v>
      </x:c>
      <x:c r="C17" s="48" t="str">
        <x:v>CS-02</x:v>
      </x:c>
      <x:c r="D17" s="48" t="str">
        <x:v>Financing_Assessment</x:v>
      </x:c>
      <x:c r="E17" s="48" t="str">
        <x:v>Final_Approval_or_Signing</x:v>
      </x:c>
      <x:c r="F17" s="48" t="str">
        <x:v>Financing and debt-capacity assessment precedes final approval or signing in leveraged deals</x:v>
      </x:c>
      <x:c r="G17" s="48" t="str">
        <x:v>FINALIZATION</x:v>
      </x:c>
      <x:c r="H17" s="48" t="str">
        <x:v>CONFIGURE</x:v>
      </x:c>
      <x:c r="I17" s="48" t="str">
        <x:v>Provide a default and archetype condition; permit authorized client override with recorded rationale.</x:v>
      </x:c>
      <x:c r="J17" s="48" t="str">
        <x:v>LEVERAGED_ACQUISITION</x:v>
      </x:c>
      <x:c r="K17" s="48" t="str">
        <x:v>FUNCTION</x:v>
      </x:c>
      <x:c r="L17" s="48" t="str">
        <x:v>CONDITIONAL_STRUCTURAL</x:v>
      </x:c>
      <x:c r="M17" s="48" t="str">
        <x:v>EMPIRICAL</x:v>
      </x:c>
      <x:c r="N17" s="48" t="str">
        <x:v>LEAD_SPONSOR</x:v>
      </x:c>
      <x:c r="O17" s="48" t="str">
        <x:v>SPONSOR_SELF_DESCRIBED</x:v>
      </x:c>
      <x:c r="P17" s="48" t="str">
        <x:v>asserted</x:v>
      </x:c>
      <x:c r="Q17" s="48" t="str">
        <x:v>SPONSOR_SELF_DESCRIBED;SPONSOR_BEHAVIOURAL;SPONSOR_DERIVATIVE</x:v>
      </x:c>
      <x:c r="R17" s="48" t="str">
        <x:v>24</x:v>
      </x:c>
      <x:c r="S17" s="48" t="str">
        <x:v>MANAGER_FAMILIES</x:v>
      </x:c>
      <x:c r="T17" s="48" t="str">
        <x:v>24 manager families; 6 deeply validated leveraged deals</x:v>
      </x:c>
      <x:c r="U17" s="48" t="str">
        <x:v>4</x:v>
      </x:c>
      <x:c r="V17" s="48" t="str">
        <x:v>4</x:v>
      </x:c>
      <x:c r="W17" s="48" t="str">
        <x:v>0</x:v>
      </x:c>
      <x:c r="X17" s="48" t="str">
        <x:v>24</x:v>
      </x:c>
      <x:c r="Y17" s="48" t="str">
        <x:v>2</x:v>
      </x:c>
      <x:c r="Z17" s="48" t="str">
        <x:v>24</x:v>
      </x:c>
      <x:c r="AA17" s="48" t="str">
        <x:v>11</x:v>
      </x:c>
      <x:c r="AB17" s="48" t="str">
        <x:v>0</x:v>
      </x:c>
      <x:c r="AC17" s="48" t="str"/>
      <x:c r="AD17" s="48" t="str">
        <x:v>HIGH</x:v>
      </x:c>
      <x:c r="AE17" s="48" t="str">
        <x:v>All managers integrate financing before approval; deal artifacts show leverage and lender feedback in the decision case.</x:v>
      </x:c>
      <x:c r="AF17" s="48" t="str">
        <x:v>The function is conditional, organization-dependent or explicitly variable across managers; preserve the default and condition but allow authorized override.</x:v>
      </x:c>
      <x:c r="AG17" s="48" t="str">
        <x:v>Debt availability, cost and covenant headroom determine equity need, price support and downside liquidity.</x:v>
      </x:c>
      <x:c r="AH17" s="48" t="str">
        <x:v>A leveraged final approval with no debt-capacity or financing assessment.</x:v>
      </x:c>
      <x:c r="AI17" s="48" t="str">
        <x:v>D09</x:v>
      </x:c>
      <x:c r="AJ17" s="48" t="str">
        <x:v>Financing_Assessment</x:v>
      </x:c>
      <x:c r="AK17" s="48" t="str">
        <x:v>Final_Approval_or_Signing</x:v>
      </x:c>
      <x:c r="AL17" s="48" t="str">
        <x:v>Tier C v1 evidence counts retained; not recalculated in the N=29 DDQ rerun.</x:v>
      </x:c>
    </x:row>
    <x:row r="18">
      <x:c r="A18" s="48" t="str">
        <x:v>Engineering handoff v1.0</x:v>
      </x:c>
      <x:c r="B18" s="48" t="str">
        <x:v>2026-07-16</x:v>
      </x:c>
      <x:c r="C18" s="48" t="str">
        <x:v>CS-03</x:v>
      </x:c>
      <x:c r="D18" s="48" t="str">
        <x:v>Carveout_Perimeter_TSA_and_Standalone_Work</x:v>
      </x:c>
      <x:c r="E18" s="48" t="str">
        <x:v>Final_Approval</x:v>
      </x:c>
      <x:c r="F18" s="48" t="str">
        <x:v>Carve-out perimeter and standalone work precedes final approval</x:v>
      </x:c>
      <x:c r="G18" s="48" t="str">
        <x:v>FINALIZATION</x:v>
      </x:c>
      <x:c r="H18" s="48" t="str">
        <x:v>CONFIGURE</x:v>
      </x:c>
      <x:c r="I18" s="48" t="str">
        <x:v>Provide a default and archetype condition; permit authorized client override with recorded rationale.</x:v>
      </x:c>
      <x:c r="J18" s="48" t="str">
        <x:v>CORPORATE_CARVEOUT</x:v>
      </x:c>
      <x:c r="K18" s="48" t="str">
        <x:v>FUNCTION</x:v>
      </x:c>
      <x:c r="L18" s="48" t="str">
        <x:v>CONDITIONAL_STRUCTURAL</x:v>
      </x:c>
      <x:c r="M18" s="48" t="str">
        <x:v>EMPIRICAL</x:v>
      </x:c>
      <x:c r="N18" s="48" t="str">
        <x:v>LEAD_SPONSOR</x:v>
      </x:c>
      <x:c r="O18" s="48" t="str">
        <x:v>SPONSOR_BEHAVIOURAL</x:v>
      </x:c>
      <x:c r="P18" s="48" t="str">
        <x:v>observed</x:v>
      </x:c>
      <x:c r="Q18" s="48" t="str">
        <x:v>SPONSOR_BEHAVIOURAL;SPONSOR_SELF_DESCRIBED</x:v>
      </x:c>
      <x:c r="R18" s="48" t="str">
        <x:v>1</x:v>
      </x:c>
      <x:c r="S18" s="48" t="str">
        <x:v>SPONSOR_BEHAVIOURAL_DEAL</x:v>
      </x:c>
      <x:c r="T18" s="48" t="str">
        <x:v>1 deeply validated carve-out plus manager process descriptions</x:v>
      </x:c>
      <x:c r="U18" s="48" t="str">
        <x:v>1</x:v>
      </x:c>
      <x:c r="V18" s="48" t="str">
        <x:v>1</x:v>
      </x:c>
      <x:c r="W18" s="48" t="str">
        <x:v>0</x:v>
      </x:c>
      <x:c r="X18" s="48" t="str">
        <x:v>6</x:v>
      </x:c>
      <x:c r="Y18" s="48" t="str">
        <x:v>0</x:v>
      </x:c>
      <x:c r="Z18" s="48" t="str">
        <x:v>0</x:v>
      </x:c>
      <x:c r="AA18" s="48" t="str">
        <x:v>1</x:v>
      </x:c>
      <x:c r="AB18" s="48" t="str">
        <x:v>0</x:v>
      </x:c>
      <x:c r="AC18" s="48" t="str"/>
      <x:c r="AD18" s="48" t="str">
        <x:v>MEDIUM</x:v>
      </x:c>
      <x:c r="AE18" s="48" t="str">
        <x:v>an anonymized deal observation supplies direct behavioural evidence; the causal mechanism is strong but behavioural N is small.</x:v>
      </x:c>
      <x:c r="AF18" s="48" t="str">
        <x:v>The function is conditional, organization-dependent or explicitly variable across managers; preserve the default and condition but allow authorized override.</x:v>
      </x:c>
      <x:c r="AG18" s="48" t="str">
        <x:v>The buyer must establish acquired perimeter, standalone costs, systems, people and separation requirements.</x:v>
      </x:c>
      <x:c r="AH18" s="48" t="str">
        <x:v>A carve-out final approval with no assessment of perimeter or standalone viability.</x:v>
      </x:c>
      <x:c r="AI18" s="48" t="str"/>
      <x:c r="AJ18" s="48" t="str">
        <x:v>Carveout_Perimeter_TSA_and_Standalone_Work</x:v>
      </x:c>
      <x:c r="AK18" s="48" t="str">
        <x:v>Final_Approval</x:v>
      </x:c>
      <x:c r="AL18" s="48" t="str">
        <x:v>Tier C v1 evidence counts retained; not recalculated in the N=29 DDQ rerun.</x:v>
      </x:c>
    </x:row>
    <x:row r="19">
      <x:c r="A19" s="48" t="str">
        <x:v>Engineering handoff v1.0</x:v>
      </x:c>
      <x:c r="B19" s="48" t="str">
        <x:v>2026-07-16</x:v>
      </x:c>
      <x:c r="C19" s="48" t="str">
        <x:v>CS-04</x:v>
      </x:c>
      <x:c r="D19" s="48" t="str">
        <x:v>Management_Talent_Rollover_and_Succession</x:v>
      </x:c>
      <x:c r="E19" s="48" t="str">
        <x:v>Final_Approval</x:v>
      </x:c>
      <x:c r="F19" s="48" t="str">
        <x:v>Management capability and alignment feed final approval in founder/first-institutional-capital deals</x:v>
      </x:c>
      <x:c r="G19" s="48" t="str">
        <x:v>FINALIZATION</x:v>
      </x:c>
      <x:c r="H19" s="48" t="str">
        <x:v>CONFIGURE</x:v>
      </x:c>
      <x:c r="I19" s="48" t="str">
        <x:v>Provide a default and archetype condition; permit authorized client override with recorded rationale.</x:v>
      </x:c>
      <x:c r="J19" s="48" t="str">
        <x:v>FOUNDER_OWNED_OR_MANAGEMENT_DEPENDENT</x:v>
      </x:c>
      <x:c r="K19" s="48" t="str">
        <x:v>FUNCTION</x:v>
      </x:c>
      <x:c r="L19" s="48" t="str">
        <x:v>CONDITIONAL_STRUCTURAL</x:v>
      </x:c>
      <x:c r="M19" s="48" t="str">
        <x:v>EMPIRICAL</x:v>
      </x:c>
      <x:c r="N19" s="48" t="str">
        <x:v>BOTH</x:v>
      </x:c>
      <x:c r="O19" s="48" t="str">
        <x:v>CO_INVESTOR_BEHAVIOURAL</x:v>
      </x:c>
      <x:c r="P19" s="48" t="str">
        <x:v>observed</x:v>
      </x:c>
      <x:c r="Q19" s="48" t="str">
        <x:v>CO_INVESTOR_BEHAVIOURAL;SPONSOR_BEHAVIOURAL;SPONSOR_SELF_DESCRIBED</x:v>
      </x:c>
      <x:c r="R19" s="48" t="str">
        <x:v>5</x:v>
      </x:c>
      <x:c r="S19" s="48" t="str">
        <x:v>DEEPLY_VALIDATED_DEALS</x:v>
      </x:c>
      <x:c r="T19" s="48" t="str">
        <x:v>5 deeply validated management-dependent deals</x:v>
      </x:c>
      <x:c r="U19" s="48" t="str">
        <x:v>7</x:v>
      </x:c>
      <x:c r="V19" s="48" t="str">
        <x:v>2</x:v>
      </x:c>
      <x:c r="W19" s="48" t="str">
        <x:v>5</x:v>
      </x:c>
      <x:c r="X19" s="48" t="str">
        <x:v>16</x:v>
      </x:c>
      <x:c r="Y19" s="48" t="str">
        <x:v>0</x:v>
      </x:c>
      <x:c r="Z19" s="48" t="str">
        <x:v>0</x:v>
      </x:c>
      <x:c r="AA19" s="48" t="str">
        <x:v>5</x:v>
      </x:c>
      <x:c r="AB19" s="48" t="str">
        <x:v>0</x:v>
      </x:c>
      <x:c r="AC19" s="48" t="str"/>
      <x:c r="AD19" s="48" t="str">
        <x:v>HIGH</x:v>
      </x:c>
      <x:c r="AE19" s="48" t="str">
        <x:v>Management dependence, rollover and succession are explicit swing factors in several founder/management-led deals.</x:v>
      </x:c>
      <x:c r="AF19" s="48" t="str">
        <x:v>The function is conditional, organization-dependent or explicitly variable across managers; preserve the default and condition but allow authorized override.</x:v>
      </x:c>
      <x:c r="AG19" s="48" t="str">
        <x:v>The plan cannot be executed if the key team is incapable, misaligned or unavailable.</x:v>
      </x:c>
      <x:c r="AH19" s="48" t="str">
        <x:v>A management-dependent deal approved without any assessment of management capability or alignment.</x:v>
      </x:c>
      <x:c r="AI19" s="48" t="str">
        <x:v>G16</x:v>
      </x:c>
      <x:c r="AJ19" s="48" t="str">
        <x:v>Management_Talent_Rollover_and_Succession</x:v>
      </x:c>
      <x:c r="AK19" s="48" t="str">
        <x:v>Final_Approval</x:v>
      </x:c>
      <x:c r="AL19" s="48" t="str">
        <x:v>Tier C v1 evidence counts retained; not recalculated in the N=29 DDQ rerun.</x:v>
      </x:c>
    </x:row>
    <x:row r="20">
      <x:c r="A20" s="48" t="str">
        <x:v>Engineering handoff v1.0</x:v>
      </x:c>
      <x:c r="B20" s="48" t="str">
        <x:v>2026-07-16</x:v>
      </x:c>
      <x:c r="C20" s="48" t="str">
        <x:v>CS-05</x:v>
      </x:c>
      <x:c r="D20" s="48" t="str">
        <x:v>IC_Recommendation</x:v>
      </x:c>
      <x:c r="E20" s="48" t="str">
        <x:v>Separate_Board_GP_or_ExCo_Authority</x:v>
      </x:c>
      <x:c r="F20" s="48" t="str">
        <x:v>A separate authority follows IC recommendation where governance delegates final legal authority</x:v>
      </x:c>
      <x:c r="G20" s="48" t="str">
        <x:v>GATE</x:v>
      </x:c>
      <x:c r="H20" s="48" t="str">
        <x:v>CONFIGURE</x:v>
      </x:c>
      <x:c r="I20" s="48" t="str">
        <x:v>Provide a default and archetype condition; permit authorized client override with recorded rationale.</x:v>
      </x:c>
      <x:c r="J20" s="48" t="str">
        <x:v>DUAL_AUTHORITY_GOVERNANCE</x:v>
      </x:c>
      <x:c r="K20" s="48" t="str">
        <x:v>FUNCTION</x:v>
      </x:c>
      <x:c r="L20" s="48" t="str">
        <x:v>CONDITIONAL_STRUCTURAL</x:v>
      </x:c>
      <x:c r="M20" s="48" t="str">
        <x:v>EMPIRICAL</x:v>
      </x:c>
      <x:c r="N20" s="48" t="str">
        <x:v>BOTH</x:v>
      </x:c>
      <x:c r="O20" s="48" t="str">
        <x:v>CO_INVESTOR_BEHAVIOURAL</x:v>
      </x:c>
      <x:c r="P20" s="48" t="str">
        <x:v>observed</x:v>
      </x:c>
      <x:c r="Q20" s="48" t="str">
        <x:v>CO_INVESTOR_BEHAVIOURAL;SPONSOR_SELF_DESCRIBED</x:v>
      </x:c>
      <x:c r="R20" s="48" t="str">
        <x:v>17</x:v>
      </x:c>
      <x:c r="S20" s="48" t="str">
        <x:v>CO_INVESTOR_OPPORTUNITIES_WITH_EXCO</x:v>
      </x:c>
      <x:c r="T20" s="48" t="str">
        <x:v>17 of 48 recent CO_INVESTOR opportunities show ExCo after/with IC; 3 manager families disclose separate final authority</x:v>
      </x:c>
      <x:c r="U20" s="48" t="str">
        <x:v>17</x:v>
      </x:c>
      <x:c r="V20" s="48" t="str">
        <x:v>0</x:v>
      </x:c>
      <x:c r="W20" s="48" t="str">
        <x:v>17</x:v>
      </x:c>
      <x:c r="X20" s="48" t="str">
        <x:v>3</x:v>
      </x:c>
      <x:c r="Y20" s="48" t="str">
        <x:v>0</x:v>
      </x:c>
      <x:c r="Z20" s="48" t="str">
        <x:v>24</x:v>
      </x:c>
      <x:c r="AA20" s="48" t="str">
        <x:v>48</x:v>
      </x:c>
      <x:c r="AB20" s="48" t="str">
        <x:v>0</x:v>
      </x:c>
      <x:c r="AC20" s="48" t="str"/>
      <x:c r="AD20" s="48" t="str">
        <x:v>HIGH</x:v>
      </x:c>
      <x:c r="AE20" s="48" t="str">
        <x:v>Actual CO_INVESTOR paths and three manager families distinguish analytical recommendation from legal/final authority.</x:v>
      </x:c>
      <x:c r="AF20" s="48" t="str">
        <x:v>The function is conditional, organization-dependent or explicitly variable across managers; preserve the default and condition but allow authorized override.</x:v>
      </x:c>
      <x:c r="AG20" s="48" t="str">
        <x:v>Different governing bodies hold investment judgment and legal execution authority.</x:v>
      </x:c>
      <x:c r="AH20" s="48" t="str">
        <x:v>In a disclosed dual-authority structure, commitments consistently bind before the second authority acts.</x:v>
      </x:c>
      <x:c r="AI20" s="48" t="str">
        <x:v>G08</x:v>
      </x:c>
      <x:c r="AJ20" s="48" t="str">
        <x:v>IC_Recommendation</x:v>
      </x:c>
      <x:c r="AK20" s="48" t="str">
        <x:v>Separate_Board_GP_or_ExCo_Authority</x:v>
      </x:c>
      <x:c r="AL20" s="48" t="str">
        <x:v>Tier C v1 evidence counts retained; not recalculated in the N=29 DDQ rerun.</x:v>
      </x:c>
    </x:row>
    <x:row r="21">
      <x:c r="A21" s="48" t="str">
        <x:v>Engineering handoff v1.0</x:v>
      </x:c>
      <x:c r="B21" s="48" t="str">
        <x:v>2026-07-16</x:v>
      </x:c>
      <x:c r="C21" s="48" t="str">
        <x:v>CS-06</x:v>
      </x:c>
      <x:c r="D21" s="48" t="str">
        <x:v>Sponsor_or_Company_Information</x:v>
      </x:c>
      <x:c r="E21" s="48" t="str">
        <x:v>Intermediary_PPM_then_CO_INVESTOR_Decision</x:v>
      </x:c>
      <x:c r="F21" s="48" t="str">
        <x:v>Sponsor/company information passes through an intermediary before CO_INVESTOR decision</x:v>
      </x:c>
      <x:c r="G21" s="48" t="str">
        <x:v>INPUT</x:v>
      </x:c>
      <x:c r="H21" s="48" t="str">
        <x:v>CONFIGURE</x:v>
      </x:c>
      <x:c r="I21" s="48" t="str">
        <x:v>Provide a default and archetype condition; permit authorized client override with recorded rationale.</x:v>
      </x:c>
      <x:c r="J21" s="48" t="str">
        <x:v>INTERMEDIATED_COINVESTMENT</x:v>
      </x:c>
      <x:c r="K21" s="48" t="str">
        <x:v>FUNCTION</x:v>
      </x:c>
      <x:c r="L21" s="48" t="str">
        <x:v>CONDITIONAL_STRUCTURAL</x:v>
      </x:c>
      <x:c r="M21" s="48" t="str">
        <x:v>EMPIRICAL</x:v>
      </x:c>
      <x:c r="N21" s="48" t="str">
        <x:v>CO_INVESTOR</x:v>
      </x:c>
      <x:c r="O21" s="48" t="str">
        <x:v>SPONSOR_DERIVATIVE</x:v>
      </x:c>
      <x:c r="P21" s="48" t="str">
        <x:v>derived</x:v>
      </x:c>
      <x:c r="Q21" s="48" t="str">
        <x:v>SPONSOR_DERIVATIVE</x:v>
      </x:c>
      <x:c r="R21" s="48" t="str">
        <x:v>1</x:v>
      </x:c>
      <x:c r="S21" s="48" t="str">
        <x:v>INTERMEDIATED_DEAL</x:v>
      </x:c>
      <x:c r="T21" s="48" t="str">
        <x:v>1 deeply validated intermediated co-investment</x:v>
      </x:c>
      <x:c r="U21" s="48" t="str">
        <x:v>0</x:v>
      </x:c>
      <x:c r="V21" s="48" t="str">
        <x:v>0</x:v>
      </x:c>
      <x:c r="W21" s="48" t="str">
        <x:v>0</x:v>
      </x:c>
      <x:c r="X21" s="48" t="str">
        <x:v>0</x:v>
      </x:c>
      <x:c r="Y21" s="48" t="str">
        <x:v>1</x:v>
      </x:c>
      <x:c r="Z21" s="48" t="str">
        <x:v>0</x:v>
      </x:c>
      <x:c r="AA21" s="48" t="str">
        <x:v>1</x:v>
      </x:c>
      <x:c r="AB21" s="48" t="str">
        <x:v>0</x:v>
      </x:c>
      <x:c r="AC21" s="48" t="str"/>
      <x:c r="AD21" s="48" t="str">
        <x:v>HIGH</x:v>
      </x:c>
      <x:c r="AE21" s="48" t="str">
        <x:v>One intermediated offering memorandum explicitly identifies sponsor/company information and states that the intermediary did not independently verify it.</x:v>
      </x:c>
      <x:c r="AF21" s="48" t="str">
        <x:v>The function is conditional, organization-dependent or explicitly variable across managers; preserve the default and condition but allow authorized override.</x:v>
      </x:c>
      <x:c r="AG21" s="48" t="str">
        <x:v>The intermediary creates an additional documentary and governance layer between sponsor and CO_INVESTOR.</x:v>
      </x:c>
      <x:c r="AH21" s="48" t="str">
        <x:v>An intermediated CO_INVESTOR investment completed without receiving intermediary or sponsor/company information.</x:v>
      </x:c>
      <x:c r="AI21" s="48" t="str"/>
      <x:c r="AJ21" s="48" t="str">
        <x:v>Sponsor_or_Company_Information</x:v>
      </x:c>
      <x:c r="AK21" s="48" t="str">
        <x:v>Intermediary_PPM_then_CO_INVESTOR_Decision</x:v>
      </x:c>
      <x:c r="AL21" s="48" t="str">
        <x:v>Tier C v1 evidence counts retained; not recalculated in the N=29 DDQ rerun.</x:v>
      </x:c>
    </x:row>
    <x:row r="22">
      <x:c r="A22" s="48" t="str">
        <x:v>Engineering handoff v1.0</x:v>
      </x:c>
      <x:c r="B22" s="48" t="str">
        <x:v>2026-07-16</x:v>
      </x:c>
      <x:c r="C22" s="48" t="str">
        <x:v>CS-07</x:v>
      </x:c>
      <x:c r="D22" s="48" t="str">
        <x:v>Accepted_Offer_or_Exclusivity</x:v>
      </x:c>
      <x:c r="E22" s="48" t="str">
        <x:v>Confirmatory_Diligence</x:v>
      </x:c>
      <x:c r="F22" s="48" t="str">
        <x:v>Accepted offer or exclusivity precedes confirmatory diligence when access is withheld or broken-deal cost is material</x:v>
      </x:c>
      <x:c r="G22" s="48" t="str">
        <x:v>FINALIZATION</x:v>
      </x:c>
      <x:c r="H22" s="48" t="str">
        <x:v>CONFIGURE</x:v>
      </x:c>
      <x:c r="I22" s="48" t="str">
        <x:v>Provide a default and archetype condition; permit authorized client override with recorded rationale.</x:v>
      </x:c>
      <x:c r="J22" s="48" t="str">
        <x:v>ACCESS_CONSTRAINED_AUCTION_OR_COST_GATED_PROCESS</x:v>
      </x:c>
      <x:c r="K22" s="48" t="str">
        <x:v>FUNCTION</x:v>
      </x:c>
      <x:c r="L22" s="48" t="str">
        <x:v>CONDITIONAL_STRUCTURAL</x:v>
      </x:c>
      <x:c r="M22" s="48" t="str">
        <x:v>EMPIRICAL</x:v>
      </x:c>
      <x:c r="N22" s="48" t="str">
        <x:v>LEAD_SPONSOR</x:v>
      </x:c>
      <x:c r="O22" s="48" t="str">
        <x:v>SPONSOR_SELF_DESCRIBED</x:v>
      </x:c>
      <x:c r="P22" s="48" t="str">
        <x:v>asserted</x:v>
      </x:c>
      <x:c r="Q22" s="48" t="str">
        <x:v>SPONSOR_SELF_DESCRIBED;SPONSOR_BEHAVIOURAL</x:v>
      </x:c>
      <x:c r="R22" s="48" t="str">
        <x:v>8</x:v>
      </x:c>
      <x:c r="S22" s="48" t="str">
        <x:v>MANAGER_FAMILIES</x:v>
      </x:c>
      <x:c r="T22" s="48" t="str">
        <x:v>8 manager families explicitly describe this pattern; 2 behavioural counterexamples to universality</x:v>
      </x:c>
      <x:c r="U22" s="48" t="str">
        <x:v>2</x:v>
      </x:c>
      <x:c r="V22" s="48" t="str">
        <x:v>2</x:v>
      </x:c>
      <x:c r="W22" s="48" t="str">
        <x:v>0</x:v>
      </x:c>
      <x:c r="X22" s="48" t="str">
        <x:v>8</x:v>
      </x:c>
      <x:c r="Y22" s="48" t="str">
        <x:v>0</x:v>
      </x:c>
      <x:c r="Z22" s="48" t="str">
        <x:v>8</x:v>
      </x:c>
      <x:c r="AA22" s="48" t="str">
        <x:v>2</x:v>
      </x:c>
      <x:c r="AB22" s="48" t="str">
        <x:v>2</x:v>
      </x:c>
      <x:c r="AC22" s="48" t="str">
        <x:v>an anonymized deal observation and an anonymized deal observation show substantial work before LOI/exclusivity finalization.</x:v>
      </x:c>
      <x:c r="AD22" s="48" t="str">
        <x:v>MEDIUM</x:v>
      </x:c>
      <x:c r="AE22" s="48" t="str">
        <x:v>The pattern is real under specified access/cost conditions but is not universal.</x:v>
      </x:c>
      <x:c r="AF22" s="48" t="str">
        <x:v>The function is conditional, organization-dependent or explicitly variable across managers; preserve the default and condition but allow authorized override.</x:v>
      </x:c>
      <x:c r="AG22" s="48" t="str">
        <x:v>Seller access and cost economics can make offer acceptance the trigger for deeper work.</x:v>
      </x:c>
      <x:c r="AH22" s="48" t="str">
        <x:v>Within an explicitly access-constrained process, full confirmatory access consistently occurs before any accepted offer/exclusivity.</x:v>
      </x:c>
      <x:c r="AI22" s="48" t="str">
        <x:v>D03</x:v>
      </x:c>
      <x:c r="AJ22" s="48" t="str">
        <x:v>Accepted_Offer_or_Exclusivity</x:v>
      </x:c>
      <x:c r="AK22" s="48" t="str">
        <x:v>Confirmatory_Diligence</x:v>
      </x:c>
      <x:c r="AL22" s="48" t="str">
        <x:v>Tier C v1 evidence counts retained; not recalculated in the N=29 DDQ rerun.</x:v>
      </x:c>
    </x:row>
    <x:row r="23">
      <x:c r="A23" s="48" t="str">
        <x:v>Engineering handoff v1.0</x:v>
      </x:c>
      <x:c r="B23" s="48" t="str">
        <x:v>2026-07-16</x:v>
      </x:c>
      <x:c r="C23" s="48" t="str">
        <x:v>CS-08</x:v>
      </x:c>
      <x:c r="D23" s="48" t="str">
        <x:v>AddOn_Economics_and_Integration_Capacity</x:v>
      </x:c>
      <x:c r="E23" s="48" t="str">
        <x:v>AddOn_Approval</x:v>
      </x:c>
      <x:c r="F23" s="48" t="str">
        <x:v>Incremental economics and integration capacity precede add-on approval</x:v>
      </x:c>
      <x:c r="G23" s="48" t="str">
        <x:v>INPUT</x:v>
      </x:c>
      <x:c r="H23" s="48" t="str">
        <x:v>CONFIGURE</x:v>
      </x:c>
      <x:c r="I23" s="48" t="str">
        <x:v>Provide a default and archetype condition; permit authorized client override with recorded rationale.</x:v>
      </x:c>
      <x:c r="J23" s="48" t="str">
        <x:v>BUY_AND_BUILD_ADDON</x:v>
      </x:c>
      <x:c r="K23" s="48" t="str">
        <x:v>FUNCTION</x:v>
      </x:c>
      <x:c r="L23" s="48" t="str">
        <x:v>CONDITIONAL_STRUCTURAL</x:v>
      </x:c>
      <x:c r="M23" s="48" t="str">
        <x:v>EMPIRICAL</x:v>
      </x:c>
      <x:c r="N23" s="48" t="str">
        <x:v>LEAD_SPONSOR</x:v>
      </x:c>
      <x:c r="O23" s="48" t="str">
        <x:v>SPONSOR_SELF_DESCRIBED</x:v>
      </x:c>
      <x:c r="P23" s="48" t="str">
        <x:v>asserted</x:v>
      </x:c>
      <x:c r="Q23" s="48" t="str">
        <x:v>SPONSOR_SELF_DESCRIBED</x:v>
      </x:c>
      <x:c r="R23" s="48" t="str">
        <x:v>12</x:v>
      </x:c>
      <x:c r="S23" s="48" t="str">
        <x:v>MANAGER_FAMILIES</x:v>
      </x:c>
      <x:c r="T23" s="48" t="str">
        <x:v>12 observable manager families</x:v>
      </x:c>
      <x:c r="U23" s="48" t="str">
        <x:v>0</x:v>
      </x:c>
      <x:c r="V23" s="48" t="str">
        <x:v>0</x:v>
      </x:c>
      <x:c r="W23" s="48" t="str">
        <x:v>0</x:v>
      </x:c>
      <x:c r="X23" s="48" t="str">
        <x:v>12</x:v>
      </x:c>
      <x:c r="Y23" s="48" t="str">
        <x:v>0</x:v>
      </x:c>
      <x:c r="Z23" s="48" t="str">
        <x:v>12</x:v>
      </x:c>
      <x:c r="AA23" s="48" t="str">
        <x:v>0</x:v>
      </x:c>
      <x:c r="AB23" s="48" t="str">
        <x:v>0</x:v>
      </x:c>
      <x:c r="AC23" s="48" t="str"/>
      <x:c r="AD23" s="48" t="str">
        <x:v>MEDIUM</x:v>
      </x:c>
      <x:c r="AE23" s="48" t="str">
        <x:v>Formal add-on approval is observed in half of the manager corpus; the causal mechanism is strategy-specific.</x:v>
      </x:c>
      <x:c r="AF23" s="48" t="str">
        <x:v>The function is conditional, organization-dependent or explicitly variable across managers; preserve the default and condition but allow authorized override.</x:v>
      </x:c>
      <x:c r="AG23" s="48" t="str">
        <x:v>Prior platform diligence can be reused, but incremental price, synergies, leverage and integration still require assessment.</x:v>
      </x:c>
      <x:c r="AH23" s="48" t="str">
        <x:v>Material add-ons repeatedly approved with no incremental economic or integration assessment.</x:v>
      </x:c>
      <x:c r="AI23" s="48" t="str">
        <x:v>O05</x:v>
      </x:c>
      <x:c r="AJ23" s="48" t="str">
        <x:v>AddOn_Economics_and_Integration_Capacity</x:v>
      </x:c>
      <x:c r="AK23" s="48" t="str">
        <x:v>AddOn_Approval</x:v>
      </x:c>
      <x:c r="AL23" s="48" t="str">
        <x:v>Tier C v1 evidence counts retained; not recalculated in the N=29 DDQ rerun.</x:v>
      </x:c>
    </x:row>
    <x:row r="24">
      <x:c r="A24" s="48" t="str">
        <x:v>Engineering handoff v1.0</x:v>
      </x:c>
      <x:c r="B24" s="48" t="str">
        <x:v>2026-07-16</x:v>
      </x:c>
      <x:c r="C24" s="48" t="str">
        <x:v>CFG-01</x:v>
      </x:c>
      <x:c r="D24" s="48" t="str">
        <x:v>First_IC</x:v>
      </x:c>
      <x:c r="E24" s="48" t="str">
        <x:v>LOI_or_Term_Sheet</x:v>
      </x:c>
      <x:c r="F24" s="48" t="str">
        <x:v>The order of first IC and LOI/term sheet is configurable</x:v>
      </x:c>
      <x:c r="G24" s="48" t="str">
        <x:v>GATE</x:v>
      </x:c>
      <x:c r="H24" s="48" t="str">
        <x:v>CONFIGURE</x:v>
      </x:c>
      <x:c r="I24" s="48" t="str">
        <x:v>Provide a default and archetype condition; permit authorized client override with recorded rationale.</x:v>
      </x:c>
      <x:c r="J24" s="48" t="str">
        <x:v>NONE</x:v>
      </x:c>
      <x:c r="K24" s="48" t="str">
        <x:v>FUNCTION</x:v>
      </x:c>
      <x:c r="L24" s="48" t="str">
        <x:v>CONFIGURABLE</x:v>
      </x:c>
      <x:c r="M24" s="48" t="str">
        <x:v>EMPIRICAL</x:v>
      </x:c>
      <x:c r="N24" s="48" t="str">
        <x:v>LEAD_SPONSOR</x:v>
      </x:c>
      <x:c r="O24" s="48" t="str">
        <x:v>SPONSOR_SELF_DESCRIBED</x:v>
      </x:c>
      <x:c r="P24" s="48" t="str">
        <x:v>asserted</x:v>
      </x:c>
      <x:c r="Q24" s="48" t="str">
        <x:v>SPONSOR_SELF_DESCRIBED</x:v>
      </x:c>
      <x:c r="R24" s="48" t="str">
        <x:v>14</x:v>
      </x:c>
      <x:c r="S24" s="48" t="str">
        <x:v>MANAGER_FAMILIES_WITH_LOI_AUTHORITY_OBSERVED</x:v>
      </x:c>
      <x:c r="T24" s="48" t="str">
        <x:v>14 observable manager families; GEF explicitly permits either order</x:v>
      </x:c>
      <x:c r="U24" s="48" t="str">
        <x:v>0</x:v>
      </x:c>
      <x:c r="V24" s="48" t="str">
        <x:v>0</x:v>
      </x:c>
      <x:c r="W24" s="48" t="str">
        <x:v>0</x:v>
      </x:c>
      <x:c r="X24" s="48" t="str">
        <x:v>14</x:v>
      </x:c>
      <x:c r="Y24" s="48" t="str">
        <x:v>0</x:v>
      </x:c>
      <x:c r="Z24" s="48" t="str">
        <x:v>14</x:v>
      </x:c>
      <x:c r="AA24" s="48" t="str">
        <x:v>0</x:v>
      </x:c>
      <x:c r="AB24" s="48" t="str">
        <x:v>1</x:v>
      </x:c>
      <x:c r="AC24" s="48" t="str">
        <x:v>Explicit either-order statement rejects a universal edge.</x:v>
      </x:c>
      <x:c r="AD24" s="48" t="str">
        <x:v>HIGH</x:v>
      </x:c>
      <x:c r="AE24" s="48" t="str">
        <x:v>Multiple manager architectures place the first formal gate at different points.</x:v>
      </x:c>
      <x:c r="AF24" s="48" t="str">
        <x:v>The function is conditional, organization-dependent or explicitly variable across managers; preserve the default and condition but allow authorized override.</x:v>
      </x:c>
      <x:c r="AG24" s="48" t="str">
        <x:v>The required function is offer authority, not a universal calendar order.</x:v>
      </x:c>
      <x:c r="AH24" s="48" t="str">
        <x:v>All independently observed managers converge on one mandatory order.</x:v>
      </x:c>
      <x:c r="AI24" s="48" t="str">
        <x:v>G03,G04</x:v>
      </x:c>
      <x:c r="AJ24" s="48" t="str">
        <x:v>First_IC</x:v>
      </x:c>
      <x:c r="AK24" s="48" t="str">
        <x:v>LOI_or_Term_Sheet</x:v>
      </x:c>
      <x:c r="AL24" s="48" t="str">
        <x:v>Tier C v1 evidence counts retained; not recalculated in the N=29 DDQ rerun.</x:v>
      </x:c>
    </x:row>
    <x:row r="25">
      <x:c r="A25" s="48" t="str">
        <x:v>Engineering handoff v1.0</x:v>
      </x:c>
      <x:c r="B25" s="48" t="str">
        <x:v>2026-07-16</x:v>
      </x:c>
      <x:c r="C25" s="48" t="str">
        <x:v>CFG-02</x:v>
      </x:c>
      <x:c r="D25" s="48" t="str">
        <x:v>External_Adviser_Work</x:v>
      </x:c>
      <x:c r="E25" s="48" t="str">
        <x:v>LOI_or_Exclusivity</x:v>
      </x:c>
      <x:c r="F25" s="48" t="str">
        <x:v>External-adviser work can occur before or after LOI/exclusivity</x:v>
      </x:c>
      <x:c r="G25" s="48" t="str">
        <x:v>START</x:v>
      </x:c>
      <x:c r="H25" s="48" t="str">
        <x:v>CONFIGURE</x:v>
      </x:c>
      <x:c r="I25" s="48" t="str">
        <x:v>Provide a default and archetype condition; permit authorized client override with recorded rationale.</x:v>
      </x:c>
      <x:c r="J25" s="48" t="str">
        <x:v>NONE</x:v>
      </x:c>
      <x:c r="K25" s="48" t="str">
        <x:v>FUNCTION</x:v>
      </x:c>
      <x:c r="L25" s="48" t="str">
        <x:v>CONFIGURABLE</x:v>
      </x:c>
      <x:c r="M25" s="48" t="str">
        <x:v>EMPIRICAL</x:v>
      </x:c>
      <x:c r="N25" s="48" t="str">
        <x:v>LEAD_SPONSOR</x:v>
      </x:c>
      <x:c r="O25" s="48" t="str">
        <x:v>SPONSOR_SELF_DESCRIBED</x:v>
      </x:c>
      <x:c r="P25" s="48" t="str">
        <x:v>asserted</x:v>
      </x:c>
      <x:c r="Q25" s="48" t="str">
        <x:v>SPONSOR_SELF_DESCRIBED;SPONSOR_BEHAVIOURAL</x:v>
      </x:c>
      <x:c r="R25" s="48" t="str">
        <x:v>8</x:v>
      </x:c>
      <x:c r="S25" s="48" t="str">
        <x:v>MANAGER_FAMILIES_EXPLICITLY_POST_LOI_OR_EXCLUSIVITY</x:v>
      </x:c>
      <x:c r="T25" s="48" t="str">
        <x:v>8 explicit post-trigger families plus behavioural pre-trigger cases</x:v>
      </x:c>
      <x:c r="U25" s="48" t="str">
        <x:v>2</x:v>
      </x:c>
      <x:c r="V25" s="48" t="str">
        <x:v>2</x:v>
      </x:c>
      <x:c r="W25" s="48" t="str">
        <x:v>0</x:v>
      </x:c>
      <x:c r="X25" s="48" t="str">
        <x:v>8</x:v>
      </x:c>
      <x:c r="Y25" s="48" t="str">
        <x:v>0</x:v>
      </x:c>
      <x:c r="Z25" s="48" t="str">
        <x:v>8</x:v>
      </x:c>
      <x:c r="AA25" s="48" t="str">
        <x:v>2</x:v>
      </x:c>
      <x:c r="AB25" s="48" t="str">
        <x:v>2</x:v>
      </x:c>
      <x:c r="AC25" s="48" t="str">
        <x:v>an anonymized deal observation and an anonymized deal observation demonstrate substantial pre-trigger work.</x:v>
      </x:c>
      <x:c r="AD25" s="48" t="str">
        <x:v>HIGH</x:v>
      </x:c>
      <x:c r="AE25" s="48" t="str">
        <x:v>Both orders are directly observed.</x:v>
      </x:c>
      <x:c r="AF25" s="48" t="str">
        <x:v>The function is conditional, organization-dependent or explicitly variable across managers; preserve the default and condition but allow authorized override.</x:v>
      </x:c>
      <x:c r="AG25" s="48" t="str">
        <x:v>Timing reflects access, competition, cost and speed.</x:v>
      </x:c>
      <x:c r="AH25" s="48" t="str">
        <x:v>Only one order remains observable after adequate counterexample coverage.</x:v>
      </x:c>
      <x:c r="AI25" s="48" t="str">
        <x:v>D03,D02</x:v>
      </x:c>
      <x:c r="AJ25" s="48" t="str">
        <x:v>External_Adviser_Work</x:v>
      </x:c>
      <x:c r="AK25" s="48" t="str">
        <x:v>LOI_or_Exclusivity</x:v>
      </x:c>
      <x:c r="AL25" s="48" t="str">
        <x:v>Tier C v1 evidence counts retained; not recalculated in the N=29 DDQ rerun.</x:v>
      </x:c>
    </x:row>
    <x:row r="26">
      <x:c r="A26" s="48" t="str">
        <x:v>Engineering handoff v1.0</x:v>
      </x:c>
      <x:c r="B26" s="48" t="str">
        <x:v>2026-07-16</x:v>
      </x:c>
      <x:c r="C26" s="48" t="str">
        <x:v>CFG-03</x:v>
      </x:c>
      <x:c r="D26" s="48" t="str">
        <x:v>Operating_Team_Entry</x:v>
      </x:c>
      <x:c r="E26" s="48" t="str">
        <x:v>Screen_or_Post_Conviction</x:v>
      </x:c>
      <x:c r="F26" s="48" t="str">
        <x:v>Operating-team entry timing is configurable</x:v>
      </x:c>
      <x:c r="G26" s="48" t="str">
        <x:v>START</x:v>
      </x:c>
      <x:c r="H26" s="48" t="str">
        <x:v>CONFIGURE</x:v>
      </x:c>
      <x:c r="I26" s="48" t="str">
        <x:v>Provide a default and archetype condition; permit authorized client override with recorded rationale.</x:v>
      </x:c>
      <x:c r="J26" s="48" t="str">
        <x:v>NONE</x:v>
      </x:c>
      <x:c r="K26" s="48" t="str">
        <x:v>FUNCTION</x:v>
      </x:c>
      <x:c r="L26" s="48" t="str">
        <x:v>CONFIGURABLE</x:v>
      </x:c>
      <x:c r="M26" s="48" t="str">
        <x:v>EMPIRICAL</x:v>
      </x:c>
      <x:c r="N26" s="48" t="str">
        <x:v>LEAD_SPONSOR</x:v>
      </x:c>
      <x:c r="O26" s="48" t="str">
        <x:v>SPONSOR_SELF_DESCRIBED</x:v>
      </x:c>
      <x:c r="P26" s="48" t="str">
        <x:v>asserted</x:v>
      </x:c>
      <x:c r="Q26" s="48" t="str">
        <x:v>SPONSOR_SELF_DESCRIBED</x:v>
      </x:c>
      <x:c r="R26" s="48" t="str">
        <x:v>22</x:v>
      </x:c>
      <x:c r="S26" s="48" t="str">
        <x:v>MANAGER_FAMILIES</x:v>
      </x:c>
      <x:c r="T26" s="48" t="str">
        <x:v>22 observable manager families</x:v>
      </x:c>
      <x:c r="U26" s="48" t="str">
        <x:v>0</x:v>
      </x:c>
      <x:c r="V26" s="48" t="str">
        <x:v>0</x:v>
      </x:c>
      <x:c r="W26" s="48" t="str">
        <x:v>0</x:v>
      </x:c>
      <x:c r="X26" s="48" t="str">
        <x:v>20</x:v>
      </x:c>
      <x:c r="Y26" s="48" t="str">
        <x:v>0</x:v>
      </x:c>
      <x:c r="Z26" s="48" t="str">
        <x:v>22</x:v>
      </x:c>
      <x:c r="AA26" s="48" t="str">
        <x:v>0</x:v>
      </x:c>
      <x:c r="AB26" s="48" t="str">
        <x:v>0</x:v>
      </x:c>
      <x:c r="AC26" s="48" t="str"/>
      <x:c r="AD26" s="48" t="str">
        <x:v>HIGH</x:v>
      </x:c>
      <x:c r="AE26" s="48" t="str">
        <x:v>Most enter early, but explicit absence/later entry exists and does not break the process.</x:v>
      </x:c>
      <x:c r="AF26" s="48" t="str">
        <x:v>The function is conditional, organization-dependent or explicitly variable across managers; preserve the default and condition but allow authorized override.</x:v>
      </x:c>
      <x:c r="AG26" s="48" t="str">
        <x:v>Organization design determines whether operational expertise is internal, external or delayed.</x:v>
      </x:c>
      <x:c r="AH26" s="48" t="str">
        <x:v>A single entry point becomes universal across independent architectures.</x:v>
      </x:c>
      <x:c r="AI26" s="48" t="str">
        <x:v>D04,D05</x:v>
      </x:c>
      <x:c r="AJ26" s="48" t="str">
        <x:v>Operating_Team_Entry</x:v>
      </x:c>
      <x:c r="AK26" s="48" t="str">
        <x:v>Screen_or_Post_Conviction</x:v>
      </x:c>
      <x:c r="AL26" s="48" t="str">
        <x:v>Tier C v1 evidence counts retained; not recalculated in the N=29 DDQ rerun.</x:v>
      </x:c>
    </x:row>
    <x:row r="27">
      <x:c r="A27" s="48" t="str">
        <x:v>Engineering handoff v1.0</x:v>
      </x:c>
      <x:c r="B27" s="48" t="str">
        <x:v>2026-07-16</x:v>
      </x:c>
      <x:c r="C27" s="48" t="str">
        <x:v>CFG-04</x:v>
      </x:c>
      <x:c r="D27" s="48" t="str">
        <x:v>PreInvestment_Governance</x:v>
      </x:c>
      <x:c r="E27" s="48" t="str">
        <x:v>Number_and_Names_of_Gates</x:v>
      </x:c>
      <x:c r="F27" s="48" t="str">
        <x:v>The number and names of formal pre-investment gates are configurable</x:v>
      </x:c>
      <x:c r="G27" s="48" t="str">
        <x:v>GATE</x:v>
      </x:c>
      <x:c r="H27" s="48" t="str">
        <x:v>CONFIGURE</x:v>
      </x:c>
      <x:c r="I27" s="48" t="str">
        <x:v>Provide a default and archetype condition; permit authorized client override with recorded rationale.</x:v>
      </x:c>
      <x:c r="J27" s="48" t="str">
        <x:v>NONE</x:v>
      </x:c>
      <x:c r="K27" s="48" t="str">
        <x:v>ARTIFACT_AND_GOVERNANCE_DESIGN</x:v>
      </x:c>
      <x:c r="L27" s="48" t="str">
        <x:v>CONFIGURABLE</x:v>
      </x:c>
      <x:c r="M27" s="48" t="str">
        <x:v>EMPIRICAL</x:v>
      </x:c>
      <x:c r="N27" s="48" t="str">
        <x:v>LEAD_SPONSOR</x:v>
      </x:c>
      <x:c r="O27" s="48" t="str">
        <x:v>SPONSOR_SELF_DESCRIBED</x:v>
      </x:c>
      <x:c r="P27" s="48" t="str">
        <x:v>asserted</x:v>
      </x:c>
      <x:c r="Q27" s="48" t="str">
        <x:v>SPONSOR_SELF_DESCRIBED</x:v>
      </x:c>
      <x:c r="R27" s="48" t="str">
        <x:v>24</x:v>
      </x:c>
      <x:c r="S27" s="48" t="str">
        <x:v>MANAGER_FAMILIES</x:v>
      </x:c>
      <x:c r="T27" s="48" t="str">
        <x:v>24 manager families</x:v>
      </x:c>
      <x:c r="U27" s="48" t="str">
        <x:v>0</x:v>
      </x:c>
      <x:c r="V27" s="48" t="str">
        <x:v>0</x:v>
      </x:c>
      <x:c r="W27" s="48" t="str">
        <x:v>0</x:v>
      </x:c>
      <x:c r="X27" s="48" t="str">
        <x:v>24</x:v>
      </x:c>
      <x:c r="Y27" s="48" t="str">
        <x:v>0</x:v>
      </x:c>
      <x:c r="Z27" s="48" t="str">
        <x:v>24</x:v>
      </x:c>
      <x:c r="AA27" s="48" t="str">
        <x:v>0</x:v>
      </x:c>
      <x:c r="AB27" s="48" t="str">
        <x:v>0</x:v>
      </x:c>
      <x:c r="AC27" s="48" t="str"/>
      <x:c r="AD27" s="48" t="str">
        <x:v>HIGH</x:v>
      </x:c>
      <x:c r="AE27" s="48" t="str">
        <x:v>One broad IC, two-stage and four-plus-stage systems all perform the necessary functions.</x:v>
      </x:c>
      <x:c r="AF27" s="48" t="str">
        <x:v>The function is conditional, organization-dependent or explicitly variable across managers; preserve the default and condition but allow authorized override.</x:v>
      </x:c>
      <x:c r="AG27" s="48" t="str">
        <x:v>Gate design allocates information, cost and authority; functions persist under different labels.</x:v>
      </x:c>
      <x:c r="AH27" s="48" t="str">
        <x:v>All independent managers use the same mandatory gate architecture.</x:v>
      </x:c>
      <x:c r="AI27" s="48" t="str">
        <x:v>G05,G06,U05,U06</x:v>
      </x:c>
      <x:c r="AJ27" s="48" t="str">
        <x:v>PreInvestment_Governance</x:v>
      </x:c>
      <x:c r="AK27" s="48" t="str">
        <x:v>Number_and_Names_of_Gates</x:v>
      </x:c>
      <x:c r="AL27" s="48" t="str">
        <x:v>Tier C v1 evidence counts retained; not recalculated in the N=29 DDQ rerun.</x:v>
      </x:c>
    </x:row>
    <x:row r="28">
      <x:c r="A28" s="48" t="str">
        <x:v>Engineering handoff v1.0</x:v>
      </x:c>
      <x:c r="B28" s="48" t="str">
        <x:v>2026-07-16</x:v>
      </x:c>
      <x:c r="C28" s="48" t="str">
        <x:v>CFG-05</x:v>
      </x:c>
      <x:c r="D28" s="48" t="str">
        <x:v>Authorized_Decision_Body</x:v>
      </x:c>
      <x:c r="E28" s="48" t="str">
        <x:v>Vote_Threshold_or_Veto</x:v>
      </x:c>
      <x:c r="F28" s="48" t="str">
        <x:v>Majority, consensus, supermajority, unanimity and veto rules are configurable</x:v>
      </x:c>
      <x:c r="G28" s="48" t="str">
        <x:v>GATE</x:v>
      </x:c>
      <x:c r="H28" s="48" t="str">
        <x:v>CONFIGURE</x:v>
      </x:c>
      <x:c r="I28" s="48" t="str">
        <x:v>Provide a default and archetype condition; permit authorized client override with recorded rationale.</x:v>
      </x:c>
      <x:c r="J28" s="48" t="str">
        <x:v>NONE</x:v>
      </x:c>
      <x:c r="K28" s="48" t="str">
        <x:v>GOVERNANCE_IMPLEMENTATION</x:v>
      </x:c>
      <x:c r="L28" s="48" t="str">
        <x:v>CONFIGURABLE</x:v>
      </x:c>
      <x:c r="M28" s="48" t="str">
        <x:v>EMPIRICAL</x:v>
      </x:c>
      <x:c r="N28" s="48" t="str">
        <x:v>LEAD_SPONSOR</x:v>
      </x:c>
      <x:c r="O28" s="48" t="str">
        <x:v>SPONSOR_SELF_DESCRIBED</x:v>
      </x:c>
      <x:c r="P28" s="48" t="str">
        <x:v>asserted</x:v>
      </x:c>
      <x:c r="Q28" s="48" t="str">
        <x:v>SPONSOR_SELF_DESCRIBED</x:v>
      </x:c>
      <x:c r="R28" s="48" t="str">
        <x:v>18</x:v>
      </x:c>
      <x:c r="S28" s="48" t="str">
        <x:v>MANAGER_FAMILIES_WITH_VOTING_RULE_OBSERVED</x:v>
      </x:c>
      <x:c r="T28" s="48" t="str">
        <x:v>18 observable manager families</x:v>
      </x:c>
      <x:c r="U28" s="48" t="str">
        <x:v>0</x:v>
      </x:c>
      <x:c r="V28" s="48" t="str">
        <x:v>0</x:v>
      </x:c>
      <x:c r="W28" s="48" t="str">
        <x:v>0</x:v>
      </x:c>
      <x:c r="X28" s="48" t="str">
        <x:v>18</x:v>
      </x:c>
      <x:c r="Y28" s="48" t="str">
        <x:v>0</x:v>
      </x:c>
      <x:c r="Z28" s="48" t="str">
        <x:v>18</x:v>
      </x:c>
      <x:c r="AA28" s="48" t="str">
        <x:v>0</x:v>
      </x:c>
      <x:c r="AB28" s="48" t="str">
        <x:v>0</x:v>
      </x:c>
      <x:c r="AC28" s="48" t="str"/>
      <x:c r="AD28" s="48" t="str">
        <x:v>HIGH</x:v>
      </x:c>
      <x:c r="AE28" s="48" t="str">
        <x:v>All major voting implementations are directly observed.</x:v>
      </x:c>
      <x:c r="AF28" s="48" t="str">
        <x:v>The function is conditional, organization-dependent or explicitly variable across managers; preserve the default and condition but allow authorized override.</x:v>
      </x:c>
      <x:c r="AG28" s="48" t="str">
        <x:v>The deeper requirement is valid authority, not one voting formula.</x:v>
      </x:c>
      <x:c r="AH28" s="48" t="str">
        <x:v>One voting rule proves legally and operationally necessary across all structures.</x:v>
      </x:c>
      <x:c r="AI28" s="48" t="str">
        <x:v>G11,G12,G13,G14,G15</x:v>
      </x:c>
      <x:c r="AJ28" s="48" t="str">
        <x:v>Authorized_Decision_Body</x:v>
      </x:c>
      <x:c r="AK28" s="48" t="str">
        <x:v>Vote_Threshold_or_Veto</x:v>
      </x:c>
      <x:c r="AL28" s="48" t="str">
        <x:v>Tier C v1 evidence counts retained; not recalculated in the N=29 DDQ rerun.</x:v>
      </x:c>
    </x:row>
    <x:row r="29">
      <x:c r="A29" s="48" t="str">
        <x:v>Engineering handoff v1.0</x:v>
      </x:c>
      <x:c r="B29" s="48" t="str">
        <x:v>2026-07-16</x:v>
      </x:c>
      <x:c r="C29" s="48" t="str">
        <x:v>CFG-06</x:v>
      </x:c>
      <x:c r="D29" s="48" t="str">
        <x:v>Investment_Committee</x:v>
      </x:c>
      <x:c r="E29" s="48" t="str">
        <x:v>Final_Legal_Authority</x:v>
      </x:c>
      <x:c r="F29" s="48" t="str">
        <x:v>Whether the IC itself is the final legal authority is configurable</x:v>
      </x:c>
      <x:c r="G29" s="48" t="str">
        <x:v>GATE</x:v>
      </x:c>
      <x:c r="H29" s="48" t="str">
        <x:v>CONFIGURE</x:v>
      </x:c>
      <x:c r="I29" s="48" t="str">
        <x:v>Provide a default and archetype condition; permit authorized client override with recorded rationale.</x:v>
      </x:c>
      <x:c r="J29" s="48" t="str">
        <x:v>NONE</x:v>
      </x:c>
      <x:c r="K29" s="48" t="str">
        <x:v>GOVERNANCE_IMPLEMENTATION</x:v>
      </x:c>
      <x:c r="L29" s="48" t="str">
        <x:v>CONFIGURABLE</x:v>
      </x:c>
      <x:c r="M29" s="48" t="str">
        <x:v>EMPIRICAL</x:v>
      </x:c>
      <x:c r="N29" s="48" t="str">
        <x:v>BOTH</x:v>
      </x:c>
      <x:c r="O29" s="48" t="str">
        <x:v>SPONSOR_SELF_DESCRIBED</x:v>
      </x:c>
      <x:c r="P29" s="48" t="str">
        <x:v>asserted</x:v>
      </x:c>
      <x:c r="Q29" s="48" t="str">
        <x:v>SPONSOR_SELF_DESCRIBED;CO_INVESTOR_BEHAVIOURAL</x:v>
      </x:c>
      <x:c r="R29" s="48" t="str">
        <x:v>24</x:v>
      </x:c>
      <x:c r="S29" s="48" t="str">
        <x:v>MANAGER_FAMILIES</x:v>
      </x:c>
      <x:c r="T29" s="48" t="str">
        <x:v>21 IC-final and 3 separate-authority manager families; CO_INVESTOR paths often add ExCo</x:v>
      </x:c>
      <x:c r="U29" s="48" t="str">
        <x:v>17</x:v>
      </x:c>
      <x:c r="V29" s="48" t="str">
        <x:v>0</x:v>
      </x:c>
      <x:c r="W29" s="48" t="str">
        <x:v>17</x:v>
      </x:c>
      <x:c r="X29" s="48" t="str">
        <x:v>24</x:v>
      </x:c>
      <x:c r="Y29" s="48" t="str">
        <x:v>0</x:v>
      </x:c>
      <x:c r="Z29" s="48" t="str">
        <x:v>24</x:v>
      </x:c>
      <x:c r="AA29" s="48" t="str">
        <x:v>48</x:v>
      </x:c>
      <x:c r="AB29" s="48" t="str">
        <x:v>0</x:v>
      </x:c>
      <x:c r="AC29" s="48" t="str"/>
      <x:c r="AD29" s="48" t="str">
        <x:v>HIGH</x:v>
      </x:c>
      <x:c r="AE29" s="48" t="str">
        <x:v>Both architectures are explicit and operationally valid.</x:v>
      </x:c>
      <x:c r="AF29" s="48" t="str">
        <x:v>The function is conditional, organization-dependent or explicitly variable across managers; preserve the default and condition but allow authorized override.</x:v>
      </x:c>
      <x:c r="AG29" s="48" t="str">
        <x:v>Analytical and legal authority may be co-located or separated.</x:v>
      </x:c>
      <x:c r="AH29" s="48" t="str">
        <x:v>One architecture becomes universally required by governing law/documents.</x:v>
      </x:c>
      <x:c r="AI29" s="48" t="str">
        <x:v>G07,G08</x:v>
      </x:c>
      <x:c r="AJ29" s="48" t="str">
        <x:v>Investment_Committee</x:v>
      </x:c>
      <x:c r="AK29" s="48" t="str">
        <x:v>Final_Legal_Authority</x:v>
      </x:c>
      <x:c r="AL29" s="48" t="str">
        <x:v>Tier C v1 evidence counts retained; not recalculated in the N=29 DDQ rerun.</x:v>
      </x:c>
    </x:row>
    <x:row r="30">
      <x:c r="A30" s="48" t="str">
        <x:v>Engineering handoff v1.0</x:v>
      </x:c>
      <x:c r="B30" s="48" t="str">
        <x:v>2026-07-16</x:v>
      </x:c>
      <x:c r="C30" s="48" t="str">
        <x:v>CFG-07</x:v>
      </x:c>
      <x:c r="D30" s="48" t="str">
        <x:v>Definitive_Legal_Documents</x:v>
      </x:c>
      <x:c r="E30" s="48" t="str">
        <x:v>Final_IC</x:v>
      </x:c>
      <x:c r="F30" s="48" t="str">
        <x:v>Definitive documents may be complete, substantially negotiated or conditionally bounded at final IC</x:v>
      </x:c>
      <x:c r="G30" s="48" t="str">
        <x:v>FINALIZATION</x:v>
      </x:c>
      <x:c r="H30" s="48" t="str">
        <x:v>CONFIGURE</x:v>
      </x:c>
      <x:c r="I30" s="48" t="str">
        <x:v>Provide a default and archetype condition; permit authorized client override with recorded rationale.</x:v>
      </x:c>
      <x:c r="J30" s="48" t="str">
        <x:v>NONE</x:v>
      </x:c>
      <x:c r="K30" s="48" t="str">
        <x:v>FUNCTION</x:v>
      </x:c>
      <x:c r="L30" s="48" t="str">
        <x:v>CONFIGURABLE</x:v>
      </x:c>
      <x:c r="M30" s="48" t="str">
        <x:v>EMPIRICAL</x:v>
      </x:c>
      <x:c r="N30" s="48" t="str">
        <x:v>LEAD_SPONSOR</x:v>
      </x:c>
      <x:c r="O30" s="48" t="str">
        <x:v>SPONSOR_SELF_DESCRIBED</x:v>
      </x:c>
      <x:c r="P30" s="48" t="str">
        <x:v>asserted</x:v>
      </x:c>
      <x:c r="Q30" s="48" t="str">
        <x:v>SPONSOR_SELF_DESCRIBED</x:v>
      </x:c>
      <x:c r="R30" s="48" t="str">
        <x:v>8</x:v>
      </x:c>
      <x:c r="S30" s="48" t="str">
        <x:v>MANAGER_FAMILIES_WITH_EXPLICIT_PARALLEL_OR_CONDITIONAL_LEGAL_PROCESS</x:v>
      </x:c>
      <x:c r="T30" s="48" t="str">
        <x:v>Narrative subset of DDQ corpus</x:v>
      </x:c>
      <x:c r="U30" s="48" t="str">
        <x:v>0</x:v>
      </x:c>
      <x:c r="V30" s="48" t="str">
        <x:v>0</x:v>
      </x:c>
      <x:c r="W30" s="48" t="str">
        <x:v>0</x:v>
      </x:c>
      <x:c r="X30" s="48" t="str">
        <x:v>8</x:v>
      </x:c>
      <x:c r="Y30" s="48" t="str">
        <x:v>0</x:v>
      </x:c>
      <x:c r="Z30" s="48" t="str">
        <x:v>8</x:v>
      </x:c>
      <x:c r="AA30" s="48" t="str">
        <x:v>0</x:v>
      </x:c>
      <x:c r="AB30" s="48" t="str">
        <x:v>0</x:v>
      </x:c>
      <x:c r="AC30" s="48" t="str"/>
      <x:c r="AD30" s="48" t="str">
        <x:v>MEDIUM</x:v>
      </x:c>
      <x:c r="AE30" s="48" t="str">
        <x:v>Managers describe parallel documentation and conditional approval, but this was not a dedicated Tier B feature.</x:v>
      </x:c>
      <x:c r="AF30" s="48" t="str">
        <x:v>The function is conditional, organization-dependent or explicitly variable across managers; preserve the default and condition but allow authorized override.</x:v>
      </x:c>
      <x:c r="AG30" s="48" t="str">
        <x:v>IC can approve within bounded economic/legal parameters while documentation continues.</x:v>
      </x:c>
      <x:c r="AH30" s="48" t="str">
        <x:v>Adequate manager/deal evidence shows definitive documents always fully complete before final authority.</x:v>
      </x:c>
      <x:c r="AI30" s="48" t="str"/>
      <x:c r="AJ30" s="48" t="str">
        <x:v>Definitive_Legal_Documents</x:v>
      </x:c>
      <x:c r="AK30" s="48" t="str">
        <x:v>Final_IC</x:v>
      </x:c>
      <x:c r="AL30" s="48" t="str">
        <x:v>Tier C v1 evidence counts retained; not recalculated in the N=29 DDQ rerun.</x:v>
      </x:c>
    </x:row>
    <x:row r="31">
      <x:c r="A31" s="48" t="str">
        <x:v>Engineering handoff v1.0</x:v>
      </x:c>
      <x:c r="B31" s="48" t="str">
        <x:v>2026-07-16</x:v>
      </x:c>
      <x:c r="C31" s="48" t="str">
        <x:v>CFG-08</x:v>
      </x:c>
      <x:c r="D31" s="48" t="str">
        <x:v>Model_Version</x:v>
      </x:c>
      <x:c r="E31" s="48" t="str">
        <x:v>Memorandum_Version</x:v>
      </x:c>
      <x:c r="F31" s="48" t="str">
        <x:v>Exact model-versus-memorandum completion order is configurable and often iterative</x:v>
      </x:c>
      <x:c r="G31" s="48" t="str">
        <x:v>FEEDBACK</x:v>
      </x:c>
      <x:c r="H31" s="48" t="str">
        <x:v>CONFIGURE</x:v>
      </x:c>
      <x:c r="I31" s="48" t="str">
        <x:v>Provide a default and archetype condition; permit authorized client override with recorded rationale.</x:v>
      </x:c>
      <x:c r="J31" s="48" t="str">
        <x:v>NONE</x:v>
      </x:c>
      <x:c r="K31" s="48" t="str">
        <x:v>ARTIFACT</x:v>
      </x:c>
      <x:c r="L31" s="48" t="str">
        <x:v>CONFIGURABLE</x:v>
      </x:c>
      <x:c r="M31" s="48" t="str">
        <x:v>EMPIRICAL</x:v>
      </x:c>
      <x:c r="N31" s="48" t="str">
        <x:v>CO_INVESTOR</x:v>
      </x:c>
      <x:c r="O31" s="48" t="str">
        <x:v>CO_INVESTOR_BEHAVIOURAL</x:v>
      </x:c>
      <x:c r="P31" s="48" t="str">
        <x:v>observed</x:v>
      </x:c>
      <x:c r="Q31" s="48" t="str">
        <x:v>CO_INVESTOR_BEHAVIOURAL;SPONSOR_DERIVATIVE</x:v>
      </x:c>
      <x:c r="R31" s="48" t="str">
        <x:v>3</x:v>
      </x:c>
      <x:c r="S31" s="48" t="str">
        <x:v>DEAL_VERSION_FAMILIES</x:v>
      </x:c>
      <x:c r="T31" s="48" t="str">
        <x:v>3 deeply validated model/memo version families</x:v>
      </x:c>
      <x:c r="U31" s="48" t="str">
        <x:v>3</x:v>
      </x:c>
      <x:c r="V31" s="48" t="str">
        <x:v>0</x:v>
      </x:c>
      <x:c r="W31" s="48" t="str">
        <x:v>3</x:v>
      </x:c>
      <x:c r="X31" s="48" t="str">
        <x:v>0</x:v>
      </x:c>
      <x:c r="Y31" s="48" t="str">
        <x:v>2</x:v>
      </x:c>
      <x:c r="Z31" s="48" t="str">
        <x:v>0</x:v>
      </x:c>
      <x:c r="AA31" s="48" t="str">
        <x:v>3</x:v>
      </x:c>
      <x:c r="AB31" s="48" t="str">
        <x:v>0</x:v>
      </x:c>
      <x:c r="AC31" s="48" t="str"/>
      <x:c r="AD31" s="48" t="str">
        <x:v>HIGH</x:v>
      </x:c>
      <x:c r="AE31" s="48" t="str">
        <x:v>an anonymized deal observation, an anonymized deal observation and an anonymized deal observation show model/memo co-development and later revisions.</x:v>
      </x:c>
      <x:c r="AF31" s="48" t="str">
        <x:v>The function is conditional, organization-dependent or explicitly variable across managers; preserve the default and condition but allow authorized override.</x:v>
      </x:c>
      <x:c r="AG31" s="48" t="str">
        <x:v>Narrative and economics develop together rather than in a one-way handoff.</x:v>
      </x:c>
      <x:c r="AH31" s="48" t="str">
        <x:v>All version-complete deal families show one fixed one-way order.</x:v>
      </x:c>
      <x:c r="AI31" s="48" t="str"/>
      <x:c r="AJ31" s="48" t="str">
        <x:v>Model_Version</x:v>
      </x:c>
      <x:c r="AK31" s="48" t="str">
        <x:v>Memorandum_Version</x:v>
      </x:c>
      <x:c r="AL31" s="48" t="str">
        <x:v>Tier C v1 evidence counts retained; not recalculated in the N=29 DDQ rerun.</x:v>
      </x:c>
    </x:row>
    <x:row r="32">
      <x:c r="A32" s="48" t="str">
        <x:v>Engineering handoff v1.0</x:v>
      </x:c>
      <x:c r="B32" s="48" t="str">
        <x:v>2026-07-16</x:v>
      </x:c>
      <x:c r="C32" s="48" t="str">
        <x:v>CFG-09</x:v>
      </x:c>
      <x:c r="D32" s="48" t="str">
        <x:v>Sponsor_Underwrite</x:v>
      </x:c>
      <x:c r="E32" s="48" t="str">
        <x:v>Depth_of_CoInvestor_Challenge</x:v>
      </x:c>
      <x:c r="F32" s="48" t="str">
        <x:v>The depth of co-investor independent diligence is configurable</x:v>
      </x:c>
      <x:c r="G32" s="48" t="str">
        <x:v>INFLUENCE</x:v>
      </x:c>
      <x:c r="H32" s="48" t="str">
        <x:v>CONFIGURE</x:v>
      </x:c>
      <x:c r="I32" s="48" t="str">
        <x:v>Provide a default and archetype condition; permit authorized client override with recorded rationale.</x:v>
      </x:c>
      <x:c r="J32" s="48" t="str">
        <x:v>SPONSOR_LED_COINVESTMENT</x:v>
      </x:c>
      <x:c r="K32" s="48" t="str">
        <x:v>FUNCTION</x:v>
      </x:c>
      <x:c r="L32" s="48" t="str">
        <x:v>CONFIGURABLE</x:v>
      </x:c>
      <x:c r="M32" s="48" t="str">
        <x:v>EMPIRICAL</x:v>
      </x:c>
      <x:c r="N32" s="48" t="str">
        <x:v>CO_INVESTOR</x:v>
      </x:c>
      <x:c r="O32" s="48" t="str">
        <x:v>CO_INVESTOR_BEHAVIOURAL</x:v>
      </x:c>
      <x:c r="P32" s="48" t="str">
        <x:v>observed</x:v>
      </x:c>
      <x:c r="Q32" s="48" t="str">
        <x:v>CO_INVESTOR_BEHAVIOURAL</x:v>
      </x:c>
      <x:c r="R32" s="48" t="str">
        <x:v>48</x:v>
      </x:c>
      <x:c r="S32" s="48" t="str">
        <x:v>CO_INVESTOR_OPPORTUNITIES</x:v>
      </x:c>
      <x:c r="T32" s="48" t="str">
        <x:v>48 recent opportunities; detailed model/reference work varies by deal</x:v>
      </x:c>
      <x:c r="U32" s="48" t="str">
        <x:v>48</x:v>
      </x:c>
      <x:c r="V32" s="48" t="str">
        <x:v>0</x:v>
      </x:c>
      <x:c r="W32" s="48" t="str">
        <x:v>48</x:v>
      </x:c>
      <x:c r="X32" s="48" t="str">
        <x:v>0</x:v>
      </x:c>
      <x:c r="Y32" s="48" t="str">
        <x:v>0</x:v>
      </x:c>
      <x:c r="Z32" s="48" t="str">
        <x:v>0</x:v>
      </x:c>
      <x:c r="AA32" s="48" t="str">
        <x:v>48</x:v>
      </x:c>
      <x:c r="AB32" s="48" t="str">
        <x:v>0</x:v>
      </x:c>
      <x:c r="AC32" s="48" t="str"/>
      <x:c r="AD32" s="48" t="str">
        <x:v>HIGH</x:v>
      </x:c>
      <x:c r="AE32" s="48" t="str">
        <x:v>Actual CO_INVESTOR paths range from IA rejection to model recast, references, IC and ExCo.</x:v>
      </x:c>
      <x:c r="AF32" s="48" t="str">
        <x:v>The function is conditional, organization-dependent or explicitly variable across managers; preserve the default and condition but allow authorized override.</x:v>
      </x:c>
      <x:c r="AG32" s="48" t="str">
        <x:v>Allocation size, information quality, timing and risk determine challenge depth.</x:v>
      </x:c>
      <x:c r="AH32" s="48" t="str">
        <x:v>CO_INVESTOR applies identical independent work to every opportunity.</x:v>
      </x:c>
      <x:c r="AI32" s="48" t="str"/>
      <x:c r="AJ32" s="48" t="str">
        <x:v>Sponsor_Underwrite</x:v>
      </x:c>
      <x:c r="AK32" s="48" t="str">
        <x:v>Depth_of_CoInvestor_Challenge</x:v>
      </x:c>
      <x:c r="AL32" s="48" t="str">
        <x:v>Tier C v1 evidence counts retained; not recalculated in the N=29 DDQ rerun.</x:v>
      </x:c>
    </x:row>
    <x:row r="33">
      <x:c r="A33" s="48" t="str">
        <x:v>Engineering handoff v1.0</x:v>
      </x:c>
      <x:c r="B33" s="48" t="str">
        <x:v>2026-07-16</x:v>
      </x:c>
      <x:c r="C33" s="48" t="str">
        <x:v>CONV-01</x:v>
      </x:c>
      <x:c r="D33" s="48" t="str">
        <x:v>Formal_ThirdParty_QoE_Report</x:v>
      </x:c>
      <x:c r="E33" s="48" t="str">
        <x:v>Financial_Verification_Function</x:v>
      </x:c>
      <x:c r="F33" s="48" t="str">
        <x:v>A formal third-party QoE is an artifact, not the universal function</x:v>
      </x:c>
      <x:c r="G33" s="48" t="str">
        <x:v>INFLUENCE</x:v>
      </x:c>
      <x:c r="H33" s="48" t="str">
        <x:v>SUGGEST</x:v>
      </x:c>
      <x:c r="I33" s="48" t="str">
        <x:v>Surface as guidance or optional artifact; never block state advancement.</x:v>
      </x:c>
      <x:c r="J33" s="48" t="str">
        <x:v>NONE</x:v>
      </x:c>
      <x:c r="K33" s="48" t="str">
        <x:v>ARTIFACT</x:v>
      </x:c>
      <x:c r="L33" s="48" t="str">
        <x:v>CONVENTIONAL_ARTIFACT</x:v>
      </x:c>
      <x:c r="M33" s="48" t="str">
        <x:v>EMPIRICAL</x:v>
      </x:c>
      <x:c r="N33" s="48" t="str">
        <x:v>BOTH</x:v>
      </x:c>
      <x:c r="O33" s="48" t="str">
        <x:v>SPONSOR_SELF_DESCRIBED</x:v>
      </x:c>
      <x:c r="P33" s="48" t="str">
        <x:v>asserted</x:v>
      </x:c>
      <x:c r="Q33" s="48" t="str">
        <x:v>SPONSOR_SELF_DESCRIBED;CO_INVESTOR_BEHAVIOURAL</x:v>
      </x:c>
      <x:c r="R33" s="48" t="str">
        <x:v>22</x:v>
      </x:c>
      <x:c r="S33" s="48" t="str">
        <x:v>MANAGER_FAMILIES_TYPICALLY_USING_FORMAL_QOE</x:v>
      </x:c>
      <x:c r="T33" s="48" t="str">
        <x:v>22 observable manager families; 1 verified artifact counterexample</x:v>
      </x:c>
      <x:c r="U33" s="48" t="str">
        <x:v>1</x:v>
      </x:c>
      <x:c r="V33" s="48" t="str">
        <x:v>0</x:v>
      </x:c>
      <x:c r="W33" s="48" t="str">
        <x:v>1</x:v>
      </x:c>
      <x:c r="X33" s="48" t="str">
        <x:v>22</x:v>
      </x:c>
      <x:c r="Y33" s="48" t="str">
        <x:v>0</x:v>
      </x:c>
      <x:c r="Z33" s="48" t="str">
        <x:v>22</x:v>
      </x:c>
      <x:c r="AA33" s="48" t="str">
        <x:v>1</x:v>
      </x:c>
      <x:c r="AB33" s="48" t="str">
        <x:v>1</x:v>
      </x:c>
      <x:c r="AC33" s="48" t="str">
        <x:v>One verified artifact counterexample used audits, auditor access and specialist accounting work without a formal QoE.</x:v>
      </x:c>
      <x:c r="AD33" s="48" t="str">
        <x:v>HIGH</x:v>
      </x:c>
      <x:c r="AE33" s="48" t="str">
        <x:v>The report artifact is common but substitutable; the underlying function remains structural.</x:v>
      </x:c>
      <x:c r="AF33" s="48" t="str">
        <x:v>Conventional artifact or unverified claim; useful as guidance but not suitable for blocking.</x:v>
      </x:c>
      <x:c r="AG33" s="48" t="str">
        <x:v>Different evidence packages can validate earnings and cash.</x:v>
      </x:c>
      <x:c r="AH33" s="48" t="str">
        <x:v>Formal QoE shown to be legally or causally indispensable in every buyout.</x:v>
      </x:c>
      <x:c r="AI33" s="48" t="str">
        <x:v>D08</x:v>
      </x:c>
      <x:c r="AJ33" s="48" t="str">
        <x:v>Formal_ThirdParty_QoE_Report</x:v>
      </x:c>
      <x:c r="AK33" s="48" t="str">
        <x:v>Financial_Verification_Function</x:v>
      </x:c>
      <x:c r="AL33" s="48" t="str">
        <x:v>Tier C v1 evidence counts retained; not recalculated in the N=29 DDQ rerun.</x:v>
      </x:c>
    </x:row>
    <x:row r="34">
      <x:c r="A34" s="48" t="str">
        <x:v>Engineering handoff v1.0</x:v>
      </x:c>
      <x:c r="B34" s="48" t="str">
        <x:v>2026-07-16</x:v>
      </x:c>
      <x:c r="C34" s="48" t="str">
        <x:v>CONV-02</x:v>
      </x:c>
      <x:c r="D34" s="48" t="str">
        <x:v>Formal_Commissioned_CDD_Report</x:v>
      </x:c>
      <x:c r="E34" s="48" t="str">
        <x:v>Commercial_Validation_Function</x:v>
      </x:c>
      <x:c r="F34" s="48" t="str">
        <x:v>A formal commissioned CDD report is an artifact, not the universal function</x:v>
      </x:c>
      <x:c r="G34" s="48" t="str">
        <x:v>INFLUENCE</x:v>
      </x:c>
      <x:c r="H34" s="48" t="str">
        <x:v>SUGGEST</x:v>
      </x:c>
      <x:c r="I34" s="48" t="str">
        <x:v>Surface as guidance or optional artifact; never block state advancement.</x:v>
      </x:c>
      <x:c r="J34" s="48" t="str">
        <x:v>NONE</x:v>
      </x:c>
      <x:c r="K34" s="48" t="str">
        <x:v>ARTIFACT</x:v>
      </x:c>
      <x:c r="L34" s="48" t="str">
        <x:v>CONVENTIONAL_ARTIFACT</x:v>
      </x:c>
      <x:c r="M34" s="48" t="str">
        <x:v>EMPIRICAL</x:v>
      </x:c>
      <x:c r="N34" s="48" t="str">
        <x:v>BOTH</x:v>
      </x:c>
      <x:c r="O34" s="48" t="str">
        <x:v>SPONSOR_SELF_DESCRIBED</x:v>
      </x:c>
      <x:c r="P34" s="48" t="str">
        <x:v>asserted</x:v>
      </x:c>
      <x:c r="Q34" s="48" t="str">
        <x:v>SPONSOR_SELF_DESCRIBED;SPONSOR_BEHAVIOURAL;CO_INVESTOR_BEHAVIOURAL</x:v>
      </x:c>
      <x:c r="R34" s="48" t="str">
        <x:v>24</x:v>
      </x:c>
      <x:c r="S34" s="48" t="str">
        <x:v>MANAGER_FAMILIES_USING_CUSTOMER_EXPERT_OR_REFERENCE_WORK</x:v>
      </x:c>
      <x:c r="T34" s="48" t="str">
        <x:v>24 manager families; formal reports and internal/reference substitutes observed</x:v>
      </x:c>
      <x:c r="U34" s="48" t="str">
        <x:v>5</x:v>
      </x:c>
      <x:c r="V34" s="48" t="str">
        <x:v>2</x:v>
      </x:c>
      <x:c r="W34" s="48" t="str">
        <x:v>3</x:v>
      </x:c>
      <x:c r="X34" s="48" t="str">
        <x:v>24</x:v>
      </x:c>
      <x:c r="Y34" s="48" t="str">
        <x:v>0</x:v>
      </x:c>
      <x:c r="Z34" s="48" t="str">
        <x:v>24</x:v>
      </x:c>
      <x:c r="AA34" s="48" t="str">
        <x:v>5</x:v>
      </x:c>
      <x:c r="AB34" s="48" t="str">
        <x:v>0</x:v>
      </x:c>
      <x:c r="AC34" s="48" t="str"/>
      <x:c r="AD34" s="48" t="str">
        <x:v>HIGH</x:v>
      </x:c>
      <x:c r="AE34" s="48" t="str">
        <x:v>Commercial-validation function is universal in the DDQs, but report format/provider varies.</x:v>
      </x:c>
      <x:c r="AF34" s="48" t="str">
        <x:v>Conventional artifact or unverified claim; useful as guidance but not suitable for blocking.</x:v>
      </x:c>
      <x:c r="AG34" s="48" t="str">
        <x:v>Internal research, references, experts or commissioned CDD can test the same hypotheses.</x:v>
      </x:c>
      <x:c r="AH34" s="48" t="str">
        <x:v>A formal CDD report shown to be the only viable way to validate commercial assumptions.</x:v>
      </x:c>
      <x:c r="AI34" s="48" t="str">
        <x:v>D07</x:v>
      </x:c>
      <x:c r="AJ34" s="48" t="str">
        <x:v>Formal_Commissioned_CDD_Report</x:v>
      </x:c>
      <x:c r="AK34" s="48" t="str">
        <x:v>Commercial_Validation_Function</x:v>
      </x:c>
      <x:c r="AL34" s="48" t="str">
        <x:v>Tier C v1 evidence counts retained; not recalculated in the N=29 DDQ rerun.</x:v>
      </x:c>
    </x:row>
    <x:row r="35">
      <x:c r="A35" s="48" t="str">
        <x:v>Engineering handoff v1.0</x:v>
      </x:c>
      <x:c r="B35" s="48" t="str">
        <x:v>2026-07-16</x:v>
      </x:c>
      <x:c r="C35" s="48" t="str">
        <x:v>CONV-03</x:v>
      </x:c>
      <x:c r="D35" s="48" t="str">
        <x:v>100_Day_or_180_Day_Label</x:v>
      </x:c>
      <x:c r="E35" s="48" t="str">
        <x:v>Implementation_Readiness</x:v>
      </x:c>
      <x:c r="F35" s="48" t="str">
        <x:v>The 100-day versus 180-day label is conventional</x:v>
      </x:c>
      <x:c r="G35" s="48" t="str">
        <x:v>INFLUENCE</x:v>
      </x:c>
      <x:c r="H35" s="48" t="str">
        <x:v>SUGGEST</x:v>
      </x:c>
      <x:c r="I35" s="48" t="str">
        <x:v>Surface as guidance or optional artifact; never block state advancement.</x:v>
      </x:c>
      <x:c r="J35" s="48" t="str">
        <x:v>NONE</x:v>
      </x:c>
      <x:c r="K35" s="48" t="str">
        <x:v>ARTIFACT</x:v>
      </x:c>
      <x:c r="L35" s="48" t="str">
        <x:v>CONVENTIONAL_ARTIFACT</x:v>
      </x:c>
      <x:c r="M35" s="48" t="str">
        <x:v>EMPIRICAL</x:v>
      </x:c>
      <x:c r="N35" s="48" t="str">
        <x:v>LEAD_SPONSOR</x:v>
      </x:c>
      <x:c r="O35" s="48" t="str">
        <x:v>SPONSOR_SELF_DESCRIBED</x:v>
      </x:c>
      <x:c r="P35" s="48" t="str">
        <x:v>asserted</x:v>
      </x:c>
      <x:c r="Q35" s="48" t="str">
        <x:v>SPONSOR_SELF_DESCRIBED</x:v>
      </x:c>
      <x:c r="R35" s="48" t="str">
        <x:v>22</x:v>
      </x:c>
      <x:c r="S35" s="48" t="str">
        <x:v>MANAGER_FAMILIES</x:v>
      </x:c>
      <x:c r="T35" s="48" t="str">
        <x:v>22 present/conditional among 23 observable manager families</x:v>
      </x:c>
      <x:c r="U35" s="48" t="str">
        <x:v>0</x:v>
      </x:c>
      <x:c r="V35" s="48" t="str">
        <x:v>0</x:v>
      </x:c>
      <x:c r="W35" s="48" t="str">
        <x:v>0</x:v>
      </x:c>
      <x:c r="X35" s="48" t="str">
        <x:v>22</x:v>
      </x:c>
      <x:c r="Y35" s="48" t="str">
        <x:v>0</x:v>
      </x:c>
      <x:c r="Z35" s="48" t="str">
        <x:v>23</x:v>
      </x:c>
      <x:c r="AA35" s="48" t="str">
        <x:v>0</x:v>
      </x:c>
      <x:c r="AB35" s="48" t="str">
        <x:v>0</x:v>
      </x:c>
      <x:c r="AC35" s="48" t="str"/>
      <x:c r="AD35" s="48" t="str">
        <x:v>HIGH</x:v>
      </x:c>
      <x:c r="AE35" s="48" t="str">
        <x:v>Different labels and timing windows serve the same implementation-readiness function.</x:v>
      </x:c>
      <x:c r="AF35" s="48" t="str">
        <x:v>Conventional artifact or unverified claim; useful as guidance but not suitable for blocking.</x:v>
      </x:c>
      <x:c r="AG35" s="48" t="str">
        <x:v>The function is to assign owners, actions, milestones and budget; day count is not causal.</x:v>
      </x:c>
      <x:c r="AH35" s="48" t="str">
        <x:v>One specific day count proves necessary across all archetypes.</x:v>
      </x:c>
      <x:c r="AI35" s="48" t="str">
        <x:v>U09</x:v>
      </x:c>
      <x:c r="AJ35" s="48" t="str">
        <x:v>100_Day_or_180_Day_Label</x:v>
      </x:c>
      <x:c r="AK35" s="48" t="str">
        <x:v>Implementation_Readiness</x:v>
      </x:c>
      <x:c r="AL35" s="48" t="str">
        <x:v>Tier C v1 evidence counts retained; not recalculated in the N=29 DDQ rerun.</x:v>
      </x:c>
    </x:row>
    <x:row r="36">
      <x:c r="A36" s="48" t="str">
        <x:v>Engineering handoff v1.0</x:v>
      </x:c>
      <x:c r="B36" s="48" t="str">
        <x:v>2026-07-16</x:v>
      </x:c>
      <x:c r="C36" s="48" t="str">
        <x:v>CONV-04</x:v>
      </x:c>
      <x:c r="D36" s="48" t="str">
        <x:v>Named_Memo_Ladder</x:v>
      </x:c>
      <x:c r="E36" s="48" t="str">
        <x:v>Progressive_Evidence_Function</x:v>
      </x:c>
      <x:c r="F36" s="48" t="str">
        <x:v>Preview/PIM/FIM and similar names are conventional taxonomies</x:v>
      </x:c>
      <x:c r="G36" s="48" t="str">
        <x:v>DOCUMENTARY_INHERITANCE</x:v>
      </x:c>
      <x:c r="H36" s="48" t="str">
        <x:v>SUGGEST</x:v>
      </x:c>
      <x:c r="I36" s="48" t="str">
        <x:v>Surface as guidance or optional artifact; never block state advancement.</x:v>
      </x:c>
      <x:c r="J36" s="48" t="str">
        <x:v>NONE</x:v>
      </x:c>
      <x:c r="K36" s="48" t="str">
        <x:v>ARTIFACT</x:v>
      </x:c>
      <x:c r="L36" s="48" t="str">
        <x:v>CONVENTIONAL_ARTIFACT</x:v>
      </x:c>
      <x:c r="M36" s="48" t="str">
        <x:v>EMPIRICAL</x:v>
      </x:c>
      <x:c r="N36" s="48" t="str">
        <x:v>LEAD_SPONSOR</x:v>
      </x:c>
      <x:c r="O36" s="48" t="str">
        <x:v>SPONSOR_SELF_DESCRIBED</x:v>
      </x:c>
      <x:c r="P36" s="48" t="str">
        <x:v>asserted</x:v>
      </x:c>
      <x:c r="Q36" s="48" t="str">
        <x:v>SPONSOR_SELF_DESCRIBED</x:v>
      </x:c>
      <x:c r="R36" s="48" t="str">
        <x:v>23</x:v>
      </x:c>
      <x:c r="S36" s="48" t="str">
        <x:v>MANAGER_FAMILIES</x:v>
      </x:c>
      <x:c r="T36" s="48" t="str">
        <x:v>23 of 24 manager families have progressive memorandum families</x:v>
      </x:c>
      <x:c r="U36" s="48" t="str">
        <x:v>0</x:v>
      </x:c>
      <x:c r="V36" s="48" t="str">
        <x:v>0</x:v>
      </x:c>
      <x:c r="W36" s="48" t="str">
        <x:v>0</x:v>
      </x:c>
      <x:c r="X36" s="48" t="str">
        <x:v>23</x:v>
      </x:c>
      <x:c r="Y36" s="48" t="str">
        <x:v>0</x:v>
      </x:c>
      <x:c r="Z36" s="48" t="str">
        <x:v>24</x:v>
      </x:c>
      <x:c r="AA36" s="48" t="str">
        <x:v>0</x:v>
      </x:c>
      <x:c r="AB36" s="48" t="str">
        <x:v>0</x:v>
      </x:c>
      <x:c r="AC36" s="48" t="str"/>
      <x:c r="AD36" s="48" t="str">
        <x:v>HIGH</x:v>
      </x:c>
      <x:c r="AE36" s="48" t="str">
        <x:v>Document families converge functionally but use different names and counts.</x:v>
      </x:c>
      <x:c r="AF36" s="48" t="str">
        <x:v>Conventional artifact or unverified claim; useful as guidance but not suitable for blocking.</x:v>
      </x:c>
      <x:c r="AG36" s="48" t="str">
        <x:v>Each generation accumulates evidence and authorizes greater commitment.</x:v>
      </x:c>
      <x:c r="AH36" s="48" t="str">
        <x:v>A particular label shown to be necessary for valid decision-making.</x:v>
      </x:c>
      <x:c r="AI36" s="48" t="str">
        <x:v>U05,U06</x:v>
      </x:c>
      <x:c r="AJ36" s="48" t="str">
        <x:v>Named_Memo_Ladder</x:v>
      </x:c>
      <x:c r="AK36" s="48" t="str">
        <x:v>Progressive_Evidence_Function</x:v>
      </x:c>
      <x:c r="AL36" s="48" t="str">
        <x:v>Tier C v1 evidence counts retained; not recalculated in the N=29 DDQ rerun.</x:v>
      </x:c>
    </x:row>
    <x:row r="37">
      <x:c r="A37" s="48" t="str">
        <x:v>Engineering handoff v1.0</x:v>
      </x:c>
      <x:c r="B37" s="48" t="str">
        <x:v>2026-07-16</x:v>
      </x:c>
      <x:c r="C37" s="48" t="str">
        <x:v>UNV-01</x:v>
      </x:c>
      <x:c r="D37" s="48" t="str">
        <x:v>Deal_Team</x:v>
      </x:c>
      <x:c r="E37" s="48" t="str">
        <x:v>Ownership_and_Exit</x:v>
      </x:c>
      <x:c r="F37" s="48" t="str">
        <x:v>The same deal team remains involved through ownership or exit</x:v>
      </x:c>
      <x:c r="G37" s="48" t="str">
        <x:v>INFLUENCE</x:v>
      </x:c>
      <x:c r="H37" s="48" t="str">
        <x:v>SUGGEST</x:v>
      </x:c>
      <x:c r="I37" s="48" t="str">
        <x:v>Surface as guidance or optional artifact; never block state advancement.</x:v>
      </x:c>
      <x:c r="J37" s="48" t="str">
        <x:v>NONE</x:v>
      </x:c>
      <x:c r="K37" s="48" t="str">
        <x:v>FUNCTION</x:v>
      </x:c>
      <x:c r="L37" s="48" t="str">
        <x:v>UNVERIFIED</x:v>
      </x:c>
      <x:c r="M37" s="48" t="str">
        <x:v>UNVERIFIED</x:v>
      </x:c>
      <x:c r="N37" s="48" t="str">
        <x:v>LEAD_SPONSOR</x:v>
      </x:c>
      <x:c r="O37" s="48" t="str">
        <x:v>SPONSOR_SELF_DESCRIBED</x:v>
      </x:c>
      <x:c r="P37" s="48" t="str">
        <x:v>asserted</x:v>
      </x:c>
      <x:c r="Q37" s="48" t="str">
        <x:v>SPONSOR_SELF_DESCRIBED</x:v>
      </x:c>
      <x:c r="R37" s="48" t="str">
        <x:v>9</x:v>
      </x:c>
      <x:c r="S37" s="48" t="str">
        <x:v>OBSERVABLE_MANAGER_FAMILIES</x:v>
      </x:c>
      <x:c r="T37" s="48" t="str">
        <x:v>9 present but 15 manager families not observable</x:v>
      </x:c>
      <x:c r="U37" s="48" t="str">
        <x:v>0</x:v>
      </x:c>
      <x:c r="V37" s="48" t="str">
        <x:v>0</x:v>
      </x:c>
      <x:c r="W37" s="48" t="str">
        <x:v>0</x:v>
      </x:c>
      <x:c r="X37" s="48" t="str">
        <x:v>9</x:v>
      </x:c>
      <x:c r="Y37" s="48" t="str">
        <x:v>0</x:v>
      </x:c>
      <x:c r="Z37" s="48" t="str">
        <x:v>9</x:v>
      </x:c>
      <x:c r="AA37" s="48" t="str">
        <x:v>0</x:v>
      </x:c>
      <x:c r="AB37" s="48" t="str">
        <x:v>0</x:v>
      </x:c>
      <x:c r="AC37" s="48" t="str"/>
      <x:c r="AD37" s="48" t="str">
        <x:v>LOW</x:v>
      </x:c>
      <x:c r="AE37" s="48" t="str">
        <x:v>All observable descriptions are positive, but missingness is too high to establish generality or necessity.</x:v>
      </x:c>
      <x:c r="AF37" s="48" t="str">
        <x:v>Conventional artifact or unverified claim; useful as guidance but not suitable for blocking.</x:v>
      </x:c>
      <x:c r="AG37" s="48" t="str">
        <x:v>Continuity may preserve institutional knowledge, but handoffs can perform the same function.</x:v>
      </x:c>
      <x:c r="AH37" s="48" t="str">
        <x:v>Well-observed managers routinely use successful full handoffs.</x:v>
      </x:c>
      <x:c r="AI37" s="48" t="str">
        <x:v>O01</x:v>
      </x:c>
      <x:c r="AJ37" s="48" t="str">
        <x:v>Deal_Team</x:v>
      </x:c>
      <x:c r="AK37" s="48" t="str">
        <x:v>Ownership_and_Exit</x:v>
      </x:c>
      <x:c r="AL37" s="48" t="str">
        <x:v>Tier C v1 evidence counts retained; not recalculated in the N=29 DDQ rerun.</x:v>
      </x:c>
    </x:row>
    <x:row r="38">
      <x:c r="A38" s="48" t="str">
        <x:v>Engineering handoff v1.0</x:v>
      </x:c>
      <x:c r="B38" s="48" t="str">
        <x:v>2026-07-16</x:v>
      </x:c>
      <x:c r="C38" s="48" t="str">
        <x:v>UNV-02</x:v>
      </x:c>
      <x:c r="D38" s="48" t="str">
        <x:v>PreClose_Quantified_VCP</x:v>
      </x:c>
      <x:c r="E38" s="48" t="str">
        <x:v>Final_Approval</x:v>
      </x:c>
      <x:c r="F38" s="48" t="str">
        <x:v>A quantified VCP must always be complete before final approval</x:v>
      </x:c>
      <x:c r="G38" s="48" t="str">
        <x:v>FINALIZATION</x:v>
      </x:c>
      <x:c r="H38" s="48" t="str">
        <x:v>SUGGEST</x:v>
      </x:c>
      <x:c r="I38" s="48" t="str">
        <x:v>Surface as guidance or optional artifact; never block state advancement.</x:v>
      </x:c>
      <x:c r="J38" s="48" t="str">
        <x:v>NONE</x:v>
      </x:c>
      <x:c r="K38" s="48" t="str">
        <x:v>FUNCTION</x:v>
      </x:c>
      <x:c r="L38" s="48" t="str">
        <x:v>UNVERIFIED</x:v>
      </x:c>
      <x:c r="M38" s="48" t="str">
        <x:v>UNVERIFIED</x:v>
      </x:c>
      <x:c r="N38" s="48" t="str">
        <x:v>LEAD_SPONSOR</x:v>
      </x:c>
      <x:c r="O38" s="48" t="str">
        <x:v>SPONSOR_SELF_DESCRIBED</x:v>
      </x:c>
      <x:c r="P38" s="48" t="str">
        <x:v>asserted</x:v>
      </x:c>
      <x:c r="Q38" s="48" t="str">
        <x:v>SPONSOR_SELF_DESCRIBED;SPONSOR_BEHAVIOURAL</x:v>
      </x:c>
      <x:c r="R38" s="48" t="str">
        <x:v>24</x:v>
      </x:c>
      <x:c r="S38" s="48" t="str">
        <x:v>MANAGER_FAMILIES</x:v>
      </x:c>
      <x:c r="T38" s="48" t="str">
        <x:v>24 manager families self-describe pre-close VCP; behavioural necessity coverage is thin</x:v>
      </x:c>
      <x:c r="U38" s="48" t="str">
        <x:v>3</x:v>
      </x:c>
      <x:c r="V38" s="48" t="str">
        <x:v>3</x:v>
      </x:c>
      <x:c r="W38" s="48" t="str">
        <x:v>0</x:v>
      </x:c>
      <x:c r="X38" s="48" t="str">
        <x:v>24</x:v>
      </x:c>
      <x:c r="Y38" s="48" t="str">
        <x:v>0</x:v>
      </x:c>
      <x:c r="Z38" s="48" t="str">
        <x:v>24</x:v>
      </x:c>
      <x:c r="AA38" s="48" t="str">
        <x:v>11</x:v>
      </x:c>
      <x:c r="AB38" s="48" t="str">
        <x:v>0</x:v>
      </x:c>
      <x:c r="AC38" s="48" t="str"/>
      <x:c r="AD38" s="48" t="str">
        <x:v>MEDIUM</x:v>
      </x:c>
      <x:c r="AE38" s="48" t="str">
        <x:v>Self-description is unanimous, but the archive does not yet demonstrate that every control buyout fails without a quantified pre-close VCP.</x:v>
      </x:c>
      <x:c r="AF38" s="48" t="str">
        <x:v>Conventional artifact or unverified claim; useful as guidance but not suitable for blocking.</x:v>
      </x:c>
      <x:c r="AG38" s="48" t="str">
        <x:v>A VCP is causally important when returns depend on sponsor actions; less so for passive or low-change cases.</x:v>
      </x:c>
      <x:c r="AH38" s="48" t="str">
        <x:v>A verified control-buyout approval and successful ownership case with no pre-close quantified VCP and no equivalent function.</x:v>
      </x:c>
      <x:c r="AI38" s="48" t="str">
        <x:v>U07</x:v>
      </x:c>
      <x:c r="AJ38" s="48" t="str">
        <x:v>PreClose_Quantified_VCP</x:v>
      </x:c>
      <x:c r="AK38" s="48" t="str">
        <x:v>Final_Approval</x:v>
      </x:c>
      <x:c r="AL38" s="48" t="str">
        <x:v>Tier C v1 evidence counts retained; not recalculated in the N=29 DDQ rerun.</x:v>
      </x:c>
    </x:row>
  </x:sheetData>
  <x:conditionalFormatting sqref="H2:H100">
    <x:cfRule type="expression" dxfId="0" priority="1">
      <x:formula>$H2="AXIOM"</x:formula>
    </x:cfRule>
    <x:cfRule type="expression" dxfId="1" priority="2">
      <x:formula>$H2="ENFORCE"</x:formula>
    </x:cfRule>
    <x:cfRule type="expression" dxfId="2" priority="3">
      <x:formula>$H2="CONFIGURE"</x:formula>
    </x:cfRule>
    <x:cfRule type="expression" dxfId="3" priority="4">
      <x:formula>$H2="SUGGEST"</x:formula>
    </x:cfRule>
  </x:conditionalFormatting>
  <x:pageMargins left="0.7" right="0.7" top="0.75" bottom="0.75" header="0.3" footer="0.3"/>
  <x:tableParts count="1">
    <x:tablePart xmlns:r="http://schemas.openxmlformats.org/officeDocument/2006/relationships" r:id="Rfe0d103dfaee49d8"/>
  </x:tableParts>
</x:worksheet>
</file>

<file path=xl/worksheets/sheet14.xml><?xml version="1.0" encoding="utf-8"?>
<x:worksheet xmlns:x="http://schemas.openxmlformats.org/spreadsheetml/2006/main">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36"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s>
  <x:sheetData>
    <x:row r="1">
      <x:c r="A1" s="42" t="str">
        <x:v>version</x:v>
      </x:c>
      <x:c r="B1" s="42" t="str">
        <x:v>as_of_date</x:v>
      </x:c>
      <x:c r="C1" s="42" t="str">
        <x:v>flow_id</x:v>
      </x:c>
      <x:c r="D1" s="42" t="str">
        <x:v>flow_name</x:v>
      </x:c>
      <x:c r="E1" s="42" t="str">
        <x:v>perspective</x:v>
      </x:c>
      <x:c r="F1" s="42" t="str">
        <x:v>sequence_order</x:v>
      </x:c>
      <x:c r="G1" s="42" t="str">
        <x:v>component_id</x:v>
      </x:c>
      <x:c r="H1" s="42" t="str">
        <x:v>component_type</x:v>
      </x:c>
      <x:c r="I1" s="42" t="str">
        <x:v>description</x:v>
      </x:c>
      <x:c r="J1" s="42" t="str">
        <x:v>relation_type</x:v>
      </x:c>
      <x:c r="K1" s="42" t="str">
        <x:v>kernel_treatment</x:v>
      </x:c>
      <x:c r="L1" s="42" t="str">
        <x:v>archetype_condition</x:v>
      </x:c>
      <x:c r="M1" s="42" t="str">
        <x:v>claim_basis</x:v>
      </x:c>
      <x:c r="N1" s="42" t="str">
        <x:v>primary_evidence_class</x:v>
      </x:c>
      <x:c r="O1" s="42" t="str">
        <x:v>vault_evidence_class</x:v>
      </x:c>
      <x:c r="P1" s="42" t="str">
        <x:v>evidence_count</x:v>
      </x:c>
      <x:c r="Q1" s="42" t="str">
        <x:v>confidence</x:v>
      </x:c>
      <x:c r="R1" s="42" t="str">
        <x:v>editable_elements</x:v>
      </x:c>
      <x:c r="S1" s="42" t="str">
        <x:v>locked_elements</x:v>
      </x:c>
      <x:c r="T1" s="42" t="str">
        <x:v>source_edge_ids</x:v>
      </x:c>
      <x:c r="U1" s="42" t="str">
        <x:v>tier_c_version_scope</x:v>
      </x:c>
    </x:row>
    <x:row r="2">
      <x:c r="A2" s="48" t="str">
        <x:v>Engineering handoff v1.0</x:v>
      </x:c>
      <x:c r="B2" s="48" t="str">
        <x:v>2026-07-16</x:v>
      </x:c>
      <x:c r="C2" s="48" t="str">
        <x:v>F01</x:v>
      </x:c>
      <x:c r="D2" s="48" t="str">
        <x:v>Lead sponsor canonical flow</x:v>
      </x:c>
      <x:c r="E2" s="48" t="str">
        <x:v>LEAD_SPONSOR</x:v>
      </x:c>
      <x:c r="F2" s="48" t="str">
        <x:v>1</x:v>
      </x:c>
      <x:c r="G2" s="48" t="str">
        <x:v>LS-01</x:v>
      </x:c>
      <x:c r="H2" s="48" t="str">
        <x:v>NODE</x:v>
      </x:c>
      <x:c r="I2" s="48" t="str">
        <x:v>Thematic research and relationship development, where used.</x:v>
      </x:c>
      <x:c r="J2" s="48" t="str">
        <x:v>INFLUENCE</x:v>
      </x:c>
      <x:c r="K2" s="48" t="str">
        <x:v>CONFIGURE</x:v>
      </x:c>
      <x:c r="L2" s="48" t="str">
        <x:v>NONE</x:v>
      </x:c>
      <x:c r="M2" s="48" t="str">
        <x:v>EMPIRICAL</x:v>
      </x:c>
      <x:c r="N2" s="48" t="str">
        <x:v>SPONSOR_SELF_DESCRIBED</x:v>
      </x:c>
      <x:c r="O2" s="48" t="str">
        <x:v>asserted</x:v>
      </x:c>
      <x:c r="P2" s="48" t="str">
        <x:v>23</x:v>
      </x:c>
      <x:c r="Q2" s="48" t="str">
        <x:v>HIGH</x:v>
      </x:c>
      <x:c r="R2" s="48" t="str">
        <x:v>May be omitted in reactive deals.</x:v>
      </x:c>
      <x:c r="S2" s="48" t="str">
        <x:v>None.</x:v>
      </x:c>
      <x:c r="T2" s="48" t="str"/>
      <x:c r="U2" s="48" t="str">
        <x:v>Tier C v1 evidence counts retained; not recalculated in the N=29 DDQ rerun.</x:v>
      </x:c>
    </x:row>
    <x:row r="3">
      <x:c r="A3" s="48" t="str">
        <x:v>Engineering handoff v1.0</x:v>
      </x:c>
      <x:c r="B3" s="48" t="str">
        <x:v>2026-07-16</x:v>
      </x:c>
      <x:c r="C3" s="48" t="str">
        <x:v>F01</x:v>
      </x:c>
      <x:c r="D3" s="48" t="str">
        <x:v>Lead sponsor canonical flow</x:v>
      </x:c>
      <x:c r="E3" s="48" t="str">
        <x:v>LEAD_SPONSOR</x:v>
      </x:c>
      <x:c r="F3" s="48" t="str">
        <x:v>2</x:v>
      </x:c>
      <x:c r="G3" s="48" t="str">
        <x:v>LS-02</x:v>
      </x:c>
      <x:c r="H3" s="48" t="str">
        <x:v>NODE</x:v>
      </x:c>
      <x:c r="I3" s="48" t="str">
        <x:v>Opportunity-specific initial assessment, risk map and quick model.</x:v>
      </x:c>
      <x:c r="J3" s="48" t="str">
        <x:v>INPUT</x:v>
      </x:c>
      <x:c r="K3" s="48" t="str">
        <x:v>ENFORCE</x:v>
      </x:c>
      <x:c r="L3" s="48" t="str">
        <x:v>UNIVERSAL_AT_FUNCTION_LEVEL</x:v>
      </x:c>
      <x:c r="M3" s="48" t="str">
        <x:v>EMPIRICAL</x:v>
      </x:c>
      <x:c r="N3" s="48" t="str">
        <x:v>SPONSOR_SELF_DESCRIBED</x:v>
      </x:c>
      <x:c r="O3" s="48" t="str">
        <x:v>asserted</x:v>
      </x:c>
      <x:c r="P3" s="48" t="str">
        <x:v>24</x:v>
      </x:c>
      <x:c r="Q3" s="48" t="str">
        <x:v>HIGH</x:v>
      </x:c>
      <x:c r="R3" s="48" t="str">
        <x:v>Artifact and depth.</x:v>
      </x:c>
      <x:c r="S3" s="48" t="str">
        <x:v>Opportunity-specific assessment function.</x:v>
      </x:c>
      <x:c r="T3" s="48" t="str">
        <x:v>EMP-01</x:v>
      </x:c>
      <x:c r="U3" s="48" t="str">
        <x:v>Tier C v1 evidence counts retained; not recalculated in the N=29 DDQ rerun.</x:v>
      </x:c>
    </x:row>
    <x:row r="4">
      <x:c r="A4" s="48" t="str">
        <x:v>Engineering handoff v1.0</x:v>
      </x:c>
      <x:c r="B4" s="48" t="str">
        <x:v>2026-07-16</x:v>
      </x:c>
      <x:c r="C4" s="48" t="str">
        <x:v>F01</x:v>
      </x:c>
      <x:c r="D4" s="48" t="str">
        <x:v>Lead sponsor canonical flow</x:v>
      </x:c>
      <x:c r="E4" s="48" t="str">
        <x:v>LEAD_SPONSOR</x:v>
      </x:c>
      <x:c r="F4" s="48" t="str">
        <x:v>3</x:v>
      </x:c>
      <x:c r="G4" s="48" t="str">
        <x:v>LS-03</x:v>
      </x:c>
      <x:c r="H4" s="48" t="str">
        <x:v>GATE</x:v>
      </x:c>
      <x:c r="I4" s="48" t="str">
        <x:v>Authorize pursuit, material resources and/or bounded diligence spend.</x:v>
      </x:c>
      <x:c r="J4" s="48" t="str">
        <x:v>GATE</x:v>
      </x:c>
      <x:c r="K4" s="48" t="str">
        <x:v>AXIOM</x:v>
      </x:c>
      <x:c r="L4" s="48" t="str">
        <x:v>UNIVERSAL</x:v>
      </x:c>
      <x:c r="M4" s="48" t="str">
        <x:v>ANALYTIC</x:v>
      </x:c>
      <x:c r="N4" s="48" t="str">
        <x:v>SPONSOR_SELF_DESCRIBED</x:v>
      </x:c>
      <x:c r="O4" s="48" t="str">
        <x:v>asserted</x:v>
      </x:c>
      <x:c r="P4" s="48" t="str">
        <x:v>0</x:v>
      </x:c>
      <x:c r="Q4" s="48" t="str">
        <x:v>HIGH</x:v>
      </x:c>
      <x:c r="R4" s="48" t="str">
        <x:v>Body, budget and formality.</x:v>
      </x:c>
      <x:c r="S4" s="48" t="str">
        <x:v>Decision before material commitment.</x:v>
      </x:c>
      <x:c r="T4" s="48" t="str">
        <x:v>AX-01</x:v>
      </x:c>
      <x:c r="U4" s="48" t="str">
        <x:v>Tier C v1 evidence counts retained; not recalculated in the N=29 DDQ rerun.</x:v>
      </x:c>
    </x:row>
    <x:row r="5">
      <x:c r="A5" s="48" t="str">
        <x:v>Engineering handoff v1.0</x:v>
      </x:c>
      <x:c r="B5" s="48" t="str">
        <x:v>2026-07-16</x:v>
      </x:c>
      <x:c r="C5" s="48" t="str">
        <x:v>F01</x:v>
      </x:c>
      <x:c r="D5" s="48" t="str">
        <x:v>Lead sponsor canonical flow</x:v>
      </x:c>
      <x:c r="E5" s="48" t="str">
        <x:v>LEAD_SPONSOR</x:v>
      </x:c>
      <x:c r="F5" s="48" t="str">
        <x:v>4</x:v>
      </x:c>
      <x:c r="G5" s="48" t="str">
        <x:v>LS-04</x:v>
      </x:c>
      <x:c r="H5" s="48" t="str">
        <x:v>NODE</x:v>
      </x:c>
      <x:c r="I5" s="48" t="str">
        <x:v>Preliminary economic case supports an indicative price or offer.</x:v>
      </x:c>
      <x:c r="J5" s="48" t="str">
        <x:v>INPUT</x:v>
      </x:c>
      <x:c r="K5" s="48" t="str">
        <x:v>AXIOM</x:v>
      </x:c>
      <x:c r="L5" s="48" t="str">
        <x:v>WHEN_PRICE_OR_OFFER_IS_ISSUED</x:v>
      </x:c>
      <x:c r="M5" s="48" t="str">
        <x:v>ANALYTIC</x:v>
      </x:c>
      <x:c r="N5" s="48" t="str">
        <x:v>SPONSOR_SELF_DESCRIBED</x:v>
      </x:c>
      <x:c r="O5" s="48" t="str">
        <x:v>asserted</x:v>
      </x:c>
      <x:c r="P5" s="48" t="str">
        <x:v>0</x:v>
      </x:c>
      <x:c r="Q5" s="48" t="str">
        <x:v>HIGH</x:v>
      </x:c>
      <x:c r="R5" s="48" t="str">
        <x:v>Model detail and offer stage.</x:v>
      </x:c>
      <x:c r="S5" s="48" t="str">
        <x:v>Economic view precedes price.</x:v>
      </x:c>
      <x:c r="T5" s="48" t="str">
        <x:v>AX-02</x:v>
      </x:c>
      <x:c r="U5" s="48" t="str">
        <x:v>Tier C v1 evidence counts retained; not recalculated in the N=29 DDQ rerun.</x:v>
      </x:c>
    </x:row>
    <x:row r="6">
      <x:c r="A6" s="48" t="str">
        <x:v>Engineering handoff v1.0</x:v>
      </x:c>
      <x:c r="B6" s="48" t="str">
        <x:v>2026-07-16</x:v>
      </x:c>
      <x:c r="C6" s="48" t="str">
        <x:v>F01</x:v>
      </x:c>
      <x:c r="D6" s="48" t="str">
        <x:v>Lead sponsor canonical flow</x:v>
      </x:c>
      <x:c r="E6" s="48" t="str">
        <x:v>LEAD_SPONSOR</x:v>
      </x:c>
      <x:c r="F6" s="48" t="str">
        <x:v>5</x:v>
      </x:c>
      <x:c r="G6" s="48" t="str">
        <x:v>LS-05</x:v>
      </x:c>
      <x:c r="H6" s="48" t="str">
        <x:v>NODE</x:v>
      </x:c>
      <x:c r="I6" s="48" t="str">
        <x:v>IOI, NBIO, LOI and/or exclusivity, if applicable.</x:v>
      </x:c>
      <x:c r="J6" s="48" t="str">
        <x:v>GATE</x:v>
      </x:c>
      <x:c r="K6" s="48" t="str">
        <x:v>CONFIGURE</x:v>
      </x:c>
      <x:c r="L6" s="48" t="str">
        <x:v>AUCTION_OR_NEGOTIATED_PROCESS</x:v>
      </x:c>
      <x:c r="M6" s="48" t="str">
        <x:v>EMPIRICAL</x:v>
      </x:c>
      <x:c r="N6" s="48" t="str">
        <x:v>SPONSOR_SELF_DESCRIBED</x:v>
      </x:c>
      <x:c r="O6" s="48" t="str">
        <x:v>asserted</x:v>
      </x:c>
      <x:c r="P6" s="48" t="str">
        <x:v>14</x:v>
      </x:c>
      <x:c r="Q6" s="48" t="str">
        <x:v>HIGH</x:v>
      </x:c>
      <x:c r="R6" s="48" t="str">
        <x:v>Order relative to first IC and adviser work.</x:v>
      </x:c>
      <x:c r="S6" s="48" t="str">
        <x:v>Valid offer authority.</x:v>
      </x:c>
      <x:c r="T6" s="48" t="str">
        <x:v>CFG-01,CFG-02</x:v>
      </x:c>
      <x:c r="U6" s="48" t="str">
        <x:v>Tier C v1 evidence counts retained; not recalculated in the N=29 DDQ rerun.</x:v>
      </x:c>
    </x:row>
    <x:row r="7">
      <x:c r="A7" s="48" t="str">
        <x:v>Engineering handoff v1.0</x:v>
      </x:c>
      <x:c r="B7" s="48" t="str">
        <x:v>2026-07-16</x:v>
      </x:c>
      <x:c r="C7" s="48" t="str">
        <x:v>F01</x:v>
      </x:c>
      <x:c r="D7" s="48" t="str">
        <x:v>Lead sponsor canonical flow</x:v>
      </x:c>
      <x:c r="E7" s="48" t="str">
        <x:v>LEAD_SPONSOR</x:v>
      </x:c>
      <x:c r="F7" s="48" t="str">
        <x:v>6</x:v>
      </x:c>
      <x:c r="G7" s="48" t="str">
        <x:v>LS-06</x:v>
      </x:c>
      <x:c r="H7" s="48" t="str">
        <x:v>LOOP</x:v>
      </x:c>
      <x:c r="I7" s="48" t="str">
        <x:v>Iterative commercial, financial, operational, talent, legal, tax and financing work.</x:v>
      </x:c>
      <x:c r="J7" s="48" t="str">
        <x:v>FEEDBACK</x:v>
      </x:c>
      <x:c r="K7" s="48" t="str">
        <x:v>CONFIGURE</x:v>
      </x:c>
      <x:c r="L7" s="48" t="str">
        <x:v>UNIVERSAL_DYNAMIC</x:v>
      </x:c>
      <x:c r="M7" s="48" t="str">
        <x:v>EMPIRICAL</x:v>
      </x:c>
      <x:c r="N7" s="48" t="str">
        <x:v>SPONSOR_SELF_DESCRIBED</x:v>
      </x:c>
      <x:c r="O7" s="48" t="str">
        <x:v>asserted</x:v>
      </x:c>
      <x:c r="P7" s="48" t="str">
        <x:v>24</x:v>
      </x:c>
      <x:c r="Q7" s="48" t="str">
        <x:v>HIGH</x:v>
      </x:c>
      <x:c r="R7" s="48" t="str">
        <x:v>Providers, depth and sequencing.</x:v>
      </x:c>
      <x:c r="S7" s="48" t="str">
        <x:v>Material findings revise the underwrite.</x:v>
      </x:c>
      <x:c r="T7" s="48" t="str">
        <x:v>EMP-03,FS-01,FS-02,FS-03,CS-02</x:v>
      </x:c>
      <x:c r="U7" s="48" t="str">
        <x:v>Tier C v1 evidence counts retained; not recalculated in the N=29 DDQ rerun.</x:v>
      </x:c>
    </x:row>
    <x:row r="8">
      <x:c r="A8" s="48" t="str">
        <x:v>Engineering handoff v1.0</x:v>
      </x:c>
      <x:c r="B8" s="48" t="str">
        <x:v>2026-07-16</x:v>
      </x:c>
      <x:c r="C8" s="48" t="str">
        <x:v>F01</x:v>
      </x:c>
      <x:c r="D8" s="48" t="str">
        <x:v>Lead sponsor canonical flow</x:v>
      </x:c>
      <x:c r="E8" s="48" t="str">
        <x:v>LEAD_SPONSOR</x:v>
      </x:c>
      <x:c r="F8" s="48" t="str">
        <x:v>7</x:v>
      </x:c>
      <x:c r="G8" s="48" t="str">
        <x:v>LS-07</x:v>
      </x:c>
      <x:c r="H8" s="48" t="str">
        <x:v>LOOP</x:v>
      </x:c>
      <x:c r="I8" s="48" t="str">
        <x:v>Model, price, risk register, VCP, financing and terms revise one another.</x:v>
      </x:c>
      <x:c r="J8" s="48" t="str">
        <x:v>FEEDBACK</x:v>
      </x:c>
      <x:c r="K8" s="48" t="str">
        <x:v>CONFIGURE</x:v>
      </x:c>
      <x:c r="L8" s="48" t="str">
        <x:v>UNIVERSAL_DYNAMIC</x:v>
      </x:c>
      <x:c r="M8" s="48" t="str">
        <x:v>EMPIRICAL</x:v>
      </x:c>
      <x:c r="N8" s="48" t="str">
        <x:v>SPONSOR_SELF_DESCRIBED</x:v>
      </x:c>
      <x:c r="O8" s="48" t="str">
        <x:v>asserted</x:v>
      </x:c>
      <x:c r="P8" s="48" t="str">
        <x:v>24</x:v>
      </x:c>
      <x:c r="Q8" s="48" t="str">
        <x:v>HIGH</x:v>
      </x:c>
      <x:c r="R8" s="48" t="str">
        <x:v>Scenario design and iteration cadence.</x:v>
      </x:c>
      <x:c r="S8" s="48" t="str">
        <x:v>Material feedback is incorporated.</x:v>
      </x:c>
      <x:c r="T8" s="48" t="str">
        <x:v>EMP-03,CS-01</x:v>
      </x:c>
      <x:c r="U8" s="48" t="str">
        <x:v>Tier C v1 evidence counts retained; not recalculated in the N=29 DDQ rerun.</x:v>
      </x:c>
    </x:row>
    <x:row r="9">
      <x:c r="A9" s="48" t="str">
        <x:v>Engineering handoff v1.0</x:v>
      </x:c>
      <x:c r="B9" s="48" t="str">
        <x:v>2026-07-16</x:v>
      </x:c>
      <x:c r="C9" s="48" t="str">
        <x:v>F01</x:v>
      </x:c>
      <x:c r="D9" s="48" t="str">
        <x:v>Lead sponsor canonical flow</x:v>
      </x:c>
      <x:c r="E9" s="48" t="str">
        <x:v>LEAD_SPONSOR</x:v>
      </x:c>
      <x:c r="F9" s="48" t="str">
        <x:v>8</x:v>
      </x:c>
      <x:c r="G9" s="48" t="str">
        <x:v>LS-08</x:v>
      </x:c>
      <x:c r="H9" s="48" t="str">
        <x:v>NODE</x:v>
      </x:c>
      <x:c r="I9" s="48" t="str">
        <x:v>Final synthesis states economics, material risks, terms, VCP and disposition of open items.</x:v>
      </x:c>
      <x:c r="J9" s="48" t="str">
        <x:v>FINALIZATION</x:v>
      </x:c>
      <x:c r="K9" s="48" t="str">
        <x:v>ENFORCE</x:v>
      </x:c>
      <x:c r="L9" s="48" t="str">
        <x:v>UNIVERSAL_AT_FUNCTION_LEVEL</x:v>
      </x:c>
      <x:c r="M9" s="48" t="str">
        <x:v>EMPIRICAL</x:v>
      </x:c>
      <x:c r="N9" s="48" t="str">
        <x:v>SPONSOR_SELF_DESCRIBED</x:v>
      </x:c>
      <x:c r="O9" s="48" t="str">
        <x:v>asserted</x:v>
      </x:c>
      <x:c r="P9" s="48" t="str">
        <x:v>24</x:v>
      </x:c>
      <x:c r="Q9" s="48" t="str">
        <x:v>HIGH</x:v>
      </x:c>
      <x:c r="R9" s="48" t="str">
        <x:v>Document format and residual conditions.</x:v>
      </x:c>
      <x:c r="S9" s="48" t="str">
        <x:v>Sufficiently bounded decision case.</x:v>
      </x:c>
      <x:c r="T9" s="48" t="str">
        <x:v>EMP-04</x:v>
      </x:c>
      <x:c r="U9" s="48" t="str">
        <x:v>Tier C v1 evidence counts retained; not recalculated in the N=29 DDQ rerun.</x:v>
      </x:c>
    </x:row>
    <x:row r="10">
      <x:c r="A10" s="48" t="str">
        <x:v>Engineering handoff v1.0</x:v>
      </x:c>
      <x:c r="B10" s="48" t="str">
        <x:v>2026-07-16</x:v>
      </x:c>
      <x:c r="C10" s="48" t="str">
        <x:v>F01</x:v>
      </x:c>
      <x:c r="D10" s="48" t="str">
        <x:v>Lead sponsor canonical flow</x:v>
      </x:c>
      <x:c r="E10" s="48" t="str">
        <x:v>LEAD_SPONSOR</x:v>
      </x:c>
      <x:c r="F10" s="48" t="str">
        <x:v>9</x:v>
      </x:c>
      <x:c r="G10" s="48" t="str">
        <x:v>LS-09</x:v>
      </x:c>
      <x:c r="H10" s="48" t="str">
        <x:v>GATE</x:v>
      </x:c>
      <x:c r="I10" s="48" t="str">
        <x:v>Valid final authority approves the binding commitment.</x:v>
      </x:c>
      <x:c r="J10" s="48" t="str">
        <x:v>GATE</x:v>
      </x:c>
      <x:c r="K10" s="48" t="str">
        <x:v>CONFIGURE</x:v>
      </x:c>
      <x:c r="L10" s="48" t="str">
        <x:v>UNIVERSAL</x:v>
      </x:c>
      <x:c r="M10" s="48" t="str">
        <x:v>ANALYTIC</x:v>
      </x:c>
      <x:c r="N10" s="48" t="str">
        <x:v>SPONSOR_SELF_DESCRIBED</x:v>
      </x:c>
      <x:c r="O10" s="48" t="str">
        <x:v>asserted</x:v>
      </x:c>
      <x:c r="P10" s="48" t="str">
        <x:v>0</x:v>
      </x:c>
      <x:c r="Q10" s="48" t="str">
        <x:v>HIGH</x:v>
      </x:c>
      <x:c r="R10" s="48" t="str">
        <x:v>IC, board, GP, vote and veto implementation.</x:v>
      </x:c>
      <x:c r="S10" s="48" t="str">
        <x:v>Authority before commitment.</x:v>
      </x:c>
      <x:c r="T10" s="48" t="str">
        <x:v>AX-03,CFG-05,CFG-06</x:v>
      </x:c>
      <x:c r="U10" s="48" t="str">
        <x:v>Tier C v1 evidence counts retained; not recalculated in the N=29 DDQ rerun.</x:v>
      </x:c>
    </x:row>
    <x:row r="11">
      <x:c r="A11" s="48" t="str">
        <x:v>Engineering handoff v1.0</x:v>
      </x:c>
      <x:c r="B11" s="48" t="str">
        <x:v>2026-07-16</x:v>
      </x:c>
      <x:c r="C11" s="48" t="str">
        <x:v>F01</x:v>
      </x:c>
      <x:c r="D11" s="48" t="str">
        <x:v>Lead sponsor canonical flow</x:v>
      </x:c>
      <x:c r="E11" s="48" t="str">
        <x:v>LEAD_SPONSOR</x:v>
      </x:c>
      <x:c r="F11" s="48" t="str">
        <x:v>10</x:v>
      </x:c>
      <x:c r="G11" s="48" t="str">
        <x:v>LS-10</x:v>
      </x:c>
      <x:c r="H11" s="48" t="str">
        <x:v>NODE</x:v>
      </x:c>
      <x:c r="I11" s="48" t="str">
        <x:v>Signing or other binding commitment.</x:v>
      </x:c>
      <x:c r="J11" s="48" t="str">
        <x:v>GATE</x:v>
      </x:c>
      <x:c r="K11" s="48" t="str">
        <x:v>AXIOM</x:v>
      </x:c>
      <x:c r="L11" s="48" t="str">
        <x:v>UNIVERSAL</x:v>
      </x:c>
      <x:c r="M11" s="48" t="str">
        <x:v>ANALYTIC</x:v>
      </x:c>
      <x:c r="N11" s="48" t="str">
        <x:v>SPONSOR_SELF_DESCRIBED</x:v>
      </x:c>
      <x:c r="O11" s="48" t="str">
        <x:v>asserted</x:v>
      </x:c>
      <x:c r="P11" s="48" t="str">
        <x:v>0</x:v>
      </x:c>
      <x:c r="Q11" s="48" t="str">
        <x:v>HIGH</x:v>
      </x:c>
      <x:c r="R11" s="48" t="str">
        <x:v>Conditional versus unconditional form.</x:v>
      </x:c>
      <x:c r="S11" s="48" t="str">
        <x:v>Valid authority.</x:v>
      </x:c>
      <x:c r="T11" s="48" t="str">
        <x:v>AX-03</x:v>
      </x:c>
      <x:c r="U11" s="48" t="str">
        <x:v>Tier C v1 evidence counts retained; not recalculated in the N=29 DDQ rerun.</x:v>
      </x:c>
    </x:row>
    <x:row r="12">
      <x:c r="A12" s="48" t="str">
        <x:v>Engineering handoff v1.0</x:v>
      </x:c>
      <x:c r="B12" s="48" t="str">
        <x:v>2026-07-16</x:v>
      </x:c>
      <x:c r="C12" s="48" t="str">
        <x:v>F01</x:v>
      </x:c>
      <x:c r="D12" s="48" t="str">
        <x:v>Lead sponsor canonical flow</x:v>
      </x:c>
      <x:c r="E12" s="48" t="str">
        <x:v>LEAD_SPONSOR</x:v>
      </x:c>
      <x:c r="F12" s="48" t="str">
        <x:v>11</x:v>
      </x:c>
      <x:c r="G12" s="48" t="str">
        <x:v>LS-11</x:v>
      </x:c>
      <x:c r="H12" s="48" t="str">
        <x:v>GATE</x:v>
      </x:c>
      <x:c r="I12" s="48" t="str">
        <x:v>Closing-readiness controls: CPs, legal authority, compliance, financing and funds flow.</x:v>
      </x:c>
      <x:c r="J12" s="48" t="str">
        <x:v>GATE</x:v>
      </x:c>
      <x:c r="K12" s="48" t="str">
        <x:v>AXIOM</x:v>
      </x:c>
      <x:c r="L12" s="48" t="str">
        <x:v>UNIVERSAL</x:v>
      </x:c>
      <x:c r="M12" s="48" t="str">
        <x:v>ANALYTIC</x:v>
      </x:c>
      <x:c r="N12" s="48" t="str">
        <x:v>SPONSOR_SELF_DESCRIBED</x:v>
      </x:c>
      <x:c r="O12" s="48" t="str">
        <x:v>asserted</x:v>
      </x:c>
      <x:c r="P12" s="48" t="str">
        <x:v>0</x:v>
      </x:c>
      <x:c r="Q12" s="48" t="str">
        <x:v>HIGH</x:v>
      </x:c>
      <x:c r="R12" s="48" t="str">
        <x:v>Checklist form and responsible body.</x:v>
      </x:c>
      <x:c r="S12" s="48" t="str">
        <x:v>Requirements satisfied or validly waived.</x:v>
      </x:c>
      <x:c r="T12" s="48" t="str">
        <x:v>AX-04</x:v>
      </x:c>
      <x:c r="U12" s="48" t="str">
        <x:v>Tier C v1 evidence counts retained; not recalculated in the N=29 DDQ rerun.</x:v>
      </x:c>
    </x:row>
    <x:row r="13">
      <x:c r="A13" s="48" t="str">
        <x:v>Engineering handoff v1.0</x:v>
      </x:c>
      <x:c r="B13" s="48" t="str">
        <x:v>2026-07-16</x:v>
      </x:c>
      <x:c r="C13" s="48" t="str">
        <x:v>F01</x:v>
      </x:c>
      <x:c r="D13" s="48" t="str">
        <x:v>Lead sponsor canonical flow</x:v>
      </x:c>
      <x:c r="E13" s="48" t="str">
        <x:v>LEAD_SPONSOR</x:v>
      </x:c>
      <x:c r="F13" s="48" t="str">
        <x:v>12</x:v>
      </x:c>
      <x:c r="G13" s="48" t="str">
        <x:v>LS-12</x:v>
      </x:c>
      <x:c r="H13" s="48" t="str">
        <x:v>NODE</x:v>
      </x:c>
      <x:c r="I13" s="48" t="str">
        <x:v>Funding and closing.</x:v>
      </x:c>
      <x:c r="J13" s="48" t="str">
        <x:v>GATE</x:v>
      </x:c>
      <x:c r="K13" s="48" t="str">
        <x:v>AXIOM</x:v>
      </x:c>
      <x:c r="L13" s="48" t="str">
        <x:v>UNIVERSAL</x:v>
      </x:c>
      <x:c r="M13" s="48" t="str">
        <x:v>ANALYTIC</x:v>
      </x:c>
      <x:c r="N13" s="48" t="str">
        <x:v>SPONSOR_SELF_DESCRIBED</x:v>
      </x:c>
      <x:c r="O13" s="48" t="str">
        <x:v>asserted</x:v>
      </x:c>
      <x:c r="P13" s="48" t="str">
        <x:v>0</x:v>
      </x:c>
      <x:c r="Q13" s="48" t="str">
        <x:v>HIGH</x:v>
      </x:c>
      <x:c r="R13" s="48" t="str">
        <x:v>Mechanics.</x:v>
      </x:c>
      <x:c r="S13" s="48" t="str">
        <x:v>Closing readiness.</x:v>
      </x:c>
      <x:c r="T13" s="48" t="str">
        <x:v>AX-04</x:v>
      </x:c>
      <x:c r="U13" s="48" t="str">
        <x:v>Tier C v1 evidence counts retained; not recalculated in the N=29 DDQ rerun.</x:v>
      </x:c>
    </x:row>
    <x:row r="14">
      <x:c r="A14" s="48" t="str">
        <x:v>Engineering handoff v1.0</x:v>
      </x:c>
      <x:c r="B14" s="48" t="str">
        <x:v>2026-07-16</x:v>
      </x:c>
      <x:c r="C14" s="48" t="str">
        <x:v>F01</x:v>
      </x:c>
      <x:c r="D14" s="48" t="str">
        <x:v>Lead sponsor canonical flow</x:v>
      </x:c>
      <x:c r="E14" s="48" t="str">
        <x:v>LEAD_SPONSOR</x:v>
      </x:c>
      <x:c r="F14" s="48" t="str">
        <x:v>13</x:v>
      </x:c>
      <x:c r="G14" s="48" t="str">
        <x:v>LS-13</x:v>
      </x:c>
      <x:c r="H14" s="48" t="str">
        <x:v>NODE</x:v>
      </x:c>
      <x:c r="I14" s="48" t="str">
        <x:v>Underwrite and VCP become ownership plan, KPIs, governance and management actions.</x:v>
      </x:c>
      <x:c r="J14" s="48" t="str">
        <x:v>INPUT</x:v>
      </x:c>
      <x:c r="K14" s="48" t="str">
        <x:v>CONFIGURE</x:v>
      </x:c>
      <x:c r="L14" s="48" t="str">
        <x:v>LEAD_CONTROL_INVESTOR</x:v>
      </x:c>
      <x:c r="M14" s="48" t="str">
        <x:v>EMPIRICAL</x:v>
      </x:c>
      <x:c r="N14" s="48" t="str">
        <x:v>SPONSOR_SELF_DESCRIBED</x:v>
      </x:c>
      <x:c r="O14" s="48" t="str">
        <x:v>asserted</x:v>
      </x:c>
      <x:c r="P14" s="48" t="str">
        <x:v>24</x:v>
      </x:c>
      <x:c r="Q14" s="48" t="str">
        <x:v>MEDIUM</x:v>
      </x:c>
      <x:c r="R14" s="48" t="str">
        <x:v>100/180-day label and ownership model.</x:v>
      </x:c>
      <x:c r="S14" s="48" t="str">
        <x:v>Accountability and monitoring function.</x:v>
      </x:c>
      <x:c r="T14" s="48" t="str">
        <x:v>EMP-05,CONV-03</x:v>
      </x:c>
      <x:c r="U14" s="48" t="str">
        <x:v>Tier C v1 evidence counts retained; not recalculated in the N=29 DDQ rerun.</x:v>
      </x:c>
    </x:row>
    <x:row r="15">
      <x:c r="A15" s="48" t="str">
        <x:v>Engineering handoff v1.0</x:v>
      </x:c>
      <x:c r="B15" s="48" t="str">
        <x:v>2026-07-16</x:v>
      </x:c>
      <x:c r="C15" s="48" t="str">
        <x:v>F01</x:v>
      </x:c>
      <x:c r="D15" s="48" t="str">
        <x:v>Lead sponsor canonical flow</x:v>
      </x:c>
      <x:c r="E15" s="48" t="str">
        <x:v>LEAD_SPONSOR</x:v>
      </x:c>
      <x:c r="F15" s="48" t="str">
        <x:v>14</x:v>
      </x:c>
      <x:c r="G15" s="48" t="str">
        <x:v>LS-14</x:v>
      </x:c>
      <x:c r="H15" s="48" t="str">
        <x:v>LOOP</x:v>
      </x:c>
      <x:c r="I15" s="48" t="str">
        <x:v>Monitoring, re-underwriting and capital-allocation revisions during ownership.</x:v>
      </x:c>
      <x:c r="J15" s="48" t="str">
        <x:v>FEEDBACK</x:v>
      </x:c>
      <x:c r="K15" s="48" t="str">
        <x:v>CONFIGURE</x:v>
      </x:c>
      <x:c r="L15" s="48" t="str">
        <x:v>LEAD_CONTROL_INVESTOR</x:v>
      </x:c>
      <x:c r="M15" s="48" t="str">
        <x:v>EMPIRICAL</x:v>
      </x:c>
      <x:c r="N15" s="48" t="str">
        <x:v>SPONSOR_SELF_DESCRIBED</x:v>
      </x:c>
      <x:c r="O15" s="48" t="str">
        <x:v>asserted</x:v>
      </x:c>
      <x:c r="P15" s="48" t="str">
        <x:v>24</x:v>
      </x:c>
      <x:c r="Q15" s="48" t="str">
        <x:v>MEDIUM</x:v>
      </x:c>
      <x:c r="R15" s="48" t="str">
        <x:v>Committee and team design.</x:v>
      </x:c>
      <x:c r="S15" s="48" t="str">
        <x:v>Formal monitoring.</x:v>
      </x:c>
      <x:c r="T15" s="48" t="str">
        <x:v>EMP-05</x:v>
      </x:c>
      <x:c r="U15" s="48" t="str">
        <x:v>Tier C v1 evidence counts retained; not recalculated in the N=29 DDQ rerun.</x:v>
      </x:c>
    </x:row>
    <x:row r="16">
      <x:c r="A16" s="48" t="str">
        <x:v>Engineering handoff v1.0</x:v>
      </x:c>
      <x:c r="B16" s="48" t="str">
        <x:v>2026-07-16</x:v>
      </x:c>
      <x:c r="C16" s="48" t="str">
        <x:v>F01</x:v>
      </x:c>
      <x:c r="D16" s="48" t="str">
        <x:v>Lead sponsor canonical flow</x:v>
      </x:c>
      <x:c r="E16" s="48" t="str">
        <x:v>LEAD_SPONSOR</x:v>
      </x:c>
      <x:c r="F16" s="48" t="str">
        <x:v>15</x:v>
      </x:c>
      <x:c r="G16" s="48" t="str">
        <x:v>LS-15</x:v>
      </x:c>
      <x:c r="H16" s="48" t="str">
        <x:v>GATE</x:v>
      </x:c>
      <x:c r="I16" s="48" t="str">
        <x:v>Exit assessment, valid disposition authority and realization.</x:v>
      </x:c>
      <x:c r="J16" s="48" t="str">
        <x:v>GATE</x:v>
      </x:c>
      <x:c r="K16" s="48" t="str">
        <x:v>CONFIGURE</x:v>
      </x:c>
      <x:c r="L16" s="48" t="str">
        <x:v>REALIZATION</x:v>
      </x:c>
      <x:c r="M16" s="48" t="str">
        <x:v>EMPIRICAL</x:v>
      </x:c>
      <x:c r="N16" s="48" t="str">
        <x:v>SPONSOR_SELF_DESCRIBED</x:v>
      </x:c>
      <x:c r="O16" s="48" t="str">
        <x:v>asserted</x:v>
      </x:c>
      <x:c r="P16" s="48" t="str">
        <x:v>18</x:v>
      </x:c>
      <x:c r="Q16" s="48" t="str">
        <x:v>MEDIUM</x:v>
      </x:c>
      <x:c r="R16" s="48" t="str">
        <x:v>Exit route and approval body.</x:v>
      </x:c>
      <x:c r="S16" s="48" t="str">
        <x:v>Authorized disposition.</x:v>
      </x:c>
      <x:c r="T16" s="48" t="str">
        <x:v>EMP-06</x:v>
      </x:c>
      <x:c r="U16" s="48" t="str">
        <x:v>Tier C v1 evidence counts retained; not recalculated in the N=29 DDQ rerun.</x:v>
      </x:c>
    </x:row>
    <x:row r="17">
      <x:c r="A17" s="48" t="str">
        <x:v>Engineering handoff v1.0</x:v>
      </x:c>
      <x:c r="B17" s="48" t="str">
        <x:v>2026-07-16</x:v>
      </x:c>
      <x:c r="C17" s="48" t="str">
        <x:v>F02</x:v>
      </x:c>
      <x:c r="D17" s="48" t="str">
        <x:v>Iterative underwriting engine</x:v>
      </x:c>
      <x:c r="E17" s="48" t="str">
        <x:v>LEAD_SPONSOR</x:v>
      </x:c>
      <x:c r="F17" s="48" t="str">
        <x:v>1</x:v>
      </x:c>
      <x:c r="G17" s="48" t="str">
        <x:v>UW-01</x:v>
      </x:c>
      <x:c r="H17" s="48" t="str">
        <x:v>WORKSTREAM</x:v>
      </x:c>
      <x:c r="I17" s="48" t="str">
        <x:v>Commercial: market, customer, pricing, retention, competition and exit-buyer evidence.</x:v>
      </x:c>
      <x:c r="J17" s="48" t="str">
        <x:v>INPUT</x:v>
      </x:c>
      <x:c r="K17" s="48" t="str">
        <x:v>CONFIGURE</x:v>
      </x:c>
      <x:c r="L17" s="48" t="str">
        <x:v>WHEN_MATERIAL</x:v>
      </x:c>
      <x:c r="M17" s="48" t="str">
        <x:v>EMPIRICAL</x:v>
      </x:c>
      <x:c r="N17" s="48" t="str">
        <x:v>SPONSOR_SELF_DESCRIBED</x:v>
      </x:c>
      <x:c r="O17" s="48" t="str">
        <x:v>asserted</x:v>
      </x:c>
      <x:c r="P17" s="48" t="str">
        <x:v>24</x:v>
      </x:c>
      <x:c r="Q17" s="48" t="str">
        <x:v>HIGH</x:v>
      </x:c>
      <x:c r="R17" s="48" t="str">
        <x:v>Internal versus commissioned scope.</x:v>
      </x:c>
      <x:c r="S17" s="48" t="str">
        <x:v>Commercial-validation function.</x:v>
      </x:c>
      <x:c r="T17" s="48" t="str">
        <x:v>FS-02</x:v>
      </x:c>
      <x:c r="U17" s="48" t="str">
        <x:v>Tier C v1 evidence counts retained; not recalculated in the N=29 DDQ rerun.</x:v>
      </x:c>
    </x:row>
    <x:row r="18">
      <x:c r="A18" s="48" t="str">
        <x:v>Engineering handoff v1.0</x:v>
      </x:c>
      <x:c r="B18" s="48" t="str">
        <x:v>2026-07-16</x:v>
      </x:c>
      <x:c r="C18" s="48" t="str">
        <x:v>F02</x:v>
      </x:c>
      <x:c r="D18" s="48" t="str">
        <x:v>Iterative underwriting engine</x:v>
      </x:c>
      <x:c r="E18" s="48" t="str">
        <x:v>LEAD_SPONSOR</x:v>
      </x:c>
      <x:c r="F18" s="48" t="str">
        <x:v>2</x:v>
      </x:c>
      <x:c r="G18" s="48" t="str">
        <x:v>UW-02</x:v>
      </x:c>
      <x:c r="H18" s="48" t="str">
        <x:v>WORKSTREAM</x:v>
      </x:c>
      <x:c r="I18" s="48" t="str">
        <x:v>Financial: QoE or substitutes, normalization, working capital, capex, cash and debt-like items.</x:v>
      </x:c>
      <x:c r="J18" s="48" t="str">
        <x:v>INPUT</x:v>
      </x:c>
      <x:c r="K18" s="48" t="str">
        <x:v>CONFIGURE</x:v>
      </x:c>
      <x:c r="L18" s="48" t="str">
        <x:v>UNIVERSAL_AT_FUNCTION_LEVEL</x:v>
      </x:c>
      <x:c r="M18" s="48" t="str">
        <x:v>EMPIRICAL</x:v>
      </x:c>
      <x:c r="N18" s="48" t="str">
        <x:v>SPONSOR_SELF_DESCRIBED</x:v>
      </x:c>
      <x:c r="O18" s="48" t="str">
        <x:v>asserted</x:v>
      </x:c>
      <x:c r="P18" s="48" t="str">
        <x:v>22</x:v>
      </x:c>
      <x:c r="Q18" s="48" t="str">
        <x:v>HIGH</x:v>
      </x:c>
      <x:c r="R18" s="48" t="str">
        <x:v>Artifact/provider.</x:v>
      </x:c>
      <x:c r="S18" s="48" t="str">
        <x:v>Financial-verification function.</x:v>
      </x:c>
      <x:c r="T18" s="48" t="str">
        <x:v>FS-01,CONV-01</x:v>
      </x:c>
      <x:c r="U18" s="48" t="str">
        <x:v>Tier C v1 evidence counts retained; not recalculated in the N=29 DDQ rerun.</x:v>
      </x:c>
    </x:row>
    <x:row r="19">
      <x:c r="A19" s="48" t="str">
        <x:v>Engineering handoff v1.0</x:v>
      </x:c>
      <x:c r="B19" s="48" t="str">
        <x:v>2026-07-16</x:v>
      </x:c>
      <x:c r="C19" s="48" t="str">
        <x:v>F02</x:v>
      </x:c>
      <x:c r="D19" s="48" t="str">
        <x:v>Iterative underwriting engine</x:v>
      </x:c>
      <x:c r="E19" s="48" t="str">
        <x:v>LEAD_SPONSOR</x:v>
      </x:c>
      <x:c r="F19" s="48" t="str">
        <x:v>3</x:v>
      </x:c>
      <x:c r="G19" s="48" t="str">
        <x:v>UW-03</x:v>
      </x:c>
      <x:c r="H19" s="48" t="str">
        <x:v>WORKSTREAM</x:v>
      </x:c>
      <x:c r="I19" s="48" t="str">
        <x:v>Operational: capacity, productivity, procurement, systems, capex and implementation feasibility.</x:v>
      </x:c>
      <x:c r="J19" s="48" t="str">
        <x:v>INPUT</x:v>
      </x:c>
      <x:c r="K19" s="48" t="str">
        <x:v>CONFIGURE</x:v>
      </x:c>
      <x:c r="L19" s="48" t="str">
        <x:v>VCP_OR_OPERATIONS_MATERIAL</x:v>
      </x:c>
      <x:c r="M19" s="48" t="str">
        <x:v>EMPIRICAL</x:v>
      </x:c>
      <x:c r="N19" s="48" t="str">
        <x:v>SPONSOR_SELF_DESCRIBED</x:v>
      </x:c>
      <x:c r="O19" s="48" t="str">
        <x:v>asserted</x:v>
      </x:c>
      <x:c r="P19" s="48" t="str">
        <x:v>21</x:v>
      </x:c>
      <x:c r="Q19" s="48" t="str">
        <x:v>HIGH</x:v>
      </x:c>
      <x:c r="R19" s="48" t="str">
        <x:v>Team entry timing.</x:v>
      </x:c>
      <x:c r="S19" s="48" t="str">
        <x:v>Operational evidence where material.</x:v>
      </x:c>
      <x:c r="T19" s="48" t="str">
        <x:v>CS-01,CFG-03</x:v>
      </x:c>
      <x:c r="U19" s="48" t="str">
        <x:v>Tier C v1 evidence counts retained; not recalculated in the N=29 DDQ rerun.</x:v>
      </x:c>
    </x:row>
    <x:row r="20">
      <x:c r="A20" s="48" t="str">
        <x:v>Engineering handoff v1.0</x:v>
      </x:c>
      <x:c r="B20" s="48" t="str">
        <x:v>2026-07-16</x:v>
      </x:c>
      <x:c r="C20" s="48" t="str">
        <x:v>F02</x:v>
      </x:c>
      <x:c r="D20" s="48" t="str">
        <x:v>Iterative underwriting engine</x:v>
      </x:c>
      <x:c r="E20" s="48" t="str">
        <x:v>LEAD_SPONSOR</x:v>
      </x:c>
      <x:c r="F20" s="48" t="str">
        <x:v>4</x:v>
      </x:c>
      <x:c r="G20" s="48" t="str">
        <x:v>UW-04</x:v>
      </x:c>
      <x:c r="H20" s="48" t="str">
        <x:v>WORKSTREAM</x:v>
      </x:c>
      <x:c r="I20" s="48" t="str">
        <x:v>Talent: leadership capability, organization, succession, rollover and incentives.</x:v>
      </x:c>
      <x:c r="J20" s="48" t="str">
        <x:v>INPUT</x:v>
      </x:c>
      <x:c r="K20" s="48" t="str">
        <x:v>CONFIGURE</x:v>
      </x:c>
      <x:c r="L20" s="48" t="str">
        <x:v>MANAGEMENT_DEPENDENT</x:v>
      </x:c>
      <x:c r="M20" s="48" t="str">
        <x:v>EMPIRICAL</x:v>
      </x:c>
      <x:c r="N20" s="48" t="str">
        <x:v>CO_INVESTOR_BEHAVIOURAL</x:v>
      </x:c>
      <x:c r="O20" s="48" t="str">
        <x:v>observed</x:v>
      </x:c>
      <x:c r="P20" s="48" t="str">
        <x:v>5</x:v>
      </x:c>
      <x:c r="Q20" s="48" t="str">
        <x:v>HIGH</x:v>
      </x:c>
      <x:c r="R20" s="48" t="str">
        <x:v>Depth and provider.</x:v>
      </x:c>
      <x:c r="S20" s="48" t="str">
        <x:v>Management capability/alignment assessment.</x:v>
      </x:c>
      <x:c r="T20" s="48" t="str">
        <x:v>CS-04</x:v>
      </x:c>
      <x:c r="U20" s="48" t="str">
        <x:v>Tier C v1 evidence counts retained; not recalculated in the N=29 DDQ rerun.</x:v>
      </x:c>
    </x:row>
    <x:row r="21">
      <x:c r="A21" s="48" t="str">
        <x:v>Engineering handoff v1.0</x:v>
      </x:c>
      <x:c r="B21" s="48" t="str">
        <x:v>2026-07-16</x:v>
      </x:c>
      <x:c r="C21" s="48" t="str">
        <x:v>F02</x:v>
      </x:c>
      <x:c r="D21" s="48" t="str">
        <x:v>Iterative underwriting engine</x:v>
      </x:c>
      <x:c r="E21" s="48" t="str">
        <x:v>LEAD_SPONSOR</x:v>
      </x:c>
      <x:c r="F21" s="48" t="str">
        <x:v>5</x:v>
      </x:c>
      <x:c r="G21" s="48" t="str">
        <x:v>UW-05</x:v>
      </x:c>
      <x:c r="H21" s="48" t="str">
        <x:v>WORKSTREAM</x:v>
      </x:c>
      <x:c r="I21" s="48" t="str">
        <x:v>Legal/regulatory: perimeter, contracts, licenses, liabilities, consents and protections.</x:v>
      </x:c>
      <x:c r="J21" s="48" t="str">
        <x:v>INPUT</x:v>
      </x:c>
      <x:c r="K21" s="48" t="str">
        <x:v>CONFIGURE</x:v>
      </x:c>
      <x:c r="L21" s="48" t="str">
        <x:v>WHEN_MATERIAL</x:v>
      </x:c>
      <x:c r="M21" s="48" t="str">
        <x:v>EMPIRICAL</x:v>
      </x:c>
      <x:c r="N21" s="48" t="str">
        <x:v>SPONSOR_SELF_DESCRIBED</x:v>
      </x:c>
      <x:c r="O21" s="48" t="str">
        <x:v>asserted</x:v>
      </x:c>
      <x:c r="P21" s="48" t="str">
        <x:v>24</x:v>
      </x:c>
      <x:c r="Q21" s="48" t="str">
        <x:v>HIGH</x:v>
      </x:c>
      <x:c r="R21" s="48" t="str">
        <x:v>Scope and timing.</x:v>
      </x:c>
      <x:c r="S21" s="48" t="str">
        <x:v>Legal/regulatory assessment.</x:v>
      </x:c>
      <x:c r="T21" s="48" t="str">
        <x:v>FS-03</x:v>
      </x:c>
      <x:c r="U21" s="48" t="str">
        <x:v>Tier C v1 evidence counts retained; not recalculated in the N=29 DDQ rerun.</x:v>
      </x:c>
    </x:row>
    <x:row r="22">
      <x:c r="A22" s="48" t="str">
        <x:v>Engineering handoff v1.0</x:v>
      </x:c>
      <x:c r="B22" s="48" t="str">
        <x:v>2026-07-16</x:v>
      </x:c>
      <x:c r="C22" s="48" t="str">
        <x:v>F02</x:v>
      </x:c>
      <x:c r="D22" s="48" t="str">
        <x:v>Iterative underwriting engine</x:v>
      </x:c>
      <x:c r="E22" s="48" t="str">
        <x:v>LEAD_SPONSOR</x:v>
      </x:c>
      <x:c r="F22" s="48" t="str">
        <x:v>6</x:v>
      </x:c>
      <x:c r="G22" s="48" t="str">
        <x:v>UW-06</x:v>
      </x:c>
      <x:c r="H22" s="48" t="str">
        <x:v>WORKSTREAM</x:v>
      </x:c>
      <x:c r="I22" s="48" t="str">
        <x:v>Tax/structure: acquisition chain, debt location, tax attributes, rollover and cash extraction.</x:v>
      </x:c>
      <x:c r="J22" s="48" t="str">
        <x:v>INPUT</x:v>
      </x:c>
      <x:c r="K22" s="48" t="str">
        <x:v>CONFIGURE</x:v>
      </x:c>
      <x:c r="L22" s="48" t="str">
        <x:v>WHEN_MATERIAL</x:v>
      </x:c>
      <x:c r="M22" s="48" t="str">
        <x:v>EMPIRICAL</x:v>
      </x:c>
      <x:c r="N22" s="48" t="str">
        <x:v>SPONSOR_SELF_DESCRIBED</x:v>
      </x:c>
      <x:c r="O22" s="48" t="str">
        <x:v>asserted</x:v>
      </x:c>
      <x:c r="P22" s="48" t="str">
        <x:v>24</x:v>
      </x:c>
      <x:c r="Q22" s="48" t="str">
        <x:v>HIGH</x:v>
      </x:c>
      <x:c r="R22" s="48" t="str">
        <x:v>Structure implementation.</x:v>
      </x:c>
      <x:c r="S22" s="48" t="str">
        <x:v>Tax/structuring assessment.</x:v>
      </x:c>
      <x:c r="T22" s="48" t="str">
        <x:v>FS-03</x:v>
      </x:c>
      <x:c r="U22" s="48" t="str">
        <x:v>Tier C v1 evidence counts retained; not recalculated in the N=29 DDQ rerun.</x:v>
      </x:c>
    </x:row>
    <x:row r="23">
      <x:c r="A23" s="48" t="str">
        <x:v>Engineering handoff v1.0</x:v>
      </x:c>
      <x:c r="B23" s="48" t="str">
        <x:v>2026-07-16</x:v>
      </x:c>
      <x:c r="C23" s="48" t="str">
        <x:v>F02</x:v>
      </x:c>
      <x:c r="D23" s="48" t="str">
        <x:v>Iterative underwriting engine</x:v>
      </x:c>
      <x:c r="E23" s="48" t="str">
        <x:v>LEAD_SPONSOR</x:v>
      </x:c>
      <x:c r="F23" s="48" t="str">
        <x:v>7</x:v>
      </x:c>
      <x:c r="G23" s="48" t="str">
        <x:v>UW-07</x:v>
      </x:c>
      <x:c r="H23" s="48" t="str">
        <x:v>WORKSTREAM</x:v>
      </x:c>
      <x:c r="I23" s="48" t="str">
        <x:v>Financing: debt capacity, terms, covenants, equity need, certainty and downside liquidity.</x:v>
      </x:c>
      <x:c r="J23" s="48" t="str">
        <x:v>INPUT</x:v>
      </x:c>
      <x:c r="K23" s="48" t="str">
        <x:v>CONFIGURE</x:v>
      </x:c>
      <x:c r="L23" s="48" t="str">
        <x:v>LEVERAGED_ACQUISITION</x:v>
      </x:c>
      <x:c r="M23" s="48" t="str">
        <x:v>EMPIRICAL</x:v>
      </x:c>
      <x:c r="N23" s="48" t="str">
        <x:v>SPONSOR_SELF_DESCRIBED</x:v>
      </x:c>
      <x:c r="O23" s="48" t="str">
        <x:v>asserted</x:v>
      </x:c>
      <x:c r="P23" s="48" t="str">
        <x:v>24</x:v>
      </x:c>
      <x:c r="Q23" s="48" t="str">
        <x:v>HIGH</x:v>
      </x:c>
      <x:c r="R23" s="48" t="str">
        <x:v>Provider and timing.</x:v>
      </x:c>
      <x:c r="S23" s="48" t="str">
        <x:v>Financing assessment.</x:v>
      </x:c>
      <x:c r="T23" s="48" t="str">
        <x:v>CS-02</x:v>
      </x:c>
      <x:c r="U23" s="48" t="str">
        <x:v>Tier C v1 evidence counts retained; not recalculated in the N=29 DDQ rerun.</x:v>
      </x:c>
    </x:row>
    <x:row r="24">
      <x:c r="A24" s="48" t="str">
        <x:v>Engineering handoff v1.0</x:v>
      </x:c>
      <x:c r="B24" s="48" t="str">
        <x:v>2026-07-16</x:v>
      </x:c>
      <x:c r="C24" s="48" t="str">
        <x:v>F02</x:v>
      </x:c>
      <x:c r="D24" s="48" t="str">
        <x:v>Iterative underwriting engine</x:v>
      </x:c>
      <x:c r="E24" s="48" t="str">
        <x:v>LEAD_SPONSOR</x:v>
      </x:c>
      <x:c r="F24" s="48" t="str">
        <x:v>8</x:v>
      </x:c>
      <x:c r="G24" s="48" t="str">
        <x:v>UW-08</x:v>
      </x:c>
      <x:c r="H24" s="48" t="str">
        <x:v>FEEDBACK</x:v>
      </x:c>
      <x:c r="I24" s="48" t="str">
        <x:v>Findings update model assumptions, price, structure and risk.</x:v>
      </x:c>
      <x:c r="J24" s="48" t="str">
        <x:v>FEEDBACK</x:v>
      </x:c>
      <x:c r="K24" s="48" t="str">
        <x:v>CONFIGURE</x:v>
      </x:c>
      <x:c r="L24" s="48" t="str">
        <x:v>UNIVERSAL_DYNAMIC</x:v>
      </x:c>
      <x:c r="M24" s="48" t="str">
        <x:v>EMPIRICAL</x:v>
      </x:c>
      <x:c r="N24" s="48" t="str">
        <x:v>SPONSOR_SELF_DESCRIBED</x:v>
      </x:c>
      <x:c r="O24" s="48" t="str">
        <x:v>asserted</x:v>
      </x:c>
      <x:c r="P24" s="48" t="str">
        <x:v>24</x:v>
      </x:c>
      <x:c r="Q24" s="48" t="str">
        <x:v>HIGH</x:v>
      </x:c>
      <x:c r="R24" s="48" t="str">
        <x:v>Iteration cadence.</x:v>
      </x:c>
      <x:c r="S24" s="48" t="str">
        <x:v>Material feedback incorporated.</x:v>
      </x:c>
      <x:c r="T24" s="48" t="str">
        <x:v>EMP-03</x:v>
      </x:c>
      <x:c r="U24" s="48" t="str">
        <x:v>Tier C v1 evidence counts retained; not recalculated in the N=29 DDQ rerun.</x:v>
      </x:c>
    </x:row>
    <x:row r="25">
      <x:c r="A25" s="48" t="str">
        <x:v>Engineering handoff v1.0</x:v>
      </x:c>
      <x:c r="B25" s="48" t="str">
        <x:v>2026-07-16</x:v>
      </x:c>
      <x:c r="C25" s="48" t="str">
        <x:v>F02</x:v>
      </x:c>
      <x:c r="D25" s="48" t="str">
        <x:v>Iterative underwriting engine</x:v>
      </x:c>
      <x:c r="E25" s="48" t="str">
        <x:v>LEAD_SPONSOR</x:v>
      </x:c>
      <x:c r="F25" s="48" t="str">
        <x:v>9</x:v>
      </x:c>
      <x:c r="G25" s="48" t="str">
        <x:v>UW-09</x:v>
      </x:c>
      <x:c r="H25" s="48" t="str">
        <x:v>FEEDBACK</x:v>
      </x:c>
      <x:c r="I25" s="48" t="str">
        <x:v>Model sensitivities generate new targeted diligence questions.</x:v>
      </x:c>
      <x:c r="J25" s="48" t="str">
        <x:v>FEEDBACK</x:v>
      </x:c>
      <x:c r="K25" s="48" t="str">
        <x:v>CONFIGURE</x:v>
      </x:c>
      <x:c r="L25" s="48" t="str">
        <x:v>UNIVERSAL_DYNAMIC</x:v>
      </x:c>
      <x:c r="M25" s="48" t="str">
        <x:v>EMPIRICAL</x:v>
      </x:c>
      <x:c r="N25" s="48" t="str">
        <x:v>CO_INVESTOR_BEHAVIOURAL</x:v>
      </x:c>
      <x:c r="O25" s="48" t="str">
        <x:v>observed</x:v>
      </x:c>
      <x:c r="P25" s="48" t="str">
        <x:v>5</x:v>
      </x:c>
      <x:c r="Q25" s="48" t="str">
        <x:v>HIGH</x:v>
      </x:c>
      <x:c r="R25" s="48" t="str">
        <x:v>Question prioritization.</x:v>
      </x:c>
      <x:c r="S25" s="48" t="str">
        <x:v>Decision-sensitive variables tested.</x:v>
      </x:c>
      <x:c r="T25" s="48" t="str">
        <x:v>EMP-03</x:v>
      </x:c>
      <x:c r="U25" s="48" t="str">
        <x:v>Tier C v1 evidence counts retained; not recalculated in the N=29 DDQ rerun.</x:v>
      </x:c>
    </x:row>
    <x:row r="26">
      <x:c r="A26" s="48" t="str">
        <x:v>Engineering handoff v1.0</x:v>
      </x:c>
      <x:c r="B26" s="48" t="str">
        <x:v>2026-07-16</x:v>
      </x:c>
      <x:c r="C26" s="48" t="str">
        <x:v>F02</x:v>
      </x:c>
      <x:c r="D26" s="48" t="str">
        <x:v>Iterative underwriting engine</x:v>
      </x:c>
      <x:c r="E26" s="48" t="str">
        <x:v>LEAD_SPONSOR</x:v>
      </x:c>
      <x:c r="F26" s="48" t="str">
        <x:v>10</x:v>
      </x:c>
      <x:c r="G26" s="48" t="str">
        <x:v>UW-10</x:v>
      </x:c>
      <x:c r="H26" s="48" t="str">
        <x:v>FEEDBACK</x:v>
      </x:c>
      <x:c r="I26" s="48" t="str">
        <x:v>VCP initiatives are promoted, demoted, rephased or removed from the base case.</x:v>
      </x:c>
      <x:c r="J26" s="48" t="str">
        <x:v>FEEDBACK</x:v>
      </x:c>
      <x:c r="K26" s="48" t="str">
        <x:v>CONFIGURE</x:v>
      </x:c>
      <x:c r="L26" s="48" t="str">
        <x:v>VCP_MATERIAL_TO_RETURNS</x:v>
      </x:c>
      <x:c r="M26" s="48" t="str">
        <x:v>EMPIRICAL</x:v>
      </x:c>
      <x:c r="N26" s="48" t="str">
        <x:v>SPONSOR_SELF_DESCRIBED</x:v>
      </x:c>
      <x:c r="O26" s="48" t="str">
        <x:v>asserted</x:v>
      </x:c>
      <x:c r="P26" s="48" t="str">
        <x:v>23</x:v>
      </x:c>
      <x:c r="Q26" s="48" t="str">
        <x:v>HIGH</x:v>
      </x:c>
      <x:c r="R26" s="48" t="str">
        <x:v>Base versus upside treatment.</x:v>
      </x:c>
      <x:c r="S26" s="48" t="str">
        <x:v>Evidence-backed VCP linkage.</x:v>
      </x:c>
      <x:c r="T26" s="48" t="str">
        <x:v>CS-01</x:v>
      </x:c>
      <x:c r="U26" s="48" t="str">
        <x:v>Tier C v1 evidence counts retained; not recalculated in the N=29 DDQ rerun.</x:v>
      </x:c>
    </x:row>
    <x:row r="27">
      <x:c r="A27" s="48" t="str">
        <x:v>Engineering handoff v1.0</x:v>
      </x:c>
      <x:c r="B27" s="48" t="str">
        <x:v>2026-07-16</x:v>
      </x:c>
      <x:c r="C27" s="48" t="str">
        <x:v>F03</x:v>
      </x:c>
      <x:c r="D27" s="48" t="str">
        <x:v>CO_INVESTOR co-investor flow</x:v>
      </x:c>
      <x:c r="E27" s="48" t="str">
        <x:v>CO_INVESTOR</x:v>
      </x:c>
      <x:c r="F27" s="48" t="str">
        <x:v>1</x:v>
      </x:c>
      <x:c r="G27" s="48" t="str">
        <x:v>CO_INVESTOR-01</x:v>
      </x:c>
      <x:c r="H27" s="48" t="str">
        <x:v>NODE</x:v>
      </x:c>
      <x:c r="I27" s="48" t="str">
        <x:v>Sponsor invitation, allocation context and preliminary information.</x:v>
      </x:c>
      <x:c r="J27" s="48" t="str">
        <x:v>INPUT</x:v>
      </x:c>
      <x:c r="K27" s="48" t="str">
        <x:v>ENFORCE</x:v>
      </x:c>
      <x:c r="L27" s="48" t="str">
        <x:v>SPONSOR_LED_COINVESTMENT</x:v>
      </x:c>
      <x:c r="M27" s="48" t="str">
        <x:v>EMPIRICAL</x:v>
      </x:c>
      <x:c r="N27" s="48" t="str">
        <x:v>CO_INVESTOR_BEHAVIOURAL</x:v>
      </x:c>
      <x:c r="O27" s="48" t="str">
        <x:v>observed</x:v>
      </x:c>
      <x:c r="P27" s="48" t="str">
        <x:v>48</x:v>
      </x:c>
      <x:c r="Q27" s="48" t="str">
        <x:v>HIGH</x:v>
      </x:c>
      <x:c r="R27" s="48" t="str">
        <x:v>Format and timing.</x:v>
      </x:c>
      <x:c r="S27" s="48" t="str">
        <x:v>Sufficient sponsor/company information.</x:v>
      </x:c>
      <x:c r="T27" s="48" t="str">
        <x:v>EMP-02</x:v>
      </x:c>
      <x:c r="U27" s="48" t="str">
        <x:v>Tier C v1 evidence counts retained; not recalculated in the N=29 DDQ rerun.</x:v>
      </x:c>
    </x:row>
    <x:row r="28">
      <x:c r="A28" s="48" t="str">
        <x:v>Engineering handoff v1.0</x:v>
      </x:c>
      <x:c r="B28" s="48" t="str">
        <x:v>2026-07-16</x:v>
      </x:c>
      <x:c r="C28" s="48" t="str">
        <x:v>F03</x:v>
      </x:c>
      <x:c r="D28" s="48" t="str">
        <x:v>CO_INVESTOR co-investor flow</x:v>
      </x:c>
      <x:c r="E28" s="48" t="str">
        <x:v>CO_INVESTOR</x:v>
      </x:c>
      <x:c r="F28" s="48" t="str">
        <x:v>2</x:v>
      </x:c>
      <x:c r="G28" s="48" t="str">
        <x:v>CO_INVESTOR-02</x:v>
      </x:c>
      <x:c r="H28" s="48" t="str">
        <x:v>GATE</x:v>
      </x:c>
      <x:c r="I28" s="48" t="str">
        <x:v>CO_INVESTOR initial assessment: engage, decline or authorize diligence.</x:v>
      </x:c>
      <x:c r="J28" s="48" t="str">
        <x:v>GATE</x:v>
      </x:c>
      <x:c r="K28" s="48" t="str">
        <x:v>CONFIGURE</x:v>
      </x:c>
      <x:c r="L28" s="48" t="str">
        <x:v>SPONSOR_LED_COINVESTMENT</x:v>
      </x:c>
      <x:c r="M28" s="48" t="str">
        <x:v>EMPIRICAL</x:v>
      </x:c>
      <x:c r="N28" s="48" t="str">
        <x:v>CO_INVESTOR_BEHAVIOURAL</x:v>
      </x:c>
      <x:c r="O28" s="48" t="str">
        <x:v>observed</x:v>
      </x:c>
      <x:c r="P28" s="48" t="str">
        <x:v>48</x:v>
      </x:c>
      <x:c r="Q28" s="48" t="str">
        <x:v>HIGH</x:v>
      </x:c>
      <x:c r="R28" s="48" t="str">
        <x:v>Depth and formality.</x:v>
      </x:c>
      <x:c r="S28" s="48" t="str">
        <x:v>CO_INVESTOR’s own initial judgment.</x:v>
      </x:c>
      <x:c r="T28" s="48" t="str">
        <x:v>AX-01,CFG-09</x:v>
      </x:c>
      <x:c r="U28" s="48" t="str">
        <x:v>Tier C v1 evidence counts retained; not recalculated in the N=29 DDQ rerun.</x:v>
      </x:c>
    </x:row>
    <x:row r="29">
      <x:c r="A29" s="48" t="str">
        <x:v>Engineering handoff v1.0</x:v>
      </x:c>
      <x:c r="B29" s="48" t="str">
        <x:v>2026-07-16</x:v>
      </x:c>
      <x:c r="C29" s="48" t="str">
        <x:v>F03</x:v>
      </x:c>
      <x:c r="D29" s="48" t="str">
        <x:v>CO_INVESTOR co-investor flow</x:v>
      </x:c>
      <x:c r="E29" s="48" t="str">
        <x:v>CO_INVESTOR</x:v>
      </x:c>
      <x:c r="F29" s="48" t="str">
        <x:v>3</x:v>
      </x:c>
      <x:c r="G29" s="48" t="str">
        <x:v>CO_INVESTOR-03</x:v>
      </x:c>
      <x:c r="H29" s="48" t="str">
        <x:v>NODE</x:v>
      </x:c>
      <x:c r="I29" s="48" t="str">
        <x:v>Sponsor call, data-room access and targeted information requests.</x:v>
      </x:c>
      <x:c r="J29" s="48" t="str">
        <x:v>INPUT</x:v>
      </x:c>
      <x:c r="K29" s="48" t="str">
        <x:v>ENFORCE</x:v>
      </x:c>
      <x:c r="L29" s="48" t="str">
        <x:v>SPONSOR_LED_COINVESTMENT</x:v>
      </x:c>
      <x:c r="M29" s="48" t="str">
        <x:v>EMPIRICAL</x:v>
      </x:c>
      <x:c r="N29" s="48" t="str">
        <x:v>CO_INVESTOR_BEHAVIOURAL</x:v>
      </x:c>
      <x:c r="O29" s="48" t="str">
        <x:v>observed</x:v>
      </x:c>
      <x:c r="P29" s="48" t="str">
        <x:v>24</x:v>
      </x:c>
      <x:c r="Q29" s="48" t="str">
        <x:v>HIGH</x:v>
      </x:c>
      <x:c r="R29" s="48" t="str">
        <x:v>Breadth.</x:v>
      </x:c>
      <x:c r="S29" s="48" t="str">
        <x:v>Information sufficient for independent challenge.</x:v>
      </x:c>
      <x:c r="T29" s="48" t="str">
        <x:v>EMP-02</x:v>
      </x:c>
      <x:c r="U29" s="48" t="str">
        <x:v>Tier C v1 evidence counts retained; not recalculated in the N=29 DDQ rerun.</x:v>
      </x:c>
    </x:row>
    <x:row r="30">
      <x:c r="A30" s="48" t="str">
        <x:v>Engineering handoff v1.0</x:v>
      </x:c>
      <x:c r="B30" s="48" t="str">
        <x:v>2026-07-16</x:v>
      </x:c>
      <x:c r="C30" s="48" t="str">
        <x:v>F03</x:v>
      </x:c>
      <x:c r="D30" s="48" t="str">
        <x:v>CO_INVESTOR co-investor flow</x:v>
      </x:c>
      <x:c r="E30" s="48" t="str">
        <x:v>CO_INVESTOR</x:v>
      </x:c>
      <x:c r="F30" s="48" t="str">
        <x:v>4</x:v>
      </x:c>
      <x:c r="G30" s="48" t="str">
        <x:v>CO_INVESTOR-04</x:v>
      </x:c>
      <x:c r="H30" s="48" t="str">
        <x:v>LOOP</x:v>
      </x:c>
      <x:c r="I30" s="48" t="str">
        <x:v>Reconcile management and sponsor assumptions; recast model; run downside; references or targeted diligence.</x:v>
      </x:c>
      <x:c r="J30" s="48" t="str">
        <x:v>FEEDBACK</x:v>
      </x:c>
      <x:c r="K30" s="48" t="str">
        <x:v>CONFIGURE</x:v>
      </x:c>
      <x:c r="L30" s="48" t="str">
        <x:v>SPONSOR_LED_COINVESTMENT</x:v>
      </x:c>
      <x:c r="M30" s="48" t="str">
        <x:v>EMPIRICAL</x:v>
      </x:c>
      <x:c r="N30" s="48" t="str">
        <x:v>CO_INVESTOR_BEHAVIOURAL</x:v>
      </x:c>
      <x:c r="O30" s="48" t="str">
        <x:v>observed</x:v>
      </x:c>
      <x:c r="P30" s="48" t="str">
        <x:v>48</x:v>
      </x:c>
      <x:c r="Q30" s="48" t="str">
        <x:v>HIGH</x:v>
      </x:c>
      <x:c r="R30" s="48" t="str">
        <x:v>Depth by allocation, timing and risk.</x:v>
      </x:c>
      <x:c r="S30" s="48" t="str">
        <x:v>CO_INVESTOR challenge is distinct from sponsor approval.</x:v>
      </x:c>
      <x:c r="T30" s="48" t="str">
        <x:v>CFG-09</x:v>
      </x:c>
      <x:c r="U30" s="48" t="str">
        <x:v>Tier C v1 evidence counts retained; not recalculated in the N=29 DDQ rerun.</x:v>
      </x:c>
    </x:row>
    <x:row r="31">
      <x:c r="A31" s="48" t="str">
        <x:v>Engineering handoff v1.0</x:v>
      </x:c>
      <x:c r="B31" s="48" t="str">
        <x:v>2026-07-16</x:v>
      </x:c>
      <x:c r="C31" s="48" t="str">
        <x:v>F03</x:v>
      </x:c>
      <x:c r="D31" s="48" t="str">
        <x:v>CO_INVESTOR co-investor flow</x:v>
      </x:c>
      <x:c r="E31" s="48" t="str">
        <x:v>CO_INVESTOR</x:v>
      </x:c>
      <x:c r="F31" s="48" t="str">
        <x:v>5</x:v>
      </x:c>
      <x:c r="G31" s="48" t="str">
        <x:v>CO_INVESTOR-05</x:v>
      </x:c>
      <x:c r="H31" s="48" t="str">
        <x:v>NODE</x:v>
      </x:c>
      <x:c r="I31" s="48" t="str">
        <x:v>CO_INVESTOR investment report and recommendation.</x:v>
      </x:c>
      <x:c r="J31" s="48" t="str">
        <x:v>FINALIZATION</x:v>
      </x:c>
      <x:c r="K31" s="48" t="str">
        <x:v>ENFORCE</x:v>
      </x:c>
      <x:c r="L31" s="48" t="str">
        <x:v>SPONSOR_LED_COINVESTMENT</x:v>
      </x:c>
      <x:c r="M31" s="48" t="str">
        <x:v>EMPIRICAL</x:v>
      </x:c>
      <x:c r="N31" s="48" t="str">
        <x:v>CO_INVESTOR_BEHAVIOURAL</x:v>
      </x:c>
      <x:c r="O31" s="48" t="str">
        <x:v>observed</x:v>
      </x:c>
      <x:c r="P31" s="48" t="str">
        <x:v>91</x:v>
      </x:c>
      <x:c r="Q31" s="48" t="str">
        <x:v>MEDIUM</x:v>
      </x:c>
      <x:c r="R31" s="48" t="str">
        <x:v>Report format.</x:v>
      </x:c>
      <x:c r="S31" s="48" t="str">
        <x:v>Sufficient CO_INVESTOR decision synthesis.</x:v>
      </x:c>
      <x:c r="T31" s="48" t="str">
        <x:v>EMP-04</x:v>
      </x:c>
      <x:c r="U31" s="48" t="str">
        <x:v>Tier C v1 evidence counts retained; not recalculated in the N=29 DDQ rerun.</x:v>
      </x:c>
    </x:row>
    <x:row r="32">
      <x:c r="A32" s="48" t="str">
        <x:v>Engineering handoff v1.0</x:v>
      </x:c>
      <x:c r="B32" s="48" t="str">
        <x:v>2026-07-16</x:v>
      </x:c>
      <x:c r="C32" s="48" t="str">
        <x:v>F03</x:v>
      </x:c>
      <x:c r="D32" s="48" t="str">
        <x:v>CO_INVESTOR co-investor flow</x:v>
      </x:c>
      <x:c r="E32" s="48" t="str">
        <x:v>CO_INVESTOR</x:v>
      </x:c>
      <x:c r="F32" s="48" t="str">
        <x:v>6</x:v>
      </x:c>
      <x:c r="G32" s="48" t="str">
        <x:v>CO_INVESTOR-06</x:v>
      </x:c>
      <x:c r="H32" s="48" t="str">
        <x:v>GATE</x:v>
      </x:c>
      <x:c r="I32" s="48" t="str">
        <x:v>CO_INVESTOR IC decision.</x:v>
      </x:c>
      <x:c r="J32" s="48" t="str">
        <x:v>GATE</x:v>
      </x:c>
      <x:c r="K32" s="48" t="str">
        <x:v>AXIOM</x:v>
      </x:c>
      <x:c r="L32" s="48" t="str">
        <x:v>SPONSOR_LED_COINVESTMENT</x:v>
      </x:c>
      <x:c r="M32" s="48" t="str">
        <x:v>ANALYTIC</x:v>
      </x:c>
      <x:c r="N32" s="48" t="str">
        <x:v>CO_INVESTOR_BEHAVIOURAL</x:v>
      </x:c>
      <x:c r="O32" s="48" t="str">
        <x:v>observed</x:v>
      </x:c>
      <x:c r="P32" s="48" t="str">
        <x:v>0</x:v>
      </x:c>
      <x:c r="Q32" s="48" t="str">
        <x:v>HIGH</x:v>
      </x:c>
      <x:c r="R32" s="48" t="str">
        <x:v>Vote threshold.</x:v>
      </x:c>
      <x:c r="S32" s="48" t="str">
        <x:v>CO_INVESTOR authority before commitment.</x:v>
      </x:c>
      <x:c r="T32" s="48" t="str">
        <x:v>AX-05</x:v>
      </x:c>
      <x:c r="U32" s="48" t="str">
        <x:v>Tier C v1 evidence counts retained; not recalculated in the N=29 DDQ rerun.</x:v>
      </x:c>
    </x:row>
    <x:row r="33">
      <x:c r="A33" s="48" t="str">
        <x:v>Engineering handoff v1.0</x:v>
      </x:c>
      <x:c r="B33" s="48" t="str">
        <x:v>2026-07-16</x:v>
      </x:c>
      <x:c r="C33" s="48" t="str">
        <x:v>F03</x:v>
      </x:c>
      <x:c r="D33" s="48" t="str">
        <x:v>CO_INVESTOR co-investor flow</x:v>
      </x:c>
      <x:c r="E33" s="48" t="str">
        <x:v>CO_INVESTOR</x:v>
      </x:c>
      <x:c r="F33" s="48" t="str">
        <x:v>7</x:v>
      </x:c>
      <x:c r="G33" s="48" t="str">
        <x:v>CO_INVESTOR-07</x:v>
      </x:c>
      <x:c r="H33" s="48" t="str">
        <x:v>GATE</x:v>
      </x:c>
      <x:c r="I33" s="48" t="str">
        <x:v>ExCo/legal authority where required.</x:v>
      </x:c>
      <x:c r="J33" s="48" t="str">
        <x:v>GATE</x:v>
      </x:c>
      <x:c r="K33" s="48" t="str">
        <x:v>CONFIGURE</x:v>
      </x:c>
      <x:c r="L33" s="48" t="str">
        <x:v>DUAL_AUTHORITY_GOVERNANCE</x:v>
      </x:c>
      <x:c r="M33" s="48" t="str">
        <x:v>EMPIRICAL</x:v>
      </x:c>
      <x:c r="N33" s="48" t="str">
        <x:v>CO_INVESTOR_BEHAVIOURAL</x:v>
      </x:c>
      <x:c r="O33" s="48" t="str">
        <x:v>observed</x:v>
      </x:c>
      <x:c r="P33" s="48" t="str">
        <x:v>17</x:v>
      </x:c>
      <x:c r="Q33" s="48" t="str">
        <x:v>HIGH</x:v>
      </x:c>
      <x:c r="R33" s="48" t="str">
        <x:v>Whether required.</x:v>
      </x:c>
      <x:c r="S33" s="48" t="str">
        <x:v>Second authority in applicable structures.</x:v>
      </x:c>
      <x:c r="T33" s="48" t="str">
        <x:v>CS-05</x:v>
      </x:c>
      <x:c r="U33" s="48" t="str">
        <x:v>Tier C v1 evidence counts retained; not recalculated in the N=29 DDQ rerun.</x:v>
      </x:c>
    </x:row>
    <x:row r="34">
      <x:c r="A34" s="48" t="str">
        <x:v>Engineering handoff v1.0</x:v>
      </x:c>
      <x:c r="B34" s="48" t="str">
        <x:v>2026-07-16</x:v>
      </x:c>
      <x:c r="C34" s="48" t="str">
        <x:v>F03</x:v>
      </x:c>
      <x:c r="D34" s="48" t="str">
        <x:v>CO_INVESTOR co-investor flow</x:v>
      </x:c>
      <x:c r="E34" s="48" t="str">
        <x:v>CO_INVESTOR</x:v>
      </x:c>
      <x:c r="F34" s="48" t="str">
        <x:v>8</x:v>
      </x:c>
      <x:c r="G34" s="48" t="str">
        <x:v>CO_INVESTOR-08</x:v>
      </x:c>
      <x:c r="H34" s="48" t="str">
        <x:v>NODE</x:v>
      </x:c>
      <x:c r="I34" s="48" t="str">
        <x:v>Commitment, allocation acceptance and funding.</x:v>
      </x:c>
      <x:c r="J34" s="48" t="str">
        <x:v>GATE</x:v>
      </x:c>
      <x:c r="K34" s="48" t="str">
        <x:v>AXIOM</x:v>
      </x:c>
      <x:c r="L34" s="48" t="str">
        <x:v>SPONSOR_LED_COINVESTMENT</x:v>
      </x:c>
      <x:c r="M34" s="48" t="str">
        <x:v>ANALYTIC</x:v>
      </x:c>
      <x:c r="N34" s="48" t="str">
        <x:v>CO_INVESTOR_BEHAVIOURAL</x:v>
      </x:c>
      <x:c r="O34" s="48" t="str">
        <x:v>observed</x:v>
      </x:c>
      <x:c r="P34" s="48" t="str">
        <x:v>0</x:v>
      </x:c>
      <x:c r="Q34" s="48" t="str">
        <x:v>HIGH</x:v>
      </x:c>
      <x:c r="R34" s="48" t="str">
        <x:v>Mechanics.</x:v>
      </x:c>
      <x:c r="S34" s="48" t="str">
        <x:v>CO_INVESTOR approval.</x:v>
      </x:c>
      <x:c r="T34" s="48" t="str">
        <x:v>AX-05</x:v>
      </x:c>
      <x:c r="U34" s="48" t="str">
        <x:v>Tier C v1 evidence counts retained; not recalculated in the N=29 DDQ rerun.</x:v>
      </x:c>
    </x:row>
    <x:row r="35">
      <x:c r="A35" s="48" t="str">
        <x:v>Engineering handoff v1.0</x:v>
      </x:c>
      <x:c r="B35" s="48" t="str">
        <x:v>2026-07-16</x:v>
      </x:c>
      <x:c r="C35" s="48" t="str">
        <x:v>F03</x:v>
      </x:c>
      <x:c r="D35" s="48" t="str">
        <x:v>CO_INVESTOR co-investor flow</x:v>
      </x:c>
      <x:c r="E35" s="48" t="str">
        <x:v>CO_INVESTOR</x:v>
      </x:c>
      <x:c r="F35" s="48" t="str">
        <x:v>9</x:v>
      </x:c>
      <x:c r="G35" s="48" t="str">
        <x:v>CO_INVESTOR-09</x:v>
      </x:c>
      <x:c r="H35" s="48" t="str">
        <x:v>NODE</x:v>
      </x:c>
      <x:c r="I35" s="48" t="str">
        <x:v>Monitoring through sponsor reporting, CO_INVESTOR review and eventual proceeds.</x:v>
      </x:c>
      <x:c r="J35" s="48" t="str">
        <x:v>INPUT</x:v>
      </x:c>
      <x:c r="K35" s="48" t="str">
        <x:v>CONFIGURE</x:v>
      </x:c>
      <x:c r="L35" s="48" t="str">
        <x:v>POST_INVESTMENT</x:v>
      </x:c>
      <x:c r="M35" s="48" t="str">
        <x:v>EMPIRICAL</x:v>
      </x:c>
      <x:c r="N35" s="48" t="str">
        <x:v>CO_INVESTOR_BEHAVIOURAL</x:v>
      </x:c>
      <x:c r="O35" s="48" t="str">
        <x:v>observed</x:v>
      </x:c>
      <x:c r="P35" s="48" t="str">
        <x:v>91</x:v>
      </x:c>
      <x:c r="Q35" s="48" t="str">
        <x:v>MEDIUM</x:v>
      </x:c>
      <x:c r="R35" s="48" t="str">
        <x:v>Monitoring depth.</x:v>
      </x:c>
      <x:c r="S35" s="48" t="str">
        <x:v>Ongoing accountability.</x:v>
      </x:c>
      <x:c r="T35" s="48" t="str">
        <x:v>EMP-05,EMP-06</x:v>
      </x:c>
      <x:c r="U35" s="48" t="str">
        <x:v>Tier C v1 evidence counts retained; not recalculated in the N=29 DDQ rerun.</x:v>
      </x:c>
    </x:row>
    <x:row r="36">
      <x:c r="A36" s="48" t="str">
        <x:v>Engineering handoff v1.0</x:v>
      </x:c>
      <x:c r="B36" s="48" t="str">
        <x:v>2026-07-16</x:v>
      </x:c>
      <x:c r="C36" s="48" t="str">
        <x:v>F04</x:v>
      </x:c>
      <x:c r="D36" s="48" t="str">
        <x:v>Intermediated co-investment</x:v>
      </x:c>
      <x:c r="E36" s="48" t="str">
        <x:v>CROSS_BOUNDARY</x:v>
      </x:c>
      <x:c r="F36" s="48" t="str">
        <x:v>1</x:v>
      </x:c>
      <x:c r="G36" s="48" t="str">
        <x:v>INT-01</x:v>
      </x:c>
      <x:c r="H36" s="48" t="str">
        <x:v>NODE</x:v>
      </x:c>
      <x:c r="I36" s="48" t="str">
        <x:v>Company and lead sponsor produce information and underwriting.</x:v>
      </x:c>
      <x:c r="J36" s="48" t="str">
        <x:v>INPUT</x:v>
      </x:c>
      <x:c r="K36" s="48" t="str">
        <x:v>CONFIGURE</x:v>
      </x:c>
      <x:c r="L36" s="48" t="str">
        <x:v>INTERMEDIATED_COINVESTMENT</x:v>
      </x:c>
      <x:c r="M36" s="48" t="str">
        <x:v>EMPIRICAL</x:v>
      </x:c>
      <x:c r="N36" s="48" t="str">
        <x:v>SPONSOR_DERIVATIVE</x:v>
      </x:c>
      <x:c r="O36" s="48" t="str">
        <x:v>derived</x:v>
      </x:c>
      <x:c r="P36" s="48" t="str">
        <x:v>1</x:v>
      </x:c>
      <x:c r="Q36" s="48" t="str">
        <x:v>HIGH</x:v>
      </x:c>
      <x:c r="R36" s="48" t="str">
        <x:v>None.</x:v>
      </x:c>
      <x:c r="S36" s="48" t="str">
        <x:v>Origin labeling.</x:v>
      </x:c>
      <x:c r="T36" s="48" t="str">
        <x:v>CS-06</x:v>
      </x:c>
      <x:c r="U36" s="48" t="str">
        <x:v>Tier C v1 evidence counts retained; not recalculated in the N=29 DDQ rerun.</x:v>
      </x:c>
    </x:row>
    <x:row r="37">
      <x:c r="A37" s="48" t="str">
        <x:v>Engineering handoff v1.0</x:v>
      </x:c>
      <x:c r="B37" s="48" t="str">
        <x:v>2026-07-16</x:v>
      </x:c>
      <x:c r="C37" s="48" t="str">
        <x:v>F04</x:v>
      </x:c>
      <x:c r="D37" s="48" t="str">
        <x:v>Intermediated co-investment</x:v>
      </x:c>
      <x:c r="E37" s="48" t="str">
        <x:v>CROSS_BOUNDARY</x:v>
      </x:c>
      <x:c r="F37" s="48" t="str">
        <x:v>2</x:v>
      </x:c>
      <x:c r="G37" s="48" t="str">
        <x:v>INT-02</x:v>
      </x:c>
      <x:c r="H37" s="48" t="str">
        <x:v>NODE</x:v>
      </x:c>
      <x:c r="I37" s="48" t="str">
        <x:v>Intermediary performs its own screening or packages a PPM/memo.</x:v>
      </x:c>
      <x:c r="J37" s="48" t="str">
        <x:v>DOCUMENTARY_INHERITANCE</x:v>
      </x:c>
      <x:c r="K37" s="48" t="str">
        <x:v>CONFIGURE</x:v>
      </x:c>
      <x:c r="L37" s="48" t="str">
        <x:v>INTERMEDIATED_COINVESTMENT</x:v>
      </x:c>
      <x:c r="M37" s="48" t="str">
        <x:v>EMPIRICAL</x:v>
      </x:c>
      <x:c r="N37" s="48" t="str">
        <x:v>SPONSOR_DERIVATIVE</x:v>
      </x:c>
      <x:c r="O37" s="48" t="str">
        <x:v>derived</x:v>
      </x:c>
      <x:c r="P37" s="48" t="str">
        <x:v>1</x:v>
      </x:c>
      <x:c r="Q37" s="48" t="str">
        <x:v>HIGH</x:v>
      </x:c>
      <x:c r="R37" s="48" t="str">
        <x:v>Intermediary depth.</x:v>
      </x:c>
      <x:c r="S37" s="48" t="str">
        <x:v>Derivative status disclosed.</x:v>
      </x:c>
      <x:c r="T37" s="48" t="str">
        <x:v>CS-06</x:v>
      </x:c>
      <x:c r="U37" s="48" t="str">
        <x:v>Tier C v1 evidence counts retained; not recalculated in the N=29 DDQ rerun.</x:v>
      </x:c>
    </x:row>
    <x:row r="38">
      <x:c r="A38" s="48" t="str">
        <x:v>Engineering handoff v1.0</x:v>
      </x:c>
      <x:c r="B38" s="48" t="str">
        <x:v>2026-07-16</x:v>
      </x:c>
      <x:c r="C38" s="48" t="str">
        <x:v>F04</x:v>
      </x:c>
      <x:c r="D38" s="48" t="str">
        <x:v>Intermediated co-investment</x:v>
      </x:c>
      <x:c r="E38" s="48" t="str">
        <x:v>CROSS_BOUNDARY</x:v>
      </x:c>
      <x:c r="F38" s="48" t="str">
        <x:v>3</x:v>
      </x:c>
      <x:c r="G38" s="48" t="str">
        <x:v>INT-03</x:v>
      </x:c>
      <x:c r="H38" s="48" t="str">
        <x:v>NODE</x:v>
      </x:c>
      <x:c r="I38" s="48" t="str">
        <x:v>CO_INVESTOR receives intermediary material and performs its own decision process.</x:v>
      </x:c>
      <x:c r="J38" s="48" t="str">
        <x:v>INPUT</x:v>
      </x:c>
      <x:c r="K38" s="48" t="str">
        <x:v>CONFIGURE</x:v>
      </x:c>
      <x:c r="L38" s="48" t="str">
        <x:v>INTERMEDIATED_COINVESTMENT</x:v>
      </x:c>
      <x:c r="M38" s="48" t="str">
        <x:v>EMPIRICAL</x:v>
      </x:c>
      <x:c r="N38" s="48" t="str">
        <x:v>CO_INVESTOR_BEHAVIOURAL</x:v>
      </x:c>
      <x:c r="O38" s="48" t="str">
        <x:v>observed</x:v>
      </x:c>
      <x:c r="P38" s="48" t="str">
        <x:v>1</x:v>
      </x:c>
      <x:c r="Q38" s="48" t="str">
        <x:v>HIGH</x:v>
      </x:c>
      <x:c r="R38" s="48" t="str">
        <x:v>CO_INVESTOR challenge depth.</x:v>
      </x:c>
      <x:c r="S38" s="48" t="str">
        <x:v>CO_INVESTOR’s own authority.</x:v>
      </x:c>
      <x:c r="T38" s="48" t="str">
        <x:v>CS-06,AX-05</x:v>
      </x:c>
      <x:c r="U38" s="48" t="str">
        <x:v>Tier C v1 evidence counts retained; not recalculated in the N=29 DDQ rerun.</x:v>
      </x:c>
    </x:row>
  </x:sheetData>
  <x:pageMargins left="0.7" right="0.7" top="0.75" bottom="0.75" header="0.3" footer="0.3"/>
  <x:tableParts count="1">
    <x:tablePart xmlns:r="http://schemas.openxmlformats.org/officeDocument/2006/relationships" r:id="R228dbb6a445a415b"/>
  </x:tableParts>
</x:worksheet>
</file>

<file path=xl/worksheets/sheet15.xml><?xml version="1.0" encoding="utf-8"?>
<x:worksheet xmlns:x="http://schemas.openxmlformats.org/spreadsheetml/2006/main">
  <x:sheetFormatPr defaultRowHeight="15"/>
  <x:cols>
    <x:col min="1" max="1" width="14" hidden="0" customWidth="1"/>
    <x:col min="2" max="2" width="18" hidden="0" customWidth="1"/>
    <x:col min="3" max="3" width="16" hidden="0" customWidth="1"/>
    <x:col min="4" max="4" width="16" hidden="0" customWidth="1"/>
  </x:cols>
  <x:sheetData>
    <x:row r="1">
      <x:c r="A1" s="42" t="str">
        <x:v>field</x:v>
      </x:c>
      <x:c r="B1" s="42" t="str">
        <x:v>legal_values</x:v>
      </x:c>
      <x:c r="C1" s="42" t="str">
        <x:v>required</x:v>
      </x:c>
      <x:c r="D1" s="42" t="str">
        <x:v>meaning</x:v>
      </x:c>
    </x:row>
    <x:row r="2">
      <x:c r="A2" s="48" t="str">
        <x:v>relation_type</x:v>
      </x:c>
      <x:c r="B2" s="48" t="str">
        <x:v>START | INPUT | FINALIZATION | GATE | INFLUENCE | FEEDBACK | DOCUMENTARY_INHERITANCE</x:v>
      </x:c>
      <x:c r="C2" s="48" t="str">
        <x:v>YES</x:v>
      </x:c>
      <x:c r="D2" s="48" t="str">
        <x:v>Causal/documentary relation rendered by the edge.</x:v>
      </x:c>
    </x:row>
    <x:row r="3">
      <x:c r="A3" s="48" t="str">
        <x:v>kernel_treatment</x:v>
      </x:c>
      <x:c r="B3" s="48" t="str">
        <x:v>AXIOM | ENFORCE | CONFIGURE | SUGGEST</x:v>
      </x:c>
      <x:c r="C3" s="48" t="str">
        <x:v>YES</x:v>
      </x:c>
      <x:c r="D3" s="48" t="str">
        <x:v>How the product treats the edge at runtime.</x:v>
      </x:c>
    </x:row>
    <x:row r="4">
      <x:c r="A4" s="48" t="str">
        <x:v>archetype_condition</x:v>
      </x:c>
      <x:c r="B4" s="48" t="str">
        <x:v>UNIVERSAL or a controlled condition string or NONE</x:v>
      </x:c>
      <x:c r="C4" s="48" t="str">
        <x:v>YES</x:v>
      </x:c>
      <x:c r="D4" s="48" t="str">
        <x:v>Condition under which the treatment applies.</x:v>
      </x:c>
    </x:row>
    <x:row r="5">
      <x:c r="A5" s="48" t="str">
        <x:v>claim_basis</x:v>
      </x:c>
      <x:c r="B5" s="48" t="str">
        <x:v>ANALYTIC | EMPIRICAL | UNVERIFIED</x:v>
      </x:c>
      <x:c r="C5" s="48" t="str">
        <x:v>YES</x:v>
      </x:c>
      <x:c r="D5" s="48" t="str">
        <x:v>Why the claim exists.</x:v>
      </x:c>
    </x:row>
    <x:row r="6">
      <x:c r="A6" s="48" t="str">
        <x:v>primary_evidence_class</x:v>
      </x:c>
      <x:c r="B6" s="48" t="str">
        <x:v>SPONSOR_SELF_DESCRIBED | SPONSOR_DERIVATIVE | SPONSOR_BEHAVIOURAL | CO_INVESTOR_BEHAVIOURAL</x:v>
      </x:c>
      <x:c r="C6" s="48" t="str">
        <x:v>YES</x:v>
      </x:c>
      <x:c r="D6" s="48" t="str">
        <x:v>Strongest primary evidence class.</x:v>
      </x:c>
    </x:row>
    <x:row r="7">
      <x:c r="A7" s="48" t="str">
        <x:v>vault_evidence_class</x:v>
      </x:c>
      <x:c r="B7" s="48" t="str">
        <x:v>asserted | derived | observed | attested</x:v>
      </x:c>
      <x:c r="C7" s="48" t="str">
        <x:v>YES</x:v>
      </x:c>
      <x:c r="D7" s="48" t="str">
        <x:v>Mapped frozen-vault evidence label; attested currently has no source mapping.</x:v>
      </x:c>
    </x:row>
    <x:row r="8">
      <x:c r="A8" s="48" t="str">
        <x:v>evidence_count</x:v>
      </x:c>
      <x:c r="B8" s="48" t="str">
        <x:v>non-negative integer</x:v>
      </x:c>
      <x:c r="C8" s="48" t="str">
        <x:v>YES</x:v>
      </x:c>
      <x:c r="D8" s="48" t="str">
        <x:v>Count interpreted together with evidence_unit and denominator.</x:v>
      </x:c>
    </x:row>
    <x:row r="9">
      <x:c r="A9" s="48" t="str">
        <x:v>evidence_unit</x:v>
      </x:c>
      <x:c r="B9" s="48" t="str">
        <x:v>manager families | behavioural deal families | opportunities | independent documentary families</x:v>
      </x:c>
      <x:c r="C9" s="48" t="str">
        <x:v>YES</x:v>
      </x:c>
      <x:c r="D9" s="48" t="str">
        <x:v>Unit of the evidence count.</x:v>
      </x:c>
    </x:row>
    <x:row r="10">
      <x:c r="A10" s="48" t="str">
        <x:v>confidence</x:v>
      </x:c>
      <x:c r="B10" s="48" t="str">
        <x:v>HIGH | MEDIUM | LOW</x:v>
      </x:c>
      <x:c r="C10" s="48" t="str">
        <x:v>YES</x:v>
      </x:c>
      <x:c r="D10" s="48" t="str">
        <x:v>Confidence label; confidence_reason is mandatory.</x:v>
      </x:c>
    </x:row>
    <x:row r="11">
      <x:c r="A11" s="48" t="str">
        <x:v>authority_type</x:v>
      </x:c>
      <x:c r="B11" s="48" t="str">
        <x:v>advise | recommend | authorize_spend | approve_offer | approve_investment | execute | fund</x:v>
      </x:c>
      <x:c r="C11" s="48" t="str">
        <x:v>PROPOSED</x:v>
      </x:c>
      <x:c r="D11" s="48" t="str">
        <x:v>Richer authority enum proposed to replace a flat permission model.</x:v>
      </x:c>
    </x:row>
  </x:sheetData>
  <x:pageMargins left="0.7" right="0.7" top="0.75" bottom="0.75" header="0.3" footer="0.3"/>
  <x:tableParts count="1">
    <x:tablePart xmlns:r="http://schemas.openxmlformats.org/officeDocument/2006/relationships" r:id="R2214798ba1f24048"/>
  </x:tableParts>
</x:worksheet>
</file>

<file path=xl/worksheets/sheet16.xml><?xml version="1.0" encoding="utf-8"?>
<x:worksheet xmlns:x="http://schemas.openxmlformats.org/spreadsheetml/2006/main">
  <x:sheetFormatPr defaultRowHeight="15"/>
  <x:cols>
    <x:col min="1" max="1" width="14" hidden="0" customWidth="1"/>
    <x:col min="2" max="2" width="18" hidden="0" customWidth="1"/>
    <x:col min="3" max="3" width="16" hidden="0" customWidth="1"/>
    <x:col min="4" max="4" width="16" hidden="0" customWidth="1"/>
    <x:col min="5" max="5" width="16" hidden="0" customWidth="1"/>
  </x:cols>
  <x:sheetData>
    <x:row r="1">
      <x:c r="A1" s="42" t="str">
        <x:v>archetype_condition</x:v>
      </x:c>
      <x:c r="B1" s="42" t="str">
        <x:v>default</x:v>
      </x:c>
      <x:c r="C1" s="42" t="str">
        <x:v>edge_ids</x:v>
      </x:c>
      <x:c r="D1" s="42" t="str">
        <x:v>client_override</x:v>
      </x:c>
      <x:c r="E1" s="42" t="str">
        <x:v>notes</x:v>
      </x:c>
    </x:row>
    <x:row r="2">
      <x:c r="A2" s="48" t="str">
        <x:v>ACCESS_CONSTRAINED_AUCTION_OR_COST_GATED_PROCESS</x:v>
      </x:c>
      <x:c r="B2" s="48" t="str">
        <x:v>ON_WHEN_CONDITION_TRUE</x:v>
      </x:c>
      <x:c r="C2" s="48" t="str">
        <x:v>CS-07</x:v>
      </x:c>
      <x:c r="D2" s="48" t="str">
        <x:v>AUTHORIZED_OVERRIDE_WITH_RATIONALE</x:v>
      </x:c>
      <x:c r="E2" s="48" t="str">
        <x:v>Condition string should be a controlled configuration flag.</x:v>
      </x:c>
    </x:row>
    <x:row r="3">
      <x:c r="A3" s="48" t="str">
        <x:v>BUY_AND_BUILD_ADDON</x:v>
      </x:c>
      <x:c r="B3" s="48" t="str">
        <x:v>ON_WHEN_CONDITION_TRUE</x:v>
      </x:c>
      <x:c r="C3" s="48" t="str">
        <x:v>CS-08</x:v>
      </x:c>
      <x:c r="D3" s="48" t="str">
        <x:v>AUTHORIZED_OVERRIDE_WITH_RATIONALE</x:v>
      </x:c>
      <x:c r="E3" s="48" t="str">
        <x:v>Condition string should be a controlled configuration flag.</x:v>
      </x:c>
    </x:row>
    <x:row r="4">
      <x:c r="A4" s="48" t="str">
        <x:v>CORPORATE_CARVEOUT</x:v>
      </x:c>
      <x:c r="B4" s="48" t="str">
        <x:v>ON_WHEN_CONDITION_TRUE</x:v>
      </x:c>
      <x:c r="C4" s="48" t="str">
        <x:v>CS-03</x:v>
      </x:c>
      <x:c r="D4" s="48" t="str">
        <x:v>AUTHORIZED_OVERRIDE_WITH_RATIONALE</x:v>
      </x:c>
      <x:c r="E4" s="48" t="str">
        <x:v>Condition string should be a controlled configuration flag.</x:v>
      </x:c>
    </x:row>
    <x:row r="5">
      <x:c r="A5" s="48" t="str">
        <x:v>DUAL_AUTHORITY_GOVERNANCE</x:v>
      </x:c>
      <x:c r="B5" s="48" t="str">
        <x:v>ON_WHEN_CONDITION_TRUE</x:v>
      </x:c>
      <x:c r="C5" s="48" t="str">
        <x:v>CS-05</x:v>
      </x:c>
      <x:c r="D5" s="48" t="str">
        <x:v>AUTHORIZED_OVERRIDE_WITH_RATIONALE</x:v>
      </x:c>
      <x:c r="E5" s="48" t="str">
        <x:v>Condition string should be a controlled configuration flag.</x:v>
      </x:c>
    </x:row>
    <x:row r="6">
      <x:c r="A6" s="48" t="str">
        <x:v>FOUNDER_OWNED_OR_MANAGEMENT_DEPENDENT</x:v>
      </x:c>
      <x:c r="B6" s="48" t="str">
        <x:v>ON_WHEN_CONDITION_TRUE</x:v>
      </x:c>
      <x:c r="C6" s="48" t="str">
        <x:v>CS-04</x:v>
      </x:c>
      <x:c r="D6" s="48" t="str">
        <x:v>AUTHORIZED_OVERRIDE_WITH_RATIONALE</x:v>
      </x:c>
      <x:c r="E6" s="48" t="str">
        <x:v>Condition string should be a controlled configuration flag.</x:v>
      </x:c>
    </x:row>
    <x:row r="7">
      <x:c r="A7" s="48" t="str">
        <x:v>INTERMEDIATED_COINVESTMENT</x:v>
      </x:c>
      <x:c r="B7" s="48" t="str">
        <x:v>ON_WHEN_CONDITION_TRUE</x:v>
      </x:c>
      <x:c r="C7" s="48" t="str">
        <x:v>CS-06</x:v>
      </x:c>
      <x:c r="D7" s="48" t="str">
        <x:v>AUTHORIZED_OVERRIDE_WITH_RATIONALE</x:v>
      </x:c>
      <x:c r="E7" s="48" t="str">
        <x:v>Condition string should be a controlled configuration flag.</x:v>
      </x:c>
    </x:row>
    <x:row r="8">
      <x:c r="A8" s="48" t="str">
        <x:v>INVESTMENT_REALIZATION</x:v>
      </x:c>
      <x:c r="B8" s="48" t="str">
        <x:v>ON_WHEN_CONDITION_TRUE</x:v>
      </x:c>
      <x:c r="C8" s="48" t="str">
        <x:v>EMP-06</x:v>
      </x:c>
      <x:c r="D8" s="48" t="str">
        <x:v>AUTHORIZED_OVERRIDE_WITH_RATIONALE</x:v>
      </x:c>
      <x:c r="E8" s="48" t="str">
        <x:v>Condition string should be a controlled configuration flag.</x:v>
      </x:c>
    </x:row>
    <x:row r="9">
      <x:c r="A9" s="48" t="str">
        <x:v>LEAD_CONTROL_INVESTOR</x:v>
      </x:c>
      <x:c r="B9" s="48" t="str">
        <x:v>ON_WHEN_CONDITION_TRUE</x:v>
      </x:c>
      <x:c r="C9" s="48" t="str">
        <x:v>EMP-05</x:v>
      </x:c>
      <x:c r="D9" s="48" t="str">
        <x:v>AUTHORIZED_OVERRIDE_WITH_RATIONALE</x:v>
      </x:c>
      <x:c r="E9" s="48" t="str">
        <x:v>Condition string should be a controlled configuration flag.</x:v>
      </x:c>
    </x:row>
    <x:row r="10">
      <x:c r="A10" s="48" t="str">
        <x:v>LEVERAGED_ACQUISITION</x:v>
      </x:c>
      <x:c r="B10" s="48" t="str">
        <x:v>ON_WHEN_CONDITION_TRUE</x:v>
      </x:c>
      <x:c r="C10" s="48" t="str">
        <x:v>CS-02</x:v>
      </x:c>
      <x:c r="D10" s="48" t="str">
        <x:v>AUTHORIZED_OVERRIDE_WITH_RATIONALE</x:v>
      </x:c>
      <x:c r="E10" s="48" t="str">
        <x:v>Condition string should be a controlled configuration flag.</x:v>
      </x:c>
    </x:row>
    <x:row r="11">
      <x:c r="A11" s="48" t="str">
        <x:v>SPONSOR_LED_COINVESTMENT</x:v>
      </x:c>
      <x:c r="B11" s="48" t="str">
        <x:v>ON_WHEN_CONDITION_TRUE</x:v>
      </x:c>
      <x:c r="C11" s="48" t="str">
        <x:v>AX-05 | EMP-02 | CFG-09</x:v>
      </x:c>
      <x:c r="D11" s="48" t="str">
        <x:v>AUTHORIZED_OVERRIDE_WITH_RATIONALE</x:v>
      </x:c>
      <x:c r="E11" s="48" t="str">
        <x:v>Condition string should be a controlled configuration flag.</x:v>
      </x:c>
    </x:row>
    <x:row r="12">
      <x:c r="A12" s="48" t="str">
        <x:v>VCP_MATERIAL_TO_RETURNS</x:v>
      </x:c>
      <x:c r="B12" s="48" t="str">
        <x:v>ON_WHEN_CONDITION_TRUE</x:v>
      </x:c>
      <x:c r="C12" s="48" t="str">
        <x:v>CS-01</x:v>
      </x:c>
      <x:c r="D12" s="48" t="str">
        <x:v>AUTHORIZED_OVERRIDE_WITH_RATIONALE</x:v>
      </x:c>
      <x:c r="E12" s="48" t="str">
        <x:v>Condition string should be a controlled configuration flag.</x:v>
      </x:c>
    </x:row>
    <x:row r="13">
      <x:c r="A13" s="48" t="str">
        <x:v>WHEN_COMMERCIAL_ASSUMPTIONS_ARE_MATERIAL</x:v>
      </x:c>
      <x:c r="B13" s="48" t="str">
        <x:v>ON_WHEN_CONDITION_TRUE</x:v>
      </x:c>
      <x:c r="C13" s="48" t="str">
        <x:v>FS-02</x:v>
      </x:c>
      <x:c r="D13" s="48" t="str">
        <x:v>AUTHORIZED_OVERRIDE_WITH_RATIONALE</x:v>
      </x:c>
      <x:c r="E13" s="48" t="str">
        <x:v>Condition string should be a controlled configuration flag.</x:v>
      </x:c>
    </x:row>
    <x:row r="14">
      <x:c r="A14" s="48" t="str">
        <x:v>WHEN_MATERIAL_TO_TRANSACTION</x:v>
      </x:c>
      <x:c r="B14" s="48" t="str">
        <x:v>ON_WHEN_CONDITION_TRUE</x:v>
      </x:c>
      <x:c r="C14" s="48" t="str">
        <x:v>FS-03</x:v>
      </x:c>
      <x:c r="D14" s="48" t="str">
        <x:v>AUTHORIZED_OVERRIDE_WITH_RATIONALE</x:v>
      </x:c>
      <x:c r="E14" s="48" t="str">
        <x:v>Condition string should be a controlled configuration flag.</x:v>
      </x:c>
    </x:row>
    <x:row r="15">
      <x:c r="A15" s="48" t="str">
        <x:v>WHEN_PRICE_OR_OFFER_IS_ISSUED</x:v>
      </x:c>
      <x:c r="B15" s="48" t="str">
        <x:v>ON_WHEN_CONDITION_TRUE</x:v>
      </x:c>
      <x:c r="C15" s="48" t="str">
        <x:v>AX-02</x:v>
      </x:c>
      <x:c r="D15" s="48" t="str">
        <x:v>AUTHORIZED_OVERRIDE_WITH_RATIONALE</x:v>
      </x:c>
      <x:c r="E15" s="48" t="str">
        <x:v>Condition string should be a controlled configuration flag.</x:v>
      </x:c>
    </x:row>
  </x:sheetData>
  <x:pageMargins left="0.7" right="0.7" top="0.75" bottom="0.75" header="0.3" footer="0.3"/>
  <x:tableParts count="1">
    <x:tablePart xmlns:r="http://schemas.openxmlformats.org/officeDocument/2006/relationships" r:id="R1ea053f65bae4378"/>
  </x:tableParts>
</x:worksheet>
</file>

<file path=xl/worksheets/sheet17.xml><?xml version="1.0" encoding="utf-8"?>
<x:worksheet xmlns:x="http://schemas.openxmlformats.org/spreadsheetml/2006/main">
  <x:sheetFormatPr defaultRowHeight="15"/>
  <x:cols>
    <x:col min="1" max="1" width="14" hidden="0" customWidth="1"/>
    <x:col min="2" max="2" width="18" hidden="0" customWidth="1"/>
    <x:col min="3" max="3" width="16" hidden="0" customWidth="1"/>
    <x:col min="4" max="4" width="16" hidden="0" customWidth="1"/>
  </x:cols>
  <x:sheetData>
    <x:row r="1">
      <x:c r="A1" s="42" t="str">
        <x:v>research_evidence_class</x:v>
      </x:c>
      <x:c r="B1" s="42" t="str">
        <x:v>vault_term</x:v>
      </x:c>
      <x:c r="C1" s="42" t="str">
        <x:v>mapping_status</x:v>
      </x:c>
      <x:c r="D1" s="42" t="str">
        <x:v>what_populates_it</x:v>
      </x:c>
    </x:row>
    <x:row r="2">
      <x:c r="A2" s="48" t="str">
        <x:v>SPONSOR_SELF_DESCRIBED</x:v>
      </x:c>
      <x:c r="B2" s="48" t="str">
        <x:v>asserted</x:v>
      </x:c>
      <x:c r="C2" s="48" t="str">
        <x:v>DIRECT</x:v>
      </x:c>
      <x:c r="D2" s="48" t="str">
        <x:v>Manager-authored DDQ, process manual or official self-description.</x:v>
      </x:c>
    </x:row>
    <x:row r="3">
      <x:c r="A3" s="48" t="str">
        <x:v>SPONSOR_DERIVATIVE</x:v>
      </x:c>
      <x:c r="B3" s="48" t="str">
        <x:v>derived</x:v>
      </x:c>
      <x:c r="C3" s="48" t="str">
        <x:v>DIRECT</x:v>
      </x:c>
      <x:c r="D3" s="48" t="str">
        <x:v>Sponsor activity inferred through a CO_INVESTOR or intermediary document.</x:v>
      </x:c>
    </x:row>
    <x:row r="4">
      <x:c r="A4" s="48" t="str">
        <x:v>SPONSOR_BEHAVIOURAL</x:v>
      </x:c>
      <x:c r="B4" s="48" t="str">
        <x:v>observed</x:v>
      </x:c>
      <x:c r="C4" s="48" t="str">
        <x:v>DIRECT</x:v>
      </x:c>
      <x:c r="D4" s="48" t="str">
        <x:v>Sponsor-authored transaction artifact or version history.</x:v>
      </x:c>
    </x:row>
    <x:row r="5">
      <x:c r="A5" s="48" t="str">
        <x:v>CO_INVESTOR_BEHAVIOURAL</x:v>
      </x:c>
      <x:c r="B5" s="48" t="str">
        <x:v>observed</x:v>
      </x:c>
      <x:c r="C5" s="48" t="str">
        <x:v>DIRECT</x:v>
      </x:c>
      <x:c r="D5" s="48" t="str">
        <x:v>CO_INVESTOR-authored transaction artifact or recorded decision.</x:v>
      </x:c>
    </x:row>
    <x:row r="6">
      <x:c r="A6" s="48" t="str">
        <x:v>NONE</x:v>
      </x:c>
      <x:c r="B6" s="48" t="str">
        <x:v>attested</x:v>
      </x:c>
      <x:c r="C6" s="48" t="str">
        <x:v>UNMAPPED</x:v>
      </x:c>
      <x:c r="D6" s="48" t="str">
        <x:v>Proposed: independently witnessed event, signed committee record, system event log, or authenticated third-party confirmation.</x:v>
      </x:c>
    </x:row>
  </x:sheetData>
  <x:pageMargins left="0.7" right="0.7" top="0.75" bottom="0.75" header="0.3" footer="0.3"/>
  <x:tableParts count="1">
    <x:tablePart xmlns:r="http://schemas.openxmlformats.org/officeDocument/2006/relationships" r:id="R78b92d622a144643"/>
  </x:tableParts>
</x:worksheet>
</file>