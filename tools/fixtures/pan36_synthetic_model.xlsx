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550f4d5a3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8f110c5294c4711"/>
    <x:sheet xmlns:r="http://schemas.openxmlformats.org/officeDocument/2006/relationships" name="Model" sheetId="2" r:id="R916a58071b78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"/>
    <x:numFmt numFmtId="201" formatCode="0.0%"/>
    <x:numFmt numFmtId="202" formatCode="0"/>
    <x:numFmt numFmtId="203" formatCode="0.0x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6e140994f41ab" /><Relationship Type="http://schemas.openxmlformats.org/officeDocument/2006/relationships/theme" Target="/xl/theme/theme1.xml" Id="R541dd3efdf2e4d77" /><Relationship Type="http://schemas.openxmlformats.org/officeDocument/2006/relationships/sharedStrings" Target="/xl/sharedStrings.xml" Id="Re9e7ddf7074e4651" /><Relationship Type="http://schemas.openxmlformats.org/officeDocument/2006/relationships/worksheet" Target="/xl/worksheets/sheet1.xml" Id="Rc8f110c5294c4711" /><Relationship Type="http://schemas.openxmlformats.org/officeDocument/2006/relationships/worksheet" Target="/xl/worksheets/sheet2.xml" Id="R916a58071b7848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" t="str">
        <x:v>Scenario / Driver</x:v>
      </x:c>
      <x:c r="B1" s="4" t="str">
        <x:v>Unit</x:v>
      </x:c>
      <x:c r="C1" s="4" t="str">
        <x:v>FY2025A</x:v>
      </x:c>
      <x:c r="D1" s="4" t="str">
        <x:v>FY2026E</x:v>
      </x:c>
      <x:c r="E1" s="4" t="str">
        <x:v>FY2027E</x:v>
      </x:c>
      <x:c r="F1" s="4" t="str">
        <x:v>FY2028E</x:v>
      </x:c>
      <x:c r="G1" s="4" t="str">
        <x:v>FY2029E</x:v>
      </x:c>
      <x:c r="H1" s="5" t="str">
        <x:v>FY2030E</x:v>
      </x:c>
    </x:row>
    <x:row r="2">
      <x:c r="A2" s="6" t="str">
        <x:v>Standalone Base - Revenue</x:v>
      </x:c>
      <x:c r="B2" t="str">
        <x:v>$m</x:v>
      </x:c>
      <x:c r="C2" s="7" t="n">
        <x:v>90</x:v>
      </x:c>
      <x:c r="D2" s="7" t="n">
        <x:v>98</x:v>
      </x:c>
      <x:c r="E2" s="7" t="n">
        <x:v>107</x:v>
      </x:c>
      <x:c r="F2" s="7" t="n">
        <x:v>116</x:v>
      </x:c>
      <x:c r="G2" s="7" t="n">
        <x:v>125</x:v>
      </x:c>
      <x:c r="H2" s="7" t="n">
        <x:v>135</x:v>
      </x:c>
    </x:row>
    <x:row r="3">
      <x:c r="A3" s="6" t="str">
        <x:v>Standalone Base - Firm EBITDA margin</x:v>
      </x:c>
      <x:c r="B3" t="str">
        <x:v>%</x:v>
      </x:c>
      <x:c r="C3" s="8" t="n">
        <x:v>0.145</x:v>
      </x:c>
      <x:c r="D3" s="8" t="n">
        <x:v>0.153</x:v>
      </x:c>
      <x:c r="E3" s="8" t="n">
        <x:v>0.158</x:v>
      </x:c>
      <x:c r="F3" s="8" t="n">
        <x:v>0.162</x:v>
      </x:c>
      <x:c r="G3" s="8" t="n">
        <x:v>0.165</x:v>
      </x:c>
      <x:c r="H3" s="8" t="n">
        <x:v>0.168</x:v>
      </x:c>
    </x:row>
    <x:row r="4">
      <x:c r="A4" s="6" t="str">
        <x:v>Standalone Base - DSO</x:v>
      </x:c>
      <x:c r="B4" t="str">
        <x:v>days</x:v>
      </x:c>
      <x:c r="C4" s="9" t="n">
        <x:v>64</x:v>
      </x:c>
      <x:c r="D4" s="9" t="n">
        <x:v>62</x:v>
      </x:c>
      <x:c r="E4" s="9" t="n">
        <x:v>61</x:v>
      </x:c>
      <x:c r="F4" s="9" t="n">
        <x:v>60</x:v>
      </x:c>
      <x:c r="G4" s="9" t="n">
        <x:v>59</x:v>
      </x:c>
      <x:c r="H4" s="9" t="n">
        <x:v>58</x:v>
      </x:c>
    </x:row>
    <x:row r="5">
      <x:c r="A5" s="6" t="str">
        <x:v>Standalone Base - Exit multiple</x:v>
      </x:c>
      <x:c r="B5" t="str">
        <x:v>x</x:v>
      </x:c>
      <x:c r="C5" s="10" t="n">
        <x:v>9</x:v>
      </x:c>
      <x:c r="D5" s="10" t="n">
        <x:v>9</x:v>
      </x:c>
      <x:c r="E5" s="10" t="n">
        <x:v>9</x:v>
      </x:c>
      <x:c r="F5" s="10" t="n">
        <x:v>9</x:v>
      </x:c>
      <x:c r="G5" s="10" t="n">
        <x:v>9</x:v>
      </x:c>
      <x:c r="H5" s="10" t="n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" t="str">
        <x:v>Metric</x:v>
      </x:c>
      <x:c r="B1" s="4" t="str">
        <x:v>Unit</x:v>
      </x:c>
      <x:c r="C1" s="4" t="str">
        <x:v>FY2025A</x:v>
      </x:c>
      <x:c r="D1" s="4" t="str">
        <x:v>FY2026E</x:v>
      </x:c>
      <x:c r="E1" s="4" t="str">
        <x:v>FY2027E</x:v>
      </x:c>
      <x:c r="F1" s="4" t="str">
        <x:v>FY2028E</x:v>
      </x:c>
      <x:c r="G1" s="4" t="str">
        <x:v>FY2029E</x:v>
      </x:c>
      <x:c r="H1" s="5" t="str">
        <x:v>FY2030E</x:v>
      </x:c>
    </x:row>
    <x:row r="2">
      <x:c r="A2" t="str">
        <x:v>Revenue</x:v>
      </x:c>
      <x:c r="B2" t="str">
        <x:v>$m</x:v>
      </x:c>
      <x:c r="C2" s="12" t="n">
        <x:f>Inputs!C2</x:f>
        <x:v>90</x:v>
      </x:c>
      <x:c r="D2" s="12" t="n">
        <x:f>Inputs!D2</x:f>
        <x:v>98</x:v>
      </x:c>
      <x:c r="E2" s="12" t="n">
        <x:f>Inputs!E2</x:f>
        <x:v>107</x:v>
      </x:c>
      <x:c r="F2" s="12" t="n">
        <x:f>Inputs!F2</x:f>
        <x:v>116</x:v>
      </x:c>
      <x:c r="G2" s="12" t="n">
        <x:f>Inputs!G2</x:f>
        <x:v>125</x:v>
      </x:c>
      <x:c r="H2" s="12" t="n">
        <x:f>Inputs!H2</x:f>
        <x:v>135</x:v>
      </x:c>
    </x:row>
    <x:row r="3">
      <x:c r="A3" t="str">
        <x:v>Firm EBITDA</x:v>
      </x:c>
      <x:c r="B3" t="str">
        <x:v>$m</x:v>
      </x:c>
      <x:c r="C3" s="12" t="n">
        <x:f>C2*Inputs!C3</x:f>
        <x:v>13.049999999999999</x:v>
      </x:c>
      <x:c r="D3" s="12" t="n">
        <x:f>D2*Inputs!D3</x:f>
        <x:v>14.994</x:v>
      </x:c>
      <x:c r="E3" s="12" t="n">
        <x:f>E2*Inputs!E3</x:f>
        <x:v>16.906</x:v>
      </x:c>
      <x:c r="F3" s="12" t="n">
        <x:f>F2*Inputs!F3</x:f>
        <x:v>18.792</x:v>
      </x:c>
      <x:c r="G3" s="12" t="n">
        <x:f>G2*Inputs!G3</x:f>
        <x:v>20.625</x:v>
      </x:c>
      <x:c r="H3" s="12" t="n">
        <x:f>H2*Inputs!H3</x:f>
        <x:v>22.68</x:v>
      </x:c>
    </x:row>
    <x:row r="4">
      <x:c r="A4" t="str">
        <x:v>DSO</x:v>
      </x:c>
      <x:c r="B4" t="str">
        <x:v>days</x:v>
      </x:c>
      <x:c r="C4" s="13" t="n">
        <x:f>Inputs!C4</x:f>
        <x:v>64</x:v>
      </x:c>
      <x:c r="D4" s="13" t="n">
        <x:f>Inputs!D4</x:f>
        <x:v>62</x:v>
      </x:c>
      <x:c r="E4" s="13" t="n">
        <x:f>Inputs!E4</x:f>
        <x:v>61</x:v>
      </x:c>
      <x:c r="F4" s="13" t="n">
        <x:f>Inputs!F4</x:f>
        <x:v>60</x:v>
      </x:c>
      <x:c r="G4" s="13" t="n">
        <x:f>Inputs!G4</x:f>
        <x:v>59</x:v>
      </x:c>
      <x:c r="H4" s="13" t="n">
        <x:f>Inputs!H4</x:f>
        <x:v>58</x:v>
      </x:c>
    </x:row>
  </x:sheetData>
  <x:pageMargins left="0.7" right="0.7" top="0.75" bottom="0.75" header="0.3" footer="0.3"/>
</x:worksheet>
</file>